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comments4.xml" ContentType="application/vnd.openxmlformats-officedocument.spreadsheetml.comments+xml"/>
  <Override PartName="/xl/pivotCache/pivotCacheDefinition1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_rels/pivotCacheDefinition3.xml.rels" ContentType="application/vnd.openxmlformats-package.relationships+xml"/>
  <Override PartName="/xl/pivotCache/_rels/pivotCacheDefinition2.xml.rels" ContentType="application/vnd.openxmlformats-package.relationships+xml"/>
  <Override PartName="/xl/pivotCache/_rels/pivotCacheDefinition1.xml.rels" ContentType="application/vnd.openxmlformats-package.relationships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pivotTables/_rels/pivotTable4.xml.rels" ContentType="application/vnd.openxmlformats-package.relationships+xml"/>
  <Override PartName="/xl/pivotTables/_rels/pivotTable3.xml.rels" ContentType="application/vnd.openxmlformats-package.relationships+xml"/>
  <Override PartName="/xl/pivotTables/_rels/pivotTable2.xml.rels" ContentType="application/vnd.openxmlformats-package.relationships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_rels/sheet6.xml.rels" ContentType="application/vnd.openxmlformats-package.relationship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comments6.xml" ContentType="application/vnd.openxmlformats-officedocument.spreadsheetml.comment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rawings/vmlDrawing3.vml" ContentType="application/vnd.openxmlformats-officedocument.vmlDrawing"/>
  <Override PartName="/xl/drawings/drawing2.xml" ContentType="application/vnd.openxmlformats-officedocument.drawing+xml"/>
  <Override PartName="/xl/drawings/vmlDrawing1.vml" ContentType="application/vnd.openxmlformats-officedocument.vmlDrawing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drawing3.xml" ContentType="application/vnd.openxmlformats-officedocument.drawing+xml"/>
  <Override PartName="/xl/drawings/vmlDrawing2.vml" ContentType="application/vnd.openxmlformats-officedocument.vmlDrawing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media/image1.png" ContentType="image/png"/>
  <Override PartName="/xl/media/image2.svg" ContentType="image/svg"/>
  <Override PartName="/xl/media/image3.png" ContentType="image/p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3.xml.rels" ContentType="application/vnd.openxmlformats-package.relationships+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  <Override PartName="/customXml/item3.xml" ContentType="application/xml"/>
  <Override PartName="/customXml/itemProps3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O Client" sheetId="1" state="visible" r:id="rId4"/>
    <sheet name="PO item" sheetId="2" state="visible" r:id="rId5"/>
    <sheet name="Conf Comm" sheetId="3" state="visible" r:id="rId6"/>
    <sheet name="Liste BT" sheetId="4" state="visible" r:id="rId7"/>
    <sheet name="BT" sheetId="5" state="visible" r:id="rId8"/>
    <sheet name="Prix revient" sheetId="6" state="visible" r:id="rId9"/>
    <sheet name="Clients" sheetId="7" state="visible" r:id="rId10"/>
  </sheets>
  <externalReferences>
    <externalReference r:id="rId11"/>
  </externalReferences>
  <definedNames>
    <definedName function="false" hidden="false" localSheetId="2" name="_xlnm.Print_Area" vbProcedure="false">'Conf Comm'!$C$5:$AJ$59</definedName>
    <definedName function="false" hidden="true" localSheetId="0" name="_xlnm._FilterDatabase" vbProcedure="false">'PO Client'!$A$1:$O$252</definedName>
    <definedName function="false" hidden="true" localSheetId="1" name="_xlnm._FilterDatabase" vbProcedure="false">'PO item'!$A$1:$AA$64</definedName>
    <definedName function="false" hidden="true" localSheetId="5" name="_xlnm._FilterDatabase" vbProcedure="false">'Prix revient'!$A$2:$AL$310</definedName>
    <definedName function="false" hidden="false" name="Code" vbProcedure="false">'PO item'!$E:$E</definedName>
    <definedName function="false" hidden="false" name="Détail" vbProcedure="false">'PO item'!$Z:$Z</definedName>
    <definedName function="false" hidden="false" name="Fournisseur" vbProcedure="false">#REF!</definedName>
    <definedName function="false" hidden="true" name="_xleta.AND" vbProcedure="false">#NAME?</definedName>
    <definedName function="false" hidden="true" name="_xleta.IF" vbProcedure="false">#NAME?</definedName>
    <definedName function="false" hidden="true" name="_xleta.N" vbProcedure="false">#NAME?</definedName>
    <definedName function="false" hidden="true" name="_xleta.T" vbProcedure="false">#NAME?</definedName>
  </definedNames>
  <calcPr iterateCount="100" refMode="A1" iterate="false" iterateDelta="0.0001"/>
  <pivotCaches>
    <pivotCache cacheId="1" r:id="rId13"/>
    <pivotCache cacheId="2" r:id="rId14"/>
    <pivotCache cacheId="3" r:id="rId15"/>
  </pivotCaches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V62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0$</t>
        </r>
      </text>
    </comment>
  </commentList>
</comments>
</file>

<file path=xl/comments4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H47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Inclut WO 83</t>
        </r>
      </text>
    </comment>
    <comment ref="H49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Inclut WO 81</t>
        </r>
      </text>
    </comment>
    <comment ref="H5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Fait sur WO 80</t>
        </r>
      </text>
    </comment>
    <comment ref="H52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Fait sur WO 78</t>
        </r>
      </text>
    </comment>
  </commentList>
</comments>
</file>

<file path=xl/comments6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A26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Initialement pour LabelEdge test machine, tranféré en WO Digi commande 188 le 14 août 2024</t>
        </r>
      </text>
    </comment>
    <comment ref="A196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Erreur de production : Mis en stock et vendu sous WO 2025012</t>
        </r>
      </text>
    </comment>
    <comment ref="A216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Aucune production : pris les produits de 2024236
</t>
        </r>
      </text>
    </comment>
    <comment ref="M37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Bobine était plissée</t>
        </r>
      </text>
    </comment>
    <comment ref="M4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Bobine était plissée
</t>
        </r>
      </text>
    </comment>
    <comment ref="O16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Utilisé restes WO 054 et 057
</t>
        </r>
      </text>
    </comment>
    <comment ref="R31" authorId="0">
      <text>
        <r>
          <rPr>
            <sz val="10"/>
            <rFont val="Arial"/>
            <family val="2"/>
          </rPr>
          <t xml:space="preserve">Joanne Pitre:
45 min pour préparer pour LusoFlex</t>
        </r>
      </text>
    </comment>
    <comment ref="S89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N'inclut pas le crédit 1 bobine endommagée dans transport 499.68$</t>
        </r>
      </text>
    </comment>
    <comment ref="S9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N'inclut pas le crédit 1 bobine endommagée dans transport 499.68$</t>
        </r>
      </text>
    </comment>
    <comment ref="S15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Aller+retour</t>
        </r>
      </text>
    </comment>
    <comment ref="S168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125.90 OK</t>
        </r>
      </text>
    </comment>
    <comment ref="S237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Oublié de charger transport</t>
        </r>
      </text>
    </comment>
    <comment ref="U19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mélange de 30011 et 30018 donc prix moyen des 2</t>
        </r>
      </text>
    </comment>
    <comment ref="U273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3 roul/4 étaient PO 10043</t>
        </r>
      </text>
    </comment>
    <comment ref="U288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2 roul / 3 étaient 10043
1 roul / 3 était 10051</t>
        </r>
      </text>
    </comment>
    <comment ref="X98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Problèmes de téléscopage</t>
        </r>
      </text>
    </comment>
    <comment ref="AC9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Bobine endommagée dans le transport sans frais</t>
        </r>
      </text>
    </comment>
    <comment ref="AC151" authorId="0">
      <text>
        <r>
          <rPr>
            <sz val="10"/>
            <rFont val="Arial"/>
            <family val="2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Matériel retrourné</t>
        </r>
      </text>
    </comment>
    <comment ref="AE2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Not including shipping</t>
        </r>
      </text>
    </comment>
    <comment ref="AE13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Rabais 50% sur première commande</t>
        </r>
      </text>
    </comment>
    <comment ref="AE32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9.5po vendu comme 9po</t>
        </r>
      </text>
    </comment>
    <comment ref="AE46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9.5po vendu comme 9po</t>
        </r>
      </text>
    </comment>
    <comment ref="AF13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Rabais de 50% sur première ommande</t>
        </r>
      </text>
    </comment>
    <comment ref="AF16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Tient compte du stock utilisé WO 2024057</t>
        </r>
      </text>
    </comment>
    <comment ref="AF3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Inscrit résultats du WO 2024071 car utilisé les rouleaux produits par erreur sur ce WO</t>
        </r>
      </text>
    </comment>
    <comment ref="AG5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à cause du temps. Et petite quantité</t>
        </r>
      </text>
    </comment>
    <comment ref="AG8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Baissé les prix le 2024-10-10</t>
        </r>
      </text>
    </comment>
    <comment ref="CT24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AKO PO 10059</t>
        </r>
      </text>
    </comment>
    <comment ref="CX24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Jinda: 11 roul
PO10071</t>
        </r>
      </text>
    </comment>
    <comment ref="CZ24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JINDA PO10071</t>
        </r>
      </text>
    </comment>
    <comment ref="DA24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JINDA PO10071</t>
        </r>
      </text>
    </comment>
    <comment ref="DB24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AKO PO10058</t>
        </r>
      </text>
    </comment>
  </commentList>
</comments>
</file>

<file path=xl/sharedStrings.xml><?xml version="1.0" encoding="utf-8"?>
<sst xmlns="http://schemas.openxmlformats.org/spreadsheetml/2006/main" count="5987" uniqueCount="1252">
  <si>
    <t xml:space="preserve">No</t>
  </si>
  <si>
    <t xml:space="preserve">Vendu a</t>
  </si>
  <si>
    <t xml:space="preserve">Vendu (court)</t>
  </si>
  <si>
    <t xml:space="preserve">Livré à</t>
  </si>
  <si>
    <t xml:space="preserve">Livré (court)</t>
  </si>
  <si>
    <t xml:space="preserve">Date</t>
  </si>
  <si>
    <t xml:space="preserve">Etat</t>
  </si>
  <si>
    <t xml:space="preserve">No Commande</t>
  </si>
  <si>
    <t xml:space="preserve">Contact/Acheteur</t>
  </si>
  <si>
    <t xml:space="preserve">Date livraison</t>
  </si>
  <si>
    <t xml:space="preserve">Commentaire 1 (Conf comm 3)</t>
  </si>
  <si>
    <t xml:space="preserve">Commentaire 2 (Conf comm 4)</t>
  </si>
  <si>
    <t xml:space="preserve">Terme
Paiement</t>
  </si>
  <si>
    <t xml:space="preserve">Terme
Livraison</t>
  </si>
  <si>
    <t xml:space="preserve">Total $ commande2</t>
  </si>
  <si>
    <t xml:space="preserve">Devise Conf</t>
  </si>
  <si>
    <t xml:space="preserve">Devise facturation</t>
  </si>
  <si>
    <t xml:space="preserve">Code Prix 1</t>
  </si>
  <si>
    <t xml:space="preserve">Code LE 1</t>
  </si>
  <si>
    <t xml:space="preserve">Qté Roul 1</t>
  </si>
  <si>
    <t xml:space="preserve">Qté msi 1</t>
  </si>
  <si>
    <t xml:space="preserve">Code Prix 2</t>
  </si>
  <si>
    <t xml:space="preserve">Code LE2</t>
  </si>
  <si>
    <t xml:space="preserve">Qté Roul. 2</t>
  </si>
  <si>
    <t xml:space="preserve">Qté msi 2</t>
  </si>
  <si>
    <t xml:space="preserve">Code Prix 3</t>
  </si>
  <si>
    <t xml:space="preserve">Code LE 3</t>
  </si>
  <si>
    <t xml:space="preserve">Qté Roul 3</t>
  </si>
  <si>
    <t xml:space="preserve">Qté msi 3</t>
  </si>
  <si>
    <t xml:space="preserve">Code Prix 4</t>
  </si>
  <si>
    <t xml:space="preserve">Code LE4</t>
  </si>
  <si>
    <t xml:space="preserve">Qté Roul 4</t>
  </si>
  <si>
    <t xml:space="preserve">Qté msi 4</t>
  </si>
  <si>
    <t xml:space="preserve">Code Prix 5</t>
  </si>
  <si>
    <t xml:space="preserve">Code LE 5</t>
  </si>
  <si>
    <t xml:space="preserve">Qté Roul 5</t>
  </si>
  <si>
    <t xml:space="preserve">Qté msi 5</t>
  </si>
  <si>
    <t xml:space="preserve">Code Prix 6</t>
  </si>
  <si>
    <t xml:space="preserve">Code LE6</t>
  </si>
  <si>
    <t xml:space="preserve">Qté Roul 6</t>
  </si>
  <si>
    <t xml:space="preserve">Qté msi 6</t>
  </si>
  <si>
    <t xml:space="preserve">Code Prix 7</t>
  </si>
  <si>
    <t xml:space="preserve">Code LE 7</t>
  </si>
  <si>
    <t xml:space="preserve">Qté Roul 7</t>
  </si>
  <si>
    <t xml:space="preserve">Qté msi 7</t>
  </si>
  <si>
    <t xml:space="preserve">Code Prix 8</t>
  </si>
  <si>
    <t xml:space="preserve">Code LE8</t>
  </si>
  <si>
    <t xml:space="preserve">Qté Roul 8</t>
  </si>
  <si>
    <t xml:space="preserve">Qté msi 8</t>
  </si>
  <si>
    <t xml:space="preserve">Code Prix 9</t>
  </si>
  <si>
    <t xml:space="preserve">Code LE 9</t>
  </si>
  <si>
    <t xml:space="preserve">Qté Roul 9</t>
  </si>
  <si>
    <t xml:space="preserve">Qté msi 9</t>
  </si>
  <si>
    <t xml:space="preserve">Code Prix 10</t>
  </si>
  <si>
    <t xml:space="preserve">Code LE10</t>
  </si>
  <si>
    <t xml:space="preserve">Qté Roul 10</t>
  </si>
  <si>
    <t xml:space="preserve">Qté msi 10</t>
  </si>
  <si>
    <t xml:space="preserve">Bizerba Labels Solution</t>
  </si>
  <si>
    <t xml:space="preserve">F</t>
  </si>
  <si>
    <t xml:space="preserve">BIZ001</t>
  </si>
  <si>
    <t xml:space="preserve">Josh</t>
  </si>
  <si>
    <t xml:space="preserve">Net 30 days</t>
  </si>
  <si>
    <t xml:space="preserve">DDP Joppa</t>
  </si>
  <si>
    <t xml:space="preserve">Digi America</t>
  </si>
  <si>
    <t xml:space="preserve">Mark Hanna</t>
  </si>
  <si>
    <t xml:space="preserve">EXW Boucherville</t>
  </si>
  <si>
    <t xml:space="preserve">DIGISAMPLE1</t>
  </si>
  <si>
    <t xml:space="preserve">DDP</t>
  </si>
  <si>
    <t xml:space="preserve">Lelys</t>
  </si>
  <si>
    <t xml:space="preserve">LELYSECH1</t>
  </si>
  <si>
    <t xml:space="preserve">Livraison incluse</t>
  </si>
  <si>
    <t xml:space="preserve">ALMEDIF S.A.R.L</t>
  </si>
  <si>
    <t xml:space="preserve">Mars 2024</t>
  </si>
  <si>
    <t xml:space="preserve">Jean-Claude Martin</t>
  </si>
  <si>
    <t xml:space="preserve">Net 30 jours</t>
  </si>
  <si>
    <t xml:space="preserve">DDP Tanger</t>
  </si>
  <si>
    <t xml:space="preserve">Perry Johnson</t>
  </si>
  <si>
    <t xml:space="preserve">USD</t>
  </si>
  <si>
    <t xml:space="preserve">LABELINK</t>
  </si>
  <si>
    <t xml:space="preserve">Échantillon 1</t>
  </si>
  <si>
    <t xml:space="preserve">Victor Tortis</t>
  </si>
  <si>
    <t xml:space="preserve">AKO Technology Anhui Limited</t>
  </si>
  <si>
    <t xml:space="preserve">Delta Installation-Mexico</t>
  </si>
  <si>
    <t xml:space="preserve">BLS SAMPLE (2)</t>
  </si>
  <si>
    <t xml:space="preserve">Échantillon 2</t>
  </si>
  <si>
    <t xml:space="preserve">Étiquettes Rive-Sud</t>
  </si>
  <si>
    <t xml:space="preserve">Frédérick Audette </t>
  </si>
  <si>
    <t xml:space="preserve">Transport Theoret (pick-up@theorettransport.com)</t>
  </si>
  <si>
    <t xml:space="preserve">CAD</t>
  </si>
  <si>
    <t xml:space="preserve">Groupe Produlith Inc.</t>
  </si>
  <si>
    <t xml:space="preserve">Dominic Doyon</t>
  </si>
  <si>
    <t xml:space="preserve">Profecta</t>
  </si>
  <si>
    <t xml:space="preserve">Échantillon</t>
  </si>
  <si>
    <t xml:space="preserve">Aureo Azevedo</t>
  </si>
  <si>
    <t xml:space="preserve">Imprimerie Ste-Julie</t>
  </si>
  <si>
    <t xml:space="preserve">Valérie Tremblay</t>
  </si>
  <si>
    <t xml:space="preserve">Étiquettes Luso-Flex</t>
  </si>
  <si>
    <t xml:space="preserve">David Santos</t>
  </si>
  <si>
    <t xml:space="preserve">Pickup par Produlith camion</t>
  </si>
  <si>
    <t xml:space="preserve">Sylvie Emery</t>
  </si>
  <si>
    <t xml:space="preserve">Frais de livraison 350$</t>
  </si>
  <si>
    <t xml:space="preserve">PO 070724</t>
  </si>
  <si>
    <t xml:space="preserve">Facturation en CAD au taux de la date du bon de livraison</t>
  </si>
  <si>
    <t xml:space="preserve">Pickup par Produlith</t>
  </si>
  <si>
    <t xml:space="preserve">ÉTIQUETTES MULTI-FLEX</t>
  </si>
  <si>
    <t xml:space="preserve">Échantillons</t>
  </si>
  <si>
    <t xml:space="preserve">Frais de transport 66 USD</t>
  </si>
  <si>
    <t xml:space="preserve">Livraison non incluse</t>
  </si>
  <si>
    <t xml:space="preserve">Échantillons-1</t>
  </si>
  <si>
    <t xml:space="preserve">Visuascan</t>
  </si>
  <si>
    <t xml:space="preserve">Échantillon-1</t>
  </si>
  <si>
    <t xml:space="preserve">Valérie Boivin (vboivin@impsj.com)</t>
  </si>
  <si>
    <t xml:space="preserve">Échantillon D21</t>
  </si>
  <si>
    <t xml:space="preserve">Échantillon B25</t>
  </si>
  <si>
    <t xml:space="preserve">Sylvain Linguin</t>
  </si>
  <si>
    <t xml:space="preserve">Étiquettes Corsair</t>
  </si>
  <si>
    <t xml:space="preserve">Tony Di Valerio</t>
  </si>
  <si>
    <t xml:space="preserve">Échantillons S15</t>
  </si>
  <si>
    <t xml:space="preserve">Karine Gaudreault Marien</t>
  </si>
  <si>
    <t xml:space="preserve">Frais de transport 66 USD par master roll</t>
  </si>
  <si>
    <t xml:space="preserve">Emballages Mijo</t>
  </si>
  <si>
    <t xml:space="preserve">Échantillons S15 et B25</t>
  </si>
  <si>
    <t xml:space="preserve">David Fleury</t>
  </si>
  <si>
    <t xml:space="preserve">Delivery Included</t>
  </si>
  <si>
    <t xml:space="preserve">Frais de transport pour ces 2 master : 88USD</t>
  </si>
  <si>
    <t xml:space="preserve">Frais de transport pour 1 master: 66USD</t>
  </si>
  <si>
    <t xml:space="preserve">Frais de transport inclus dans les deux autres commandes</t>
  </si>
  <si>
    <t xml:space="preserve">Étiquettes iFlex Inc.</t>
  </si>
  <si>
    <t xml:space="preserve">Échantillons S21 &amp; B25</t>
  </si>
  <si>
    <t xml:space="preserve">PO60190312</t>
  </si>
  <si>
    <t xml:space="preserve">Gabrielle Boudreault</t>
  </si>
  <si>
    <t xml:space="preserve">LabelEdge</t>
  </si>
  <si>
    <t xml:space="preserve">DEBUG MC</t>
  </si>
  <si>
    <t xml:space="preserve">NA</t>
  </si>
  <si>
    <t xml:space="preserve">Étiquettes Multi-Flex</t>
  </si>
  <si>
    <t xml:space="preserve">Caroline St-Jean</t>
  </si>
  <si>
    <t xml:space="preserve">B25/8.57</t>
  </si>
  <si>
    <t xml:space="preserve">B25/8.6</t>
  </si>
  <si>
    <t xml:space="preserve">B25/9.5</t>
  </si>
  <si>
    <t xml:space="preserve">D16/10</t>
  </si>
  <si>
    <t xml:space="preserve">REPAIR/</t>
  </si>
  <si>
    <t xml:space="preserve">Amstik</t>
  </si>
  <si>
    <t xml:space="preserve">Normand Rodrigue</t>
  </si>
  <si>
    <t xml:space="preserve">D21/7.625</t>
  </si>
  <si>
    <t xml:space="preserve">Échantillon TT</t>
  </si>
  <si>
    <t xml:space="preserve">T11/12.875</t>
  </si>
  <si>
    <t xml:space="preserve">MCC Label</t>
  </si>
  <si>
    <t xml:space="preserve">Échantillon S31</t>
  </si>
  <si>
    <t xml:space="preserve">Pascal Ross</t>
  </si>
  <si>
    <t xml:space="preserve">S31/12</t>
  </si>
  <si>
    <t xml:space="preserve">Échantillons S21, S15, B15, B25</t>
  </si>
  <si>
    <t xml:space="preserve">S21/6.75</t>
  </si>
  <si>
    <t xml:space="preserve">S15/6.75</t>
  </si>
  <si>
    <t xml:space="preserve">B15/9.75</t>
  </si>
  <si>
    <t xml:space="preserve">B25/8.675</t>
  </si>
  <si>
    <t xml:space="preserve">Échantilon TT</t>
  </si>
  <si>
    <t xml:space="preserve">Alain Nuckle</t>
  </si>
  <si>
    <t xml:space="preserve">T11/13</t>
  </si>
  <si>
    <t xml:space="preserve">T11/8.75</t>
  </si>
  <si>
    <t xml:space="preserve">Damaflex Imprimerie Multiservices Inc.</t>
  </si>
  <si>
    <t xml:space="preserve">Damaflex (livraison)</t>
  </si>
  <si>
    <t xml:space="preserve">Benoit Nuckle</t>
  </si>
  <si>
    <t xml:space="preserve">D11/9.4</t>
  </si>
  <si>
    <t xml:space="preserve">S15/6</t>
  </si>
  <si>
    <t xml:space="preserve">S15/12</t>
  </si>
  <si>
    <t xml:space="preserve">S15/10</t>
  </si>
  <si>
    <t xml:space="preserve">B25/10</t>
  </si>
  <si>
    <t xml:space="preserve">B25/12</t>
  </si>
  <si>
    <t xml:space="preserve">091024-1</t>
  </si>
  <si>
    <t xml:space="preserve">D21/8.75</t>
  </si>
  <si>
    <t xml:space="preserve">091024-2</t>
  </si>
  <si>
    <t xml:space="preserve">B15/8.75</t>
  </si>
  <si>
    <t xml:space="preserve">B15/7.5</t>
  </si>
  <si>
    <t xml:space="preserve">B15/6.75</t>
  </si>
  <si>
    <t xml:space="preserve">S15/20</t>
  </si>
  <si>
    <t xml:space="preserve">S21/6</t>
  </si>
  <si>
    <t xml:space="preserve">S21/10</t>
  </si>
  <si>
    <t xml:space="preserve">S21/12</t>
  </si>
  <si>
    <t xml:space="preserve">Échantillons S21, S15 et B15</t>
  </si>
  <si>
    <t xml:space="preserve">Bee Saint-Gaudens</t>
  </si>
  <si>
    <t xml:space="preserve">S21/13</t>
  </si>
  <si>
    <t xml:space="preserve">S15/13</t>
  </si>
  <si>
    <t xml:space="preserve">B15/13</t>
  </si>
  <si>
    <t xml:space="preserve">Crucial Solutions LLC</t>
  </si>
  <si>
    <t xml:space="preserve">Samples Cust 1</t>
  </si>
  <si>
    <t xml:space="preserve">Nimitt</t>
  </si>
  <si>
    <t xml:space="preserve">D11/21</t>
  </si>
  <si>
    <t xml:space="preserve">D21/17.5</t>
  </si>
  <si>
    <t xml:space="preserve">T11/17.5</t>
  </si>
  <si>
    <t xml:space="preserve">Boites de 4 x 6</t>
  </si>
  <si>
    <t xml:space="preserve">4 x 6/4</t>
  </si>
  <si>
    <t xml:space="preserve">Samples Cust 2</t>
  </si>
  <si>
    <t xml:space="preserve">D11/13</t>
  </si>
  <si>
    <t xml:space="preserve">D21/13</t>
  </si>
  <si>
    <t xml:space="preserve">IMS</t>
  </si>
  <si>
    <t xml:space="preserve">Échantillons T11 et D21</t>
  </si>
  <si>
    <t xml:space="preserve">Stephane Teoli</t>
  </si>
  <si>
    <t xml:space="preserve">T11/12.75</t>
  </si>
  <si>
    <t xml:space="preserve">D21/12.75</t>
  </si>
  <si>
    <t xml:space="preserve">Échantillon T11</t>
  </si>
  <si>
    <t xml:space="preserve">T11/8.625</t>
  </si>
  <si>
    <t xml:space="preserve">179960-1</t>
  </si>
  <si>
    <t xml:space="preserve">D11/9</t>
  </si>
  <si>
    <t xml:space="preserve">D11/9.5</t>
  </si>
  <si>
    <t xml:space="preserve">D11/4.5</t>
  </si>
  <si>
    <t xml:space="preserve">179960-2</t>
  </si>
  <si>
    <t xml:space="preserve">T11/6.5625</t>
  </si>
  <si>
    <t xml:space="preserve">T11/9.0625</t>
  </si>
  <si>
    <t xml:space="preserve">Échantillon D11</t>
  </si>
  <si>
    <t xml:space="preserve">TBD</t>
  </si>
  <si>
    <t xml:space="preserve">3G Print Group</t>
  </si>
  <si>
    <t xml:space="preserve">Serena An</t>
  </si>
  <si>
    <t xml:space="preserve">S35/13</t>
  </si>
  <si>
    <t xml:space="preserve">B25/13</t>
  </si>
  <si>
    <t xml:space="preserve">440-2</t>
  </si>
  <si>
    <t xml:space="preserve">ASAP</t>
  </si>
  <si>
    <t xml:space="preserve">D21/8.6</t>
  </si>
  <si>
    <t xml:space="preserve">/</t>
  </si>
  <si>
    <t xml:space="preserve">D21/4.5</t>
  </si>
  <si>
    <t xml:space="preserve">D21/8.625</t>
  </si>
  <si>
    <t xml:space="preserve">D21/7.5</t>
  </si>
  <si>
    <t xml:space="preserve">Imprimerie Bas St-Laurent</t>
  </si>
  <si>
    <t xml:space="preserve">Martin Leblanc</t>
  </si>
  <si>
    <t xml:space="preserve">D11/7.128</t>
  </si>
  <si>
    <t xml:space="preserve">T11/4.5</t>
  </si>
  <si>
    <t xml:space="preserve">PO60191184</t>
  </si>
  <si>
    <t xml:space="preserve">F80/11</t>
  </si>
  <si>
    <t xml:space="preserve">F81/</t>
  </si>
  <si>
    <t xml:space="preserve">F82/</t>
  </si>
  <si>
    <t xml:space="preserve">PO2501320</t>
  </si>
  <si>
    <t xml:space="preserve">Stephane Theoli</t>
  </si>
  <si>
    <t xml:space="preserve">Z110450-W28/</t>
  </si>
  <si>
    <t xml:space="preserve">D11/9.875</t>
  </si>
  <si>
    <t xml:space="preserve">D16/6.875</t>
  </si>
  <si>
    <t xml:space="preserve">D16/5.875</t>
  </si>
  <si>
    <t xml:space="preserve">Lino Laizzo</t>
  </si>
  <si>
    <t xml:space="preserve">S21/5.625</t>
  </si>
  <si>
    <t xml:space="preserve">S15/8</t>
  </si>
  <si>
    <t xml:space="preserve">Pierre Lapointe</t>
  </si>
  <si>
    <t xml:space="preserve">B25/8</t>
  </si>
  <si>
    <t xml:space="preserve">S21/10.75</t>
  </si>
  <si>
    <t xml:space="preserve">S21/5</t>
  </si>
  <si>
    <t xml:space="preserve">Patrick Le Donne</t>
  </si>
  <si>
    <t xml:space="preserve">B25/12.5</t>
  </si>
  <si>
    <t xml:space="preserve">B25/9</t>
  </si>
  <si>
    <t xml:space="preserve">B15/12.5</t>
  </si>
  <si>
    <t xml:space="preserve">B15/9</t>
  </si>
  <si>
    <t xml:space="preserve">B15/8.5</t>
  </si>
  <si>
    <t xml:space="preserve">Gignac + Unik</t>
  </si>
  <si>
    <t xml:space="preserve">Stéphane Gignac</t>
  </si>
  <si>
    <t xml:space="preserve">D11/10</t>
  </si>
  <si>
    <t xml:space="preserve">T11/10</t>
  </si>
  <si>
    <t xml:space="preserve">Interflex</t>
  </si>
  <si>
    <t xml:space="preserve">Plaques digitales</t>
  </si>
  <si>
    <t xml:space="preserve">Laurent Desjardins</t>
  </si>
  <si>
    <t xml:space="preserve">D16/9</t>
  </si>
  <si>
    <t xml:space="preserve">B25/4.75</t>
  </si>
  <si>
    <t xml:space="preserve">S15/7</t>
  </si>
  <si>
    <t xml:space="preserve">D11/6.5</t>
  </si>
  <si>
    <t xml:space="preserve">S21/7</t>
  </si>
  <si>
    <t xml:space="preserve">S15/8.75</t>
  </si>
  <si>
    <t xml:space="preserve">S15/7.5</t>
  </si>
  <si>
    <t xml:space="preserve">REDEMAC</t>
  </si>
  <si>
    <t xml:space="preserve">Alexis Kleshchov</t>
  </si>
  <si>
    <t xml:space="preserve">S21/4.75</t>
  </si>
  <si>
    <t xml:space="preserve">S21/6.25</t>
  </si>
  <si>
    <t xml:space="preserve">T11/7.875</t>
  </si>
  <si>
    <t xml:space="preserve">1-1-32391</t>
  </si>
  <si>
    <t xml:space="preserve">B25/15</t>
  </si>
  <si>
    <t xml:space="preserve">0046</t>
  </si>
  <si>
    <t xml:space="preserve">D11/7.125</t>
  </si>
  <si>
    <t xml:space="preserve">D11/6.75</t>
  </si>
  <si>
    <t xml:space="preserve">D11/3.375</t>
  </si>
  <si>
    <t xml:space="preserve">S21/14</t>
  </si>
  <si>
    <t xml:space="preserve">S21/4</t>
  </si>
  <si>
    <t xml:space="preserve">Stéphane Teoli</t>
  </si>
  <si>
    <t xml:space="preserve">T11/9</t>
  </si>
  <si>
    <t xml:space="preserve">T11/6</t>
  </si>
  <si>
    <t xml:space="preserve">D11/14.167</t>
  </si>
  <si>
    <t xml:space="preserve">D11/8</t>
  </si>
  <si>
    <t xml:space="preserve">D11/4</t>
  </si>
  <si>
    <t xml:space="preserve">D11/12</t>
  </si>
  <si>
    <t xml:space="preserve">Coupe D11/0.5</t>
  </si>
  <si>
    <t xml:space="preserve">T11/8.875/10</t>
  </si>
  <si>
    <t xml:space="preserve">T11/7.375</t>
  </si>
  <si>
    <t xml:space="preserve">T11/6.625</t>
  </si>
  <si>
    <t xml:space="preserve">T11/4.875</t>
  </si>
  <si>
    <t xml:space="preserve">T11/4.75</t>
  </si>
  <si>
    <t xml:space="preserve">S15/13/5</t>
  </si>
  <si>
    <t xml:space="preserve">S15/12/5</t>
  </si>
  <si>
    <t xml:space="preserve">S15/10/5</t>
  </si>
  <si>
    <t xml:space="preserve">//0</t>
  </si>
  <si>
    <t xml:space="preserve">CR TR 106618+106246</t>
  </si>
  <si>
    <t xml:space="preserve">CRÉDIT//0</t>
  </si>
  <si>
    <t xml:space="preserve">S21/8/10</t>
  </si>
  <si>
    <t xml:space="preserve">S21/11/10</t>
  </si>
  <si>
    <t xml:space="preserve">B25/15/5</t>
  </si>
  <si>
    <t xml:space="preserve">B25/13/5</t>
  </si>
  <si>
    <t xml:space="preserve">B25/8/5</t>
  </si>
  <si>
    <t xml:space="preserve">S21/13/10</t>
  </si>
  <si>
    <t xml:space="preserve">Imprimerie Sélect</t>
  </si>
  <si>
    <t xml:space="preserve">email 2024-01-21 22h46</t>
  </si>
  <si>
    <t xml:space="preserve">Isabelle</t>
  </si>
  <si>
    <t xml:space="preserve">Payable avant livraison</t>
  </si>
  <si>
    <t xml:space="preserve">S15/6/5</t>
  </si>
  <si>
    <t xml:space="preserve">B25/6.625/2</t>
  </si>
  <si>
    <t xml:space="preserve">Étiquette Nationale</t>
  </si>
  <si>
    <t xml:space="preserve">Étiquette Nationale (livraison)</t>
  </si>
  <si>
    <t xml:space="preserve">MK250122-1</t>
  </si>
  <si>
    <t xml:space="preserve">El Moez Krichen</t>
  </si>
  <si>
    <t xml:space="preserve">S21/4/10</t>
  </si>
  <si>
    <t xml:space="preserve">S21/8.125/10</t>
  </si>
  <si>
    <t xml:space="preserve">S21/6.75/10</t>
  </si>
  <si>
    <t xml:space="preserve">S21/3.25/10</t>
  </si>
  <si>
    <t xml:space="preserve">email 2024-01-22 14h39</t>
  </si>
  <si>
    <t xml:space="preserve">D11/6.625/10</t>
  </si>
  <si>
    <t xml:space="preserve">D11/9.5/10</t>
  </si>
  <si>
    <t xml:space="preserve">D11/2.125/10</t>
  </si>
  <si>
    <t xml:space="preserve">D11/9.5/5</t>
  </si>
  <si>
    <t xml:space="preserve">D11/9/5</t>
  </si>
  <si>
    <t xml:space="preserve">D11/5.25/5</t>
  </si>
  <si>
    <t xml:space="preserve">D11/2.5/5</t>
  </si>
  <si>
    <t xml:space="preserve">S21/6/2.5</t>
  </si>
  <si>
    <t xml:space="preserve">D16/10/5</t>
  </si>
  <si>
    <t xml:space="preserve">D16/9.5/5</t>
  </si>
  <si>
    <t xml:space="preserve">D16/5.875/5</t>
  </si>
  <si>
    <t xml:space="preserve">S15/13/10</t>
  </si>
  <si>
    <t xml:space="preserve">S15/8/10</t>
  </si>
  <si>
    <t xml:space="preserve">S21/16/5</t>
  </si>
  <si>
    <t xml:space="preserve">S21/13/5</t>
  </si>
  <si>
    <t xml:space="preserve">S21/5/5</t>
  </si>
  <si>
    <t xml:space="preserve">Labelink Flexibles Inc</t>
  </si>
  <si>
    <t xml:space="preserve">Jérémy Boursier</t>
  </si>
  <si>
    <t xml:space="preserve">F70/24/20</t>
  </si>
  <si>
    <t xml:space="preserve">MK250128-1</t>
  </si>
  <si>
    <t xml:space="preserve">T11/10/10</t>
  </si>
  <si>
    <t xml:space="preserve">S15/12/10</t>
  </si>
  <si>
    <t xml:space="preserve">T11/9/10</t>
  </si>
  <si>
    <t xml:space="preserve">T11/6/10</t>
  </si>
  <si>
    <t xml:space="preserve">S21/12/10</t>
  </si>
  <si>
    <t xml:space="preserve">S21/10/10</t>
  </si>
  <si>
    <t xml:space="preserve">SG300125</t>
  </si>
  <si>
    <t xml:space="preserve">Stephane Gignac</t>
  </si>
  <si>
    <t xml:space="preserve">S15/7/5</t>
  </si>
  <si>
    <t xml:space="preserve">0050</t>
  </si>
  <si>
    <t xml:space="preserve">D11/7.125/10</t>
  </si>
  <si>
    <t xml:space="preserve">D11/6.75/10</t>
  </si>
  <si>
    <t xml:space="preserve">D11/3.375/10</t>
  </si>
  <si>
    <t xml:space="preserve">B25/8/2</t>
  </si>
  <si>
    <t xml:space="preserve">D21-1 pour étiquettes</t>
  </si>
  <si>
    <t xml:space="preserve">T11/4.5/10</t>
  </si>
  <si>
    <t xml:space="preserve">T11-1 pour étiquettes</t>
  </si>
  <si>
    <t xml:space="preserve">P</t>
  </si>
  <si>
    <t xml:space="preserve">B25/12/5</t>
  </si>
  <si>
    <t xml:space="preserve">SoluCan</t>
  </si>
  <si>
    <t xml:space="preserve">Jean-François Gaudreault</t>
  </si>
  <si>
    <t xml:space="preserve">S21/11/2.5</t>
  </si>
  <si>
    <t xml:space="preserve">S15/11/2.5</t>
  </si>
  <si>
    <t xml:space="preserve">B15/11/2.5</t>
  </si>
  <si>
    <t xml:space="preserve">B25/11/2.5</t>
  </si>
  <si>
    <t xml:space="preserve">MK250206-3</t>
  </si>
  <si>
    <t xml:space="preserve">S21/7.25/10</t>
  </si>
  <si>
    <t xml:space="preserve">S21/5.75/10</t>
  </si>
  <si>
    <t xml:space="preserve">S21/5/10</t>
  </si>
  <si>
    <t xml:space="preserve">S21/5.25/10</t>
  </si>
  <si>
    <t xml:space="preserve">S35/13/10</t>
  </si>
  <si>
    <t xml:space="preserve">S35/14.5/10</t>
  </si>
  <si>
    <t xml:space="preserve">S35/6.5/10</t>
  </si>
  <si>
    <t xml:space="preserve">Impression SYL</t>
  </si>
  <si>
    <t xml:space="preserve">Échantillons S15 et S35</t>
  </si>
  <si>
    <t xml:space="preserve">Paul Desmarais</t>
  </si>
  <si>
    <t xml:space="preserve">S15/13/2</t>
  </si>
  <si>
    <t xml:space="preserve">S35/13/2</t>
  </si>
  <si>
    <t xml:space="preserve">0055</t>
  </si>
  <si>
    <t xml:space="preserve">S21/7.5/5</t>
  </si>
  <si>
    <t xml:space="preserve">Sample F70</t>
  </si>
  <si>
    <t xml:space="preserve">F70/10/2.5</t>
  </si>
  <si>
    <t xml:space="preserve">Échantillon F70</t>
  </si>
  <si>
    <t xml:space="preserve">F70/13/2.5</t>
  </si>
  <si>
    <t xml:space="preserve">Christine Jutras</t>
  </si>
  <si>
    <t xml:space="preserve">D21/9/10</t>
  </si>
  <si>
    <t xml:space="preserve">D21/6/10</t>
  </si>
  <si>
    <t xml:space="preserve">Échantillons D11+D21</t>
  </si>
  <si>
    <t xml:space="preserve">D11/10/1</t>
  </si>
  <si>
    <t xml:space="preserve">D21/10/1</t>
  </si>
  <si>
    <t xml:space="preserve">Labelink Granby</t>
  </si>
  <si>
    <t xml:space="preserve">Isabelle Bourassa</t>
  </si>
  <si>
    <t xml:space="preserve">B25/10/5</t>
  </si>
  <si>
    <t xml:space="preserve">S21/7/5</t>
  </si>
  <si>
    <t xml:space="preserve">S21/14/5</t>
  </si>
  <si>
    <t xml:space="preserve">S21/4/5</t>
  </si>
  <si>
    <t xml:space="preserve">Labelink Mississauga</t>
  </si>
  <si>
    <t xml:space="preserve">Sandra Bridges</t>
  </si>
  <si>
    <t xml:space="preserve">S21/10/5</t>
  </si>
  <si>
    <t xml:space="preserve">B25/11.75/5</t>
  </si>
  <si>
    <t xml:space="preserve">Labelink Products</t>
  </si>
  <si>
    <t xml:space="preserve">Marco Giove</t>
  </si>
  <si>
    <t xml:space="preserve">S21/8.625/5</t>
  </si>
  <si>
    <t xml:space="preserve">S31/12.375/5</t>
  </si>
  <si>
    <t xml:space="preserve">B25/9.875/5</t>
  </si>
  <si>
    <t xml:space="preserve">Labelink Toronto</t>
  </si>
  <si>
    <t xml:space="preserve">Seema Samaroo</t>
  </si>
  <si>
    <t xml:space="preserve">S31/11.5/5</t>
  </si>
  <si>
    <t xml:space="preserve">B25/8.5/5</t>
  </si>
  <si>
    <t xml:space="preserve">B15/10/5</t>
  </si>
  <si>
    <t xml:space="preserve">D21/12.75/10</t>
  </si>
  <si>
    <t xml:space="preserve">email 20250215</t>
  </si>
  <si>
    <t xml:space="preserve">Isabelle Desrosiers</t>
  </si>
  <si>
    <t xml:space="preserve">Feuilles-échantillons</t>
  </si>
  <si>
    <t xml:space="preserve">Dan Cahill</t>
  </si>
  <si>
    <t xml:space="preserve">19022028-2</t>
  </si>
  <si>
    <t xml:space="preserve">Stéphanie Dion</t>
  </si>
  <si>
    <t xml:space="preserve">LEL=2025004+005</t>
  </si>
  <si>
    <t xml:space="preserve">email 20250224</t>
  </si>
  <si>
    <t xml:space="preserve">MK250227-2</t>
  </si>
  <si>
    <t xml:space="preserve">Échantillon DF52</t>
  </si>
  <si>
    <t xml:space="preserve">email 2025-03-05</t>
  </si>
  <si>
    <t xml:space="preserve">Échantillon S35</t>
  </si>
  <si>
    <t xml:space="preserve">Inter Label Systems</t>
  </si>
  <si>
    <t xml:space="preserve">Samples</t>
  </si>
  <si>
    <t xml:space="preserve">Sal Napolitano</t>
  </si>
  <si>
    <t xml:space="preserve">Étiquesse</t>
  </si>
  <si>
    <t xml:space="preserve">Stefan Cliche</t>
  </si>
  <si>
    <t xml:space="preserve">MK250314-3</t>
  </si>
  <si>
    <t xml:space="preserve">A</t>
  </si>
  <si>
    <t xml:space="preserve">Client</t>
  </si>
  <si>
    <t xml:space="preserve">Client #</t>
  </si>
  <si>
    <t xml:space="preserve"># Comm Client</t>
  </si>
  <si>
    <t xml:space="preserve">Notre # comm</t>
  </si>
  <si>
    <t xml:space="preserve">Code</t>
  </si>
  <si>
    <t xml:space="preserve">Item no</t>
  </si>
  <si>
    <t xml:space="preserve">Matière</t>
  </si>
  <si>
    <t xml:space="preserve">Item BT</t>
  </si>
  <si>
    <t xml:space="preserve">Item Prix revient</t>
  </si>
  <si>
    <t xml:space="preserve">Largeur</t>
  </si>
  <si>
    <t xml:space="preserve">Longueur</t>
  </si>
  <si>
    <t xml:space="preserve">Nb 
master</t>
  </si>
  <si>
    <t xml:space="preserve">Qté/ master</t>
  </si>
  <si>
    <t xml:space="preserve">Qté totale</t>
  </si>
  <si>
    <t xml:space="preserve">Item client</t>
  </si>
  <si>
    <t xml:space="preserve">Long. totale</t>
  </si>
  <si>
    <t xml:space="preserve">msi
/roul</t>
  </si>
  <si>
    <t xml:space="preserve">Total msi</t>
  </si>
  <si>
    <t xml:space="preserve">Soum 
#</t>
  </si>
  <si>
    <t xml:space="preserve">Item</t>
  </si>
  <si>
    <t xml:space="preserve">Prix/msi</t>
  </si>
  <si>
    <t xml:space="preserve">Prix/roul.</t>
  </si>
  <si>
    <t xml:space="preserve">Prix totoal</t>
  </si>
  <si>
    <t xml:space="preserve">Devise</t>
  </si>
  <si>
    <t xml:space="preserve">Code Mat</t>
  </si>
  <si>
    <t xml:space="preserve">Largeur totale</t>
  </si>
  <si>
    <t xml:space="preserve">354-1</t>
  </si>
  <si>
    <t xml:space="preserve">D21</t>
  </si>
  <si>
    <t xml:space="preserve">D21-354-1</t>
  </si>
  <si>
    <t xml:space="preserve">354D21</t>
  </si>
  <si>
    <t xml:space="preserve">326-D21-3</t>
  </si>
  <si>
    <t xml:space="preserve">354-2</t>
  </si>
  <si>
    <t xml:space="preserve">D21-354-2</t>
  </si>
  <si>
    <t xml:space="preserve">354-3</t>
  </si>
  <si>
    <t xml:space="preserve">D21-354-3</t>
  </si>
  <si>
    <t xml:space="preserve">354-4</t>
  </si>
  <si>
    <t xml:space="preserve">D21-354-4</t>
  </si>
  <si>
    <t xml:space="preserve">Select</t>
  </si>
  <si>
    <t xml:space="preserve">355-1</t>
  </si>
  <si>
    <t xml:space="preserve">S21</t>
  </si>
  <si>
    <t xml:space="preserve">S21-355-1</t>
  </si>
  <si>
    <t xml:space="preserve">355S21</t>
  </si>
  <si>
    <t xml:space="preserve">335-S21-1</t>
  </si>
  <si>
    <t xml:space="preserve">S21/4.375/5</t>
  </si>
  <si>
    <t xml:space="preserve">355-2</t>
  </si>
  <si>
    <t xml:space="preserve">S21-355-2</t>
  </si>
  <si>
    <t xml:space="preserve">S21/3.625/5</t>
  </si>
  <si>
    <t xml:space="preserve">355-3</t>
  </si>
  <si>
    <t xml:space="preserve">S21-355-3</t>
  </si>
  <si>
    <t xml:space="preserve">S21/3.75/5</t>
  </si>
  <si>
    <t xml:space="preserve">355-4</t>
  </si>
  <si>
    <t xml:space="preserve">S21-355-4</t>
  </si>
  <si>
    <t xml:space="preserve">S21/1.5/5</t>
  </si>
  <si>
    <t xml:space="preserve">356-1</t>
  </si>
  <si>
    <t xml:space="preserve">D21-356-1</t>
  </si>
  <si>
    <t xml:space="preserve">356D21</t>
  </si>
  <si>
    <t xml:space="preserve">317-D21-0</t>
  </si>
  <si>
    <t xml:space="preserve">D21/8.5/1</t>
  </si>
  <si>
    <t xml:space="preserve">356-2</t>
  </si>
  <si>
    <t xml:space="preserve">S15</t>
  </si>
  <si>
    <t xml:space="preserve">S15-356-2</t>
  </si>
  <si>
    <t xml:space="preserve">356S15</t>
  </si>
  <si>
    <t xml:space="preserve">317-S15-0</t>
  </si>
  <si>
    <t xml:space="preserve">S15/8.5/1</t>
  </si>
  <si>
    <t xml:space="preserve">356-3</t>
  </si>
  <si>
    <t xml:space="preserve">S21-356-3</t>
  </si>
  <si>
    <t xml:space="preserve">356S21</t>
  </si>
  <si>
    <t xml:space="preserve">317-S21-0</t>
  </si>
  <si>
    <t xml:space="preserve">S21/8.5/1</t>
  </si>
  <si>
    <t xml:space="preserve">356-4</t>
  </si>
  <si>
    <t xml:space="preserve">T11</t>
  </si>
  <si>
    <t xml:space="preserve">T11-356-4</t>
  </si>
  <si>
    <t xml:space="preserve">356T11</t>
  </si>
  <si>
    <t xml:space="preserve">317-T11-0</t>
  </si>
  <si>
    <t xml:space="preserve">T11/8.5/1</t>
  </si>
  <si>
    <t xml:space="preserve">Digi</t>
  </si>
  <si>
    <t xml:space="preserve">357-1</t>
  </si>
  <si>
    <t xml:space="preserve">D16</t>
  </si>
  <si>
    <t xml:space="preserve">D16-357-1</t>
  </si>
  <si>
    <t xml:space="preserve">357D16</t>
  </si>
  <si>
    <t xml:space="preserve">28A-200</t>
  </si>
  <si>
    <t xml:space="preserve">300-D16-0</t>
  </si>
  <si>
    <t xml:space="preserve">Damaflex (admin)</t>
  </si>
  <si>
    <t xml:space="preserve">358-1</t>
  </si>
  <si>
    <t xml:space="preserve">D11</t>
  </si>
  <si>
    <t xml:space="preserve">D11-358-1</t>
  </si>
  <si>
    <t xml:space="preserve">358D11</t>
  </si>
  <si>
    <t xml:space="preserve">324-D11-1</t>
  </si>
  <si>
    <t xml:space="preserve">358-2</t>
  </si>
  <si>
    <t xml:space="preserve">D11-358-2</t>
  </si>
  <si>
    <t xml:space="preserve">D11/15/5</t>
  </si>
  <si>
    <t xml:space="preserve">358-3</t>
  </si>
  <si>
    <t xml:space="preserve">B25</t>
  </si>
  <si>
    <t xml:space="preserve">B25-358-3</t>
  </si>
  <si>
    <t xml:space="preserve">358B25</t>
  </si>
  <si>
    <t xml:space="preserve">324-B25-1</t>
  </si>
  <si>
    <t xml:space="preserve">B25/9/1.8</t>
  </si>
  <si>
    <t xml:space="preserve">IMPSJ</t>
  </si>
  <si>
    <t xml:space="preserve">359-1</t>
  </si>
  <si>
    <t xml:space="preserve">S15-359-1</t>
  </si>
  <si>
    <t xml:space="preserve">359S15</t>
  </si>
  <si>
    <t xml:space="preserve">309-S15-4</t>
  </si>
  <si>
    <t xml:space="preserve">Unik</t>
  </si>
  <si>
    <t xml:space="preserve">360-1</t>
  </si>
  <si>
    <t xml:space="preserve">D11-360-1</t>
  </si>
  <si>
    <t xml:space="preserve">360D11</t>
  </si>
  <si>
    <t xml:space="preserve">329-D11-1</t>
  </si>
  <si>
    <t xml:space="preserve">D11/5.25/10</t>
  </si>
  <si>
    <t xml:space="preserve">360-2</t>
  </si>
  <si>
    <t xml:space="preserve">D11-360-2</t>
  </si>
  <si>
    <t xml:space="preserve">361-1</t>
  </si>
  <si>
    <t xml:space="preserve">S15-361-1</t>
  </si>
  <si>
    <t xml:space="preserve">361S15</t>
  </si>
  <si>
    <t xml:space="preserve">361-2</t>
  </si>
  <si>
    <t xml:space="preserve">S15-361-2</t>
  </si>
  <si>
    <t xml:space="preserve">362-1</t>
  </si>
  <si>
    <t xml:space="preserve">S21-362-1</t>
  </si>
  <si>
    <t xml:space="preserve">362S21</t>
  </si>
  <si>
    <t xml:space="preserve">309-S21-4</t>
  </si>
  <si>
    <t xml:space="preserve">363-1</t>
  </si>
  <si>
    <t xml:space="preserve">T11-363-1</t>
  </si>
  <si>
    <t xml:space="preserve">363T11</t>
  </si>
  <si>
    <t xml:space="preserve">T11/16.75/10</t>
  </si>
  <si>
    <t xml:space="preserve">363-2</t>
  </si>
  <si>
    <t xml:space="preserve">T11-363-2</t>
  </si>
  <si>
    <t xml:space="preserve">T11/8.5/10</t>
  </si>
  <si>
    <t xml:space="preserve">364-1</t>
  </si>
  <si>
    <t xml:space="preserve">B25-364-1</t>
  </si>
  <si>
    <t xml:space="preserve">364B25</t>
  </si>
  <si>
    <t xml:space="preserve">335-B25-1</t>
  </si>
  <si>
    <t xml:space="preserve">B25/3.75/5</t>
  </si>
  <si>
    <t xml:space="preserve">364-2</t>
  </si>
  <si>
    <t xml:space="preserve">B25-364-2</t>
  </si>
  <si>
    <t xml:space="preserve">B25/6.875/10</t>
  </si>
  <si>
    <t xml:space="preserve">365-1</t>
  </si>
  <si>
    <t xml:space="preserve">D21-365-1</t>
  </si>
  <si>
    <t xml:space="preserve">365D21</t>
  </si>
  <si>
    <t xml:space="preserve">D21/4.5/10</t>
  </si>
  <si>
    <t xml:space="preserve">365-2</t>
  </si>
  <si>
    <t xml:space="preserve">D21-365-2</t>
  </si>
  <si>
    <t xml:space="preserve">365-3</t>
  </si>
  <si>
    <t xml:space="preserve">D21-365-3</t>
  </si>
  <si>
    <t xml:space="preserve">366-1</t>
  </si>
  <si>
    <t xml:space="preserve">S15-366-1</t>
  </si>
  <si>
    <t xml:space="preserve">366S15</t>
  </si>
  <si>
    <t xml:space="preserve">367-1</t>
  </si>
  <si>
    <t xml:space="preserve">D16-367-1</t>
  </si>
  <si>
    <t xml:space="preserve">367D16</t>
  </si>
  <si>
    <t xml:space="preserve">367-2</t>
  </si>
  <si>
    <t xml:space="preserve">D16-367-2</t>
  </si>
  <si>
    <t xml:space="preserve">3G</t>
  </si>
  <si>
    <t xml:space="preserve">368-1</t>
  </si>
  <si>
    <t xml:space="preserve">F70</t>
  </si>
  <si>
    <t xml:space="preserve">F70-368-1</t>
  </si>
  <si>
    <t xml:space="preserve">368F70</t>
  </si>
  <si>
    <t xml:space="preserve">327-F70-3</t>
  </si>
  <si>
    <t xml:space="preserve">F70/11.66/16.9</t>
  </si>
  <si>
    <t xml:space="preserve">Luso-Flex</t>
  </si>
  <si>
    <t xml:space="preserve">369-1</t>
  </si>
  <si>
    <t xml:space="preserve">D21-369-1</t>
  </si>
  <si>
    <t xml:space="preserve">369D21</t>
  </si>
  <si>
    <t xml:space="preserve">310-D21-4</t>
  </si>
  <si>
    <t xml:space="preserve">D21/5/10</t>
  </si>
  <si>
    <t xml:space="preserve">369-2</t>
  </si>
  <si>
    <t xml:space="preserve">D21-369-2</t>
  </si>
  <si>
    <t xml:space="preserve">D21/12.875/10</t>
  </si>
  <si>
    <t xml:space="preserve">370-1</t>
  </si>
  <si>
    <t xml:space="preserve">T11-370-1</t>
  </si>
  <si>
    <t xml:space="preserve">370T11</t>
  </si>
  <si>
    <t xml:space="preserve">310-T11-4</t>
  </si>
  <si>
    <t xml:space="preserve">T11/12.875/10</t>
  </si>
  <si>
    <t xml:space="preserve">Nationale admin</t>
  </si>
  <si>
    <t xml:space="preserve">371-1</t>
  </si>
  <si>
    <t xml:space="preserve">T11-371-1</t>
  </si>
  <si>
    <t xml:space="preserve">371T11</t>
  </si>
  <si>
    <t xml:space="preserve">337-T11-2</t>
  </si>
  <si>
    <t xml:space="preserve">T11/12.75/10</t>
  </si>
  <si>
    <t xml:space="preserve">371-2</t>
  </si>
  <si>
    <t xml:space="preserve">T11-371-2</t>
  </si>
  <si>
    <t xml:space="preserve">372-1</t>
  </si>
  <si>
    <t xml:space="preserve">S21-372-1</t>
  </si>
  <si>
    <t xml:space="preserve">372S21</t>
  </si>
  <si>
    <t xml:space="preserve">324-S21-1</t>
  </si>
  <si>
    <t xml:space="preserve">S21/7.75/10</t>
  </si>
  <si>
    <t xml:space="preserve">372-2</t>
  </si>
  <si>
    <t xml:space="preserve">S21-372-2</t>
  </si>
  <si>
    <t xml:space="preserve">S21/8.75/10</t>
  </si>
  <si>
    <t xml:space="preserve">372-3</t>
  </si>
  <si>
    <t xml:space="preserve">S21-372-3</t>
  </si>
  <si>
    <t xml:space="preserve">S21/7/10</t>
  </si>
  <si>
    <t xml:space="preserve">372-4</t>
  </si>
  <si>
    <t xml:space="preserve">S21-372-4</t>
  </si>
  <si>
    <t xml:space="preserve">Mijo</t>
  </si>
  <si>
    <t xml:space="preserve">373-1</t>
  </si>
  <si>
    <t xml:space="preserve">S15-373-1</t>
  </si>
  <si>
    <t xml:space="preserve">373S15</t>
  </si>
  <si>
    <t xml:space="preserve">315-S15-1</t>
  </si>
  <si>
    <t xml:space="preserve">S15/10/10</t>
  </si>
  <si>
    <t xml:space="preserve">374-1</t>
  </si>
  <si>
    <t xml:space="preserve">B15</t>
  </si>
  <si>
    <t xml:space="preserve">B15-374-1</t>
  </si>
  <si>
    <t xml:space="preserve">374B15</t>
  </si>
  <si>
    <t xml:space="preserve">327-B15-3</t>
  </si>
  <si>
    <t xml:space="preserve">B15/15/10</t>
  </si>
  <si>
    <t xml:space="preserve">374-2</t>
  </si>
  <si>
    <t xml:space="preserve">B25-374-2</t>
  </si>
  <si>
    <t xml:space="preserve">374B25</t>
  </si>
  <si>
    <t xml:space="preserve">327-B25-3</t>
  </si>
  <si>
    <t xml:space="preserve">B25/15/10</t>
  </si>
  <si>
    <t xml:space="preserve">375-1</t>
  </si>
  <si>
    <t xml:space="preserve">DF52</t>
  </si>
  <si>
    <t xml:space="preserve">DF52-375-1</t>
  </si>
  <si>
    <t xml:space="preserve">375DF52</t>
  </si>
  <si>
    <t xml:space="preserve">310-DF52-4</t>
  </si>
  <si>
    <t xml:space="preserve">DF52/12.875/1</t>
  </si>
  <si>
    <t xml:space="preserve">376-1</t>
  </si>
  <si>
    <t xml:space="preserve">D11-376-1</t>
  </si>
  <si>
    <t xml:space="preserve">376D11</t>
  </si>
  <si>
    <t xml:space="preserve">335-D11-1</t>
  </si>
  <si>
    <t xml:space="preserve">D11/3.875/5</t>
  </si>
  <si>
    <t xml:space="preserve">376-2</t>
  </si>
  <si>
    <t xml:space="preserve">D11-376-2</t>
  </si>
  <si>
    <t xml:space="preserve">D11/8.875/5</t>
  </si>
  <si>
    <t xml:space="preserve">376-3</t>
  </si>
  <si>
    <t xml:space="preserve">D11-376-3</t>
  </si>
  <si>
    <t xml:space="preserve">D11/2.375/5</t>
  </si>
  <si>
    <t xml:space="preserve">376-4</t>
  </si>
  <si>
    <t xml:space="preserve">D11-376-4</t>
  </si>
  <si>
    <t xml:space="preserve">D11/2.25/5</t>
  </si>
  <si>
    <t xml:space="preserve">376-5</t>
  </si>
  <si>
    <t xml:space="preserve">S15-376-5</t>
  </si>
  <si>
    <t xml:space="preserve">376S15</t>
  </si>
  <si>
    <t xml:space="preserve">335-S15-1</t>
  </si>
  <si>
    <t xml:space="preserve">S15/6.875/5</t>
  </si>
  <si>
    <t xml:space="preserve">376-6</t>
  </si>
  <si>
    <t xml:space="preserve">S15-376-6</t>
  </si>
  <si>
    <t xml:space="preserve">S15/4.75/5</t>
  </si>
  <si>
    <t xml:space="preserve">376-7</t>
  </si>
  <si>
    <t xml:space="preserve">S15-376-7</t>
  </si>
  <si>
    <t xml:space="preserve">S15/3.75/5</t>
  </si>
  <si>
    <t xml:space="preserve">376-8</t>
  </si>
  <si>
    <t xml:space="preserve">S15-376-8</t>
  </si>
  <si>
    <t xml:space="preserve">S15/4.25/5</t>
  </si>
  <si>
    <t xml:space="preserve">376-9</t>
  </si>
  <si>
    <t xml:space="preserve">S15-376-9</t>
  </si>
  <si>
    <t xml:space="preserve">S15/3.625/5</t>
  </si>
  <si>
    <t xml:space="preserve">Multi-Flex</t>
  </si>
  <si>
    <t xml:space="preserve">377-1</t>
  </si>
  <si>
    <t xml:space="preserve">B25-377-1</t>
  </si>
  <si>
    <t xml:space="preserve">377B25</t>
  </si>
  <si>
    <t xml:space="preserve">311-B25-3</t>
  </si>
  <si>
    <t xml:space="preserve">B25/10/10</t>
  </si>
  <si>
    <t xml:space="preserve">378-1</t>
  </si>
  <si>
    <t xml:space="preserve">T11-378-1</t>
  </si>
  <si>
    <t xml:space="preserve">378T11</t>
  </si>
  <si>
    <t xml:space="preserve">S35</t>
  </si>
  <si>
    <t xml:space="preserve">S31</t>
  </si>
  <si>
    <t xml:space="preserve">Langue</t>
  </si>
  <si>
    <t xml:space="preserve">LabelEdge Inc.</t>
  </si>
  <si>
    <t xml:space="preserve">1620 Louis Bleriot #5</t>
  </si>
  <si>
    <t xml:space="preserve">Boucherville, Quebec, Canada, J4B 0K8</t>
  </si>
  <si>
    <t xml:space="preserve">order@labeledge.com</t>
  </si>
  <si>
    <t xml:space="preserve">514-242-4563</t>
  </si>
  <si>
    <t xml:space="preserve">Description</t>
  </si>
  <si>
    <t xml:space="preserve">TOTAL</t>
  </si>
  <si>
    <t xml:space="preserve">WO</t>
  </si>
  <si>
    <t xml:space="preserve">Master #</t>
  </si>
  <si>
    <t xml:space="preserve">Comm  client</t>
  </si>
  <si>
    <t xml:space="preserve"># comm</t>
  </si>
  <si>
    <t xml:space="preserve"># roul. à livrer</t>
  </si>
  <si>
    <t xml:space="preserve"># roul BT</t>
  </si>
  <si>
    <t xml:space="preserve">Long.tot. à livrer</t>
  </si>
  <si>
    <t xml:space="preserve">Matière à utiliser</t>
  </si>
  <si>
    <t xml:space="preserve">Code matière</t>
  </si>
  <si>
    <t xml:space="preserve">Rouleau à utiliser</t>
  </si>
  <si>
    <t xml:space="preserve">Nb master client</t>
  </si>
  <si>
    <t xml:space="preserve">Qté 1</t>
  </si>
  <si>
    <t xml:space="preserve">Larg 
1</t>
  </si>
  <si>
    <t xml:space="preserve">Qté 2</t>
  </si>
  <si>
    <t xml:space="preserve">Larg 
2</t>
  </si>
  <si>
    <t xml:space="preserve">Qté 3</t>
  </si>
  <si>
    <t xml:space="preserve">Larg 
3</t>
  </si>
  <si>
    <t xml:space="preserve">Qté 4</t>
  </si>
  <si>
    <t xml:space="preserve">Larg 
4</t>
  </si>
  <si>
    <t xml:space="preserve">Qté 5</t>
  </si>
  <si>
    <t xml:space="preserve">Larg 
5</t>
  </si>
  <si>
    <t xml:space="preserve">Commentaire</t>
  </si>
  <si>
    <t xml:space="preserve">40-1</t>
  </si>
  <si>
    <t xml:space="preserve">41-1</t>
  </si>
  <si>
    <t xml:space="preserve">42a</t>
  </si>
  <si>
    <t xml:space="preserve">42a-1</t>
  </si>
  <si>
    <t xml:space="preserve">Pour feuilles échantillon</t>
  </si>
  <si>
    <t xml:space="preserve">42b</t>
  </si>
  <si>
    <t xml:space="preserve">42b-1</t>
  </si>
  <si>
    <t xml:space="preserve">42c</t>
  </si>
  <si>
    <t xml:space="preserve">42c-1</t>
  </si>
  <si>
    <t xml:space="preserve">42d</t>
  </si>
  <si>
    <t xml:space="preserve">42d-1</t>
  </si>
  <si>
    <t xml:space="preserve">43-1</t>
  </si>
  <si>
    <t xml:space="preserve">44a</t>
  </si>
  <si>
    <t xml:space="preserve">44a-1</t>
  </si>
  <si>
    <t xml:space="preserve">Damaflex</t>
  </si>
  <si>
    <t xml:space="preserve">44b</t>
  </si>
  <si>
    <t xml:space="preserve">44b-1</t>
  </si>
  <si>
    <t xml:space="preserve">45-1</t>
  </si>
  <si>
    <t xml:space="preserve">46-1</t>
  </si>
  <si>
    <t xml:space="preserve">48-1</t>
  </si>
  <si>
    <t xml:space="preserve">48-2</t>
  </si>
  <si>
    <t xml:space="preserve">49-1</t>
  </si>
  <si>
    <t xml:space="preserve">50-1</t>
  </si>
  <si>
    <t xml:space="preserve">51-1</t>
  </si>
  <si>
    <t xml:space="preserve">1re passe: 10000pi @6x 6.875po</t>
  </si>
  <si>
    <t xml:space="preserve">51-2</t>
  </si>
  <si>
    <t xml:space="preserve">2e passe: 2x 5000pix 5x3.75po</t>
  </si>
  <si>
    <t xml:space="preserve">57-1</t>
  </si>
  <si>
    <t xml:space="preserve">D11-12</t>
  </si>
  <si>
    <t xml:space="preserve">58-1</t>
  </si>
  <si>
    <t xml:space="preserve">59-1</t>
  </si>
  <si>
    <t xml:space="preserve">59-2</t>
  </si>
  <si>
    <t xml:space="preserve">On jette 1.625po</t>
  </si>
  <si>
    <t xml:space="preserve">59-3</t>
  </si>
  <si>
    <t xml:space="preserve">On garde le 36.875po</t>
  </si>
  <si>
    <t xml:space="preserve">60-1</t>
  </si>
  <si>
    <t xml:space="preserve">Pleine largeur divisée en 3</t>
  </si>
  <si>
    <t xml:space="preserve">61-1</t>
  </si>
  <si>
    <t xml:space="preserve">On garde les 8.875po pour labels</t>
  </si>
  <si>
    <t xml:space="preserve">61-2</t>
  </si>
  <si>
    <t xml:space="preserve">On jette le 1.375po</t>
  </si>
  <si>
    <t xml:space="preserve">62-1</t>
  </si>
  <si>
    <t xml:space="preserve">T11-1</t>
  </si>
  <si>
    <t xml:space="preserve">62-2</t>
  </si>
  <si>
    <t xml:space="preserve">On garde le 34.625po pour labels</t>
  </si>
  <si>
    <t xml:space="preserve">63-1</t>
  </si>
  <si>
    <t xml:space="preserve">Nationale livraison</t>
  </si>
  <si>
    <t xml:space="preserve">64-1</t>
  </si>
  <si>
    <t xml:space="preserve">S21-1</t>
  </si>
  <si>
    <t xml:space="preserve">65-1</t>
  </si>
  <si>
    <t xml:space="preserve">S15-3</t>
  </si>
  <si>
    <t xml:space="preserve">66-1</t>
  </si>
  <si>
    <t xml:space="preserve">B15-3</t>
  </si>
  <si>
    <t xml:space="preserve">10039-</t>
  </si>
  <si>
    <t xml:space="preserve">Essayer d'utiliser la plus vieille matière (reste 1 rouleau 10039-)</t>
  </si>
  <si>
    <t xml:space="preserve">67-1</t>
  </si>
  <si>
    <t xml:space="preserve">B25-3</t>
  </si>
  <si>
    <t xml:space="preserve">LE-2025028-03</t>
  </si>
  <si>
    <t xml:space="preserve">68-1</t>
  </si>
  <si>
    <t xml:space="preserve">LE-2025056-03</t>
  </si>
  <si>
    <t xml:space="preserve">Assembler les 2x 300pi. On garde le 9.25po restant</t>
  </si>
  <si>
    <t xml:space="preserve">69-1</t>
  </si>
  <si>
    <t xml:space="preserve">LE-2025059-98</t>
  </si>
  <si>
    <t xml:space="preserve">Utiliser LE-2025059-98 (60x5250pi)</t>
  </si>
  <si>
    <t xml:space="preserve">70-1</t>
  </si>
  <si>
    <t xml:space="preserve">LE-2025065-07</t>
  </si>
  <si>
    <t xml:space="preserve">1re passe: Utiliser LE-2025065-07 (60x9850)</t>
  </si>
  <si>
    <t xml:space="preserve">70-2</t>
  </si>
  <si>
    <t xml:space="preserve">2e passe</t>
  </si>
  <si>
    <t xml:space="preserve">71-1</t>
  </si>
  <si>
    <t xml:space="preserve">NOUV. ROUL.</t>
  </si>
  <si>
    <t xml:space="preserve">72-1</t>
  </si>
  <si>
    <t xml:space="preserve">On garde la bobine de  8.875po large (étiquetttes)</t>
  </si>
  <si>
    <t xml:space="preserve">72-2</t>
  </si>
  <si>
    <t xml:space="preserve">72-3</t>
  </si>
  <si>
    <t xml:space="preserve">LE-2025062-16 (34.5x10400</t>
  </si>
  <si>
    <t xml:space="preserve">Utiliser LE-2025062-16 (34.5x10400). On garde la bobine le 1x12.875po et 1x8.875po</t>
  </si>
  <si>
    <t xml:space="preserve">10064-S15</t>
  </si>
  <si>
    <t xml:space="preserve">S35-3</t>
  </si>
  <si>
    <t xml:space="preserve">10039-S35</t>
  </si>
  <si>
    <t xml:space="preserve">LE-2025054-02</t>
  </si>
  <si>
    <t xml:space="preserve">Client : 13po. On garde le 12.5po</t>
  </si>
  <si>
    <t xml:space="preserve">LE-2025073-10</t>
  </si>
  <si>
    <t xml:space="preserve">10008-S21</t>
  </si>
  <si>
    <t xml:space="preserve">10051-T11</t>
  </si>
  <si>
    <t xml:space="preserve">Client: 12.875". On garde les 8.875" pour étiqu.</t>
  </si>
  <si>
    <t xml:space="preserve">Sample S21</t>
  </si>
  <si>
    <t xml:space="preserve">10024-S21</t>
  </si>
  <si>
    <t xml:space="preserve">LE-2025015-03</t>
  </si>
  <si>
    <t xml:space="preserve">Utiliser LE-2025015-03 (33.75x2400pi) 1x 12.875+1x13po. On garde le reste</t>
  </si>
  <si>
    <t xml:space="preserve">Sample B15</t>
  </si>
  <si>
    <t xml:space="preserve">10014-B15</t>
  </si>
  <si>
    <t xml:space="preserve">LE-2025020-03</t>
  </si>
  <si>
    <t xml:space="preserve">Utiliser LE-2025020-03 60po x 2800pi; on garde le reste.</t>
  </si>
  <si>
    <t xml:space="preserve">Sample D11</t>
  </si>
  <si>
    <t xml:space="preserve">10052-D11</t>
  </si>
  <si>
    <t xml:space="preserve">LE-2025069-17</t>
  </si>
  <si>
    <t xml:space="preserve">Utiliser LE-2025069-17 (32.625x5150pi) On garde le reste (2 roul)</t>
  </si>
  <si>
    <t xml:space="preserve">Avec WO 80</t>
  </si>
  <si>
    <t xml:space="preserve">10033-T11</t>
  </si>
  <si>
    <t xml:space="preserve">LE-2024188-01</t>
  </si>
  <si>
    <t xml:space="preserve">Utiliser LE-2024188-01 (23.75x2300). On garde le reste.</t>
  </si>
  <si>
    <t xml:space="preserve">Avec WO 78</t>
  </si>
  <si>
    <t xml:space="preserve">LE-2025054-03</t>
  </si>
  <si>
    <t xml:space="preserve">Utiliser 2025054-03 (34.125x920pi). Faire 2 bobines 10po large  x pleine longueur (on garde le 14")</t>
  </si>
  <si>
    <t xml:space="preserve">10039-B25</t>
  </si>
  <si>
    <t xml:space="preserve">Utiliser 202502-03 (60x9600pi)</t>
  </si>
  <si>
    <t xml:space="preserve">S31-3</t>
  </si>
  <si>
    <t xml:space="preserve">10071-S31</t>
  </si>
  <si>
    <t xml:space="preserve">Directives spéciales</t>
  </si>
  <si>
    <t xml:space="preserve">Notre commande #</t>
  </si>
  <si>
    <t xml:space="preserve">Date production</t>
  </si>
  <si>
    <t xml:space="preserve">Date requise</t>
  </si>
  <si>
    <t xml:space="preserve">PO</t>
  </si>
  <si>
    <t xml:space="preserve">Matière client</t>
  </si>
  <si>
    <t xml:space="preserve">Description matière client</t>
  </si>
  <si>
    <t xml:space="preserve">Rouleaux à livrer</t>
  </si>
  <si>
    <t xml:space="preserve">Longueur à livrer</t>
  </si>
  <si>
    <t xml:space="preserve">Qté roul client</t>
  </si>
  <si>
    <t xml:space="preserve">Largeur 1</t>
  </si>
  <si>
    <t xml:space="preserve">Qté largeur 1</t>
  </si>
  <si>
    <t xml:space="preserve">Largeur 2</t>
  </si>
  <si>
    <t xml:space="preserve">Qté largeur 2</t>
  </si>
  <si>
    <t xml:space="preserve">Largeur 3</t>
  </si>
  <si>
    <t xml:space="preserve">Qté largeur 3</t>
  </si>
  <si>
    <t xml:space="preserve">Largeur 4</t>
  </si>
  <si>
    <t xml:space="preserve">Qté largeur 4</t>
  </si>
  <si>
    <t xml:space="preserve">Largeur 5</t>
  </si>
  <si>
    <t xml:space="preserve">Qté largeur 5</t>
  </si>
  <si>
    <t xml:space="preserve">Notes 1</t>
  </si>
  <si>
    <t xml:space="preserve">Notes 2</t>
  </si>
  <si>
    <t xml:space="preserve">Notes 3</t>
  </si>
  <si>
    <t xml:space="preserve">SANS ÉCHANTILLONS</t>
  </si>
  <si>
    <t xml:space="preserve">&lt;&gt;</t>
  </si>
  <si>
    <t xml:space="preserve">VENTES (SANS ÉCHANTILLONS)</t>
  </si>
  <si>
    <t xml:space="preserve">ÉCHANTILLONS</t>
  </si>
  <si>
    <t xml:space="preserve">Bon de Travail</t>
  </si>
  <si>
    <t xml:space="preserve">État</t>
  </si>
  <si>
    <t xml:space="preserve"># Comm LE</t>
  </si>
  <si>
    <t xml:space="preserve">Client LE</t>
  </si>
  <si>
    <t xml:space="preserve">Commande client</t>
  </si>
  <si>
    <t xml:space="preserve">Produit (Client)</t>
  </si>
  <si>
    <t xml:space="preserve">Code LE</t>
  </si>
  <si>
    <t xml:space="preserve">Matière utilisée</t>
  </si>
  <si>
    <t xml:space="preserve">Qté utilisée (msi)</t>
  </si>
  <si>
    <t xml:space="preserve">Stock ajout (msi)</t>
  </si>
  <si>
    <t xml:space="preserve">Qté livrée (msi)</t>
  </si>
  <si>
    <t xml:space="preserve">Stock retrait (msi)</t>
  </si>
  <si>
    <t xml:space="preserve">Longueur tube</t>
  </si>
  <si>
    <t xml:space="preserve">Nb Palettes</t>
  </si>
  <si>
    <t xml:space="preserve">Temps</t>
  </si>
  <si>
    <t xml:space="preserve">Coût transport (CAD)</t>
  </si>
  <si>
    <t xml:space="preserve">Taux de change</t>
  </si>
  <si>
    <t xml:space="preserve">Prix achat MP (CAD)</t>
  </si>
  <si>
    <t xml:space="preserve">Coût MP (CAD)</t>
  </si>
  <si>
    <t xml:space="preserve">Rebut (CAD)</t>
  </si>
  <si>
    <t xml:space="preserve">% rebut</t>
  </si>
  <si>
    <t xml:space="preserve">Coût tubes</t>
  </si>
  <si>
    <t xml:space="preserve">Coût palettes</t>
  </si>
  <si>
    <t xml:space="preserve">Coût MO</t>
  </si>
  <si>
    <t xml:space="preserve">Coût total (incl rebut)</t>
  </si>
  <si>
    <t xml:space="preserve">Prix vente</t>
  </si>
  <si>
    <t xml:space="preserve">Devise vente</t>
  </si>
  <si>
    <t xml:space="preserve">Prix vente (CAD)</t>
  </si>
  <si>
    <t xml:space="preserve">Profit incl rebut (perte) (CAD)</t>
  </si>
  <si>
    <t xml:space="preserve">Profit (%)</t>
  </si>
  <si>
    <t xml:space="preserve">Cout MP (incl rebut)</t>
  </si>
  <si>
    <t xml:space="preserve">% MP (incl rebut)</t>
  </si>
  <si>
    <t xml:space="preserve">Valeur/msi</t>
  </si>
  <si>
    <t xml:space="preserve">msi vendus</t>
  </si>
  <si>
    <t xml:space="preserve">Coût MP</t>
  </si>
  <si>
    <t xml:space="preserve">Coût transport</t>
  </si>
  <si>
    <t xml:space="preserve">Ventes CAD</t>
  </si>
  <si>
    <t xml:space="preserve">Profit CAD</t>
  </si>
  <si>
    <t xml:space="preserve">Data</t>
  </si>
  <si>
    <t xml:space="preserve">Coût échantillons</t>
  </si>
  <si>
    <t xml:space="preserve">Mois</t>
  </si>
  <si>
    <t xml:space="preserve">Matière 2</t>
  </si>
  <si>
    <t xml:space="preserve">Utilisée</t>
  </si>
  <si>
    <t xml:space="preserve">Matière par mois (msi) (incluant échantillons)</t>
  </si>
  <si>
    <t xml:space="preserve">LE-2024051</t>
  </si>
  <si>
    <t xml:space="preserve">Fermé</t>
  </si>
  <si>
    <t xml:space="preserve">BLS</t>
  </si>
  <si>
    <t xml:space="preserve">S</t>
  </si>
  <si>
    <t xml:space="preserve">Row Labels</t>
  </si>
  <si>
    <t xml:space="preserve">Total MSI vendus</t>
  </si>
  <si>
    <t xml:space="preserve">Ventes Total CAD</t>
  </si>
  <si>
    <t xml:space="preserve">Coût MP total</t>
  </si>
  <si>
    <t xml:space="preserve">Total Ship</t>
  </si>
  <si>
    <t xml:space="preserve">Profit total  CAD</t>
  </si>
  <si>
    <t xml:space="preserve">Total msi livrés</t>
  </si>
  <si>
    <t xml:space="preserve">Coût total échantillons</t>
  </si>
  <si>
    <t xml:space="preserve">D11-1</t>
  </si>
  <si>
    <t xml:space="preserve">D11-2</t>
  </si>
  <si>
    <t xml:space="preserve">D11-3</t>
  </si>
  <si>
    <t xml:space="preserve">D16-1</t>
  </si>
  <si>
    <t xml:space="preserve">D21-1</t>
  </si>
  <si>
    <t xml:space="preserve">F70-6</t>
  </si>
  <si>
    <t xml:space="preserve">S11-3</t>
  </si>
  <si>
    <t xml:space="preserve">S31-1</t>
  </si>
  <si>
    <t xml:space="preserve">#NAME?</t>
  </si>
  <si>
    <t xml:space="preserve">Total Result</t>
  </si>
  <si>
    <t xml:space="preserve">S11</t>
  </si>
  <si>
    <t xml:space="preserve">LE-2024052</t>
  </si>
  <si>
    <t xml:space="preserve">2024-10</t>
  </si>
  <si>
    <t xml:space="preserve">2024-04</t>
  </si>
  <si>
    <t xml:space="preserve">LE-2024053</t>
  </si>
  <si>
    <t xml:space="preserve">Labelink</t>
  </si>
  <si>
    <t xml:space="preserve">Données non disponibles</t>
  </si>
  <si>
    <t xml:space="preserve">2024-11</t>
  </si>
  <si>
    <t xml:space="preserve">2024-05</t>
  </si>
  <si>
    <t xml:space="preserve">LE-2024054</t>
  </si>
  <si>
    <t xml:space="preserve">2024-12</t>
  </si>
  <si>
    <t xml:space="preserve">2024-06</t>
  </si>
  <si>
    <t xml:space="preserve">LE-2024055</t>
  </si>
  <si>
    <t xml:space="preserve">2024-07</t>
  </si>
  <si>
    <t xml:space="preserve">LE-2024056</t>
  </si>
  <si>
    <t xml:space="preserve">2024-08</t>
  </si>
  <si>
    <t xml:space="preserve">LE-2024057</t>
  </si>
  <si>
    <t xml:space="preserve">2024-09</t>
  </si>
  <si>
    <t xml:space="preserve">LE-2024058</t>
  </si>
  <si>
    <t xml:space="preserve">Annulé</t>
  </si>
  <si>
    <t xml:space="preserve">LE-2024059</t>
  </si>
  <si>
    <t xml:space="preserve">Bas St-Laurent</t>
  </si>
  <si>
    <t xml:space="preserve">LE-2024060</t>
  </si>
  <si>
    <t xml:space="preserve">LE-2024061-1</t>
  </si>
  <si>
    <t xml:space="preserve">Produlith</t>
  </si>
  <si>
    <t xml:space="preserve">2025-01</t>
  </si>
  <si>
    <t xml:space="preserve">LE-2024061</t>
  </si>
  <si>
    <t xml:space="preserve">2025-02</t>
  </si>
  <si>
    <t xml:space="preserve">LE-2024062</t>
  </si>
  <si>
    <t xml:space="preserve">Corsair</t>
  </si>
  <si>
    <t xml:space="preserve">2025-03</t>
  </si>
  <si>
    <t xml:space="preserve">LE-2024063</t>
  </si>
  <si>
    <t xml:space="preserve">LE-2024064</t>
  </si>
  <si>
    <t xml:space="preserve">LE-2024065</t>
  </si>
  <si>
    <t xml:space="preserve">LE-2024066</t>
  </si>
  <si>
    <t xml:space="preserve">LE-2024067</t>
  </si>
  <si>
    <t xml:space="preserve">Nb mois opération</t>
  </si>
  <si>
    <t xml:space="preserve">LE-2024068</t>
  </si>
  <si>
    <t xml:space="preserve">Consommation par mois</t>
  </si>
  <si>
    <t xml:space="preserve">LE-2024069</t>
  </si>
  <si>
    <t xml:space="preserve">Damaflex livraison</t>
  </si>
  <si>
    <t xml:space="preserve">LE-2024070</t>
  </si>
  <si>
    <t xml:space="preserve">Stock (en mois)</t>
  </si>
  <si>
    <t xml:space="preserve">LE-2024072</t>
  </si>
  <si>
    <t xml:space="preserve">Commande 1 (SQM x 1.55)</t>
  </si>
  <si>
    <t xml:space="preserve">LE-2024073</t>
  </si>
  <si>
    <t xml:space="preserve">Date arrivée</t>
  </si>
  <si>
    <t xml:space="preserve">LE-2024074</t>
  </si>
  <si>
    <t xml:space="preserve">Digi America Inc.</t>
  </si>
  <si>
    <t xml:space="preserve">Commande 2 (SQM x 1.55)</t>
  </si>
  <si>
    <t xml:space="preserve">LE-2024075</t>
  </si>
  <si>
    <t xml:space="preserve">LE-2024076</t>
  </si>
  <si>
    <t xml:space="preserve">Commande 3 (SQM x 1.55)</t>
  </si>
  <si>
    <t xml:space="preserve">LE-2024077</t>
  </si>
  <si>
    <t xml:space="preserve">Crucial</t>
  </si>
  <si>
    <t xml:space="preserve">LE-2024078</t>
  </si>
  <si>
    <t xml:space="preserve">Total Stock + commandes</t>
  </si>
  <si>
    <t xml:space="preserve">LE-2024079</t>
  </si>
  <si>
    <t xml:space="preserve">Nb mois (stock + commande)</t>
  </si>
  <si>
    <t xml:space="preserve">LE-2024080</t>
  </si>
  <si>
    <t xml:space="preserve">LE-2024081</t>
  </si>
  <si>
    <t xml:space="preserve">*mis à jour 2025-03-10</t>
  </si>
  <si>
    <t xml:space="preserve">LE-2024082</t>
  </si>
  <si>
    <t xml:space="preserve">iFlex</t>
  </si>
  <si>
    <t xml:space="preserve">* Réviser le nb de mois</t>
  </si>
  <si>
    <t xml:space="preserve">LE-2024083</t>
  </si>
  <si>
    <t xml:space="preserve">* multiplier les SQM par 1.55</t>
  </si>
  <si>
    <t xml:space="preserve">LE-2024084</t>
  </si>
  <si>
    <t xml:space="preserve">LE-2024085</t>
  </si>
  <si>
    <t xml:space="preserve">LE-2024086</t>
  </si>
  <si>
    <t xml:space="preserve">LE-2024087</t>
  </si>
  <si>
    <t xml:space="preserve">LE-2024088</t>
  </si>
  <si>
    <t xml:space="preserve">LE-2024089</t>
  </si>
  <si>
    <t xml:space="preserve">LE-2024090</t>
  </si>
  <si>
    <t xml:space="preserve">LE-2024091</t>
  </si>
  <si>
    <t xml:space="preserve">LE-2024092</t>
  </si>
  <si>
    <t xml:space="preserve">LE-2024093</t>
  </si>
  <si>
    <t xml:space="preserve">LE-2024094</t>
  </si>
  <si>
    <t xml:space="preserve">LE-2024095</t>
  </si>
  <si>
    <t xml:space="preserve">LE-2024096</t>
  </si>
  <si>
    <t xml:space="preserve">LE-2024097</t>
  </si>
  <si>
    <t xml:space="preserve">LE-2024098</t>
  </si>
  <si>
    <t xml:space="preserve">Labelink Mtrl</t>
  </si>
  <si>
    <t xml:space="preserve">LE-2024099</t>
  </si>
  <si>
    <t xml:space="preserve">LE-2024100</t>
  </si>
  <si>
    <t xml:space="preserve">LE-2024101</t>
  </si>
  <si>
    <t xml:space="preserve">LE-2024102</t>
  </si>
  <si>
    <t xml:space="preserve">LE-2024103</t>
  </si>
  <si>
    <t xml:space="preserve">LE-2024104</t>
  </si>
  <si>
    <t xml:space="preserve">LE-2024105</t>
  </si>
  <si>
    <t xml:space="preserve">LE-2024106</t>
  </si>
  <si>
    <t xml:space="preserve">LE-2024107</t>
  </si>
  <si>
    <t xml:space="preserve">LE-2024108</t>
  </si>
  <si>
    <t xml:space="preserve">LE-2024109</t>
  </si>
  <si>
    <t xml:space="preserve">LE-2024110</t>
  </si>
  <si>
    <t xml:space="preserve">LE-2024111</t>
  </si>
  <si>
    <t xml:space="preserve">LE-2024112</t>
  </si>
  <si>
    <t xml:space="preserve">Alpha</t>
  </si>
  <si>
    <t xml:space="preserve">LE-2024113</t>
  </si>
  <si>
    <t xml:space="preserve">LE-2024114</t>
  </si>
  <si>
    <t xml:space="preserve">LE-2024115</t>
  </si>
  <si>
    <t xml:space="preserve">LE-2024116</t>
  </si>
  <si>
    <t xml:space="preserve">LE-2024117</t>
  </si>
  <si>
    <t xml:space="preserve">LE-2024118</t>
  </si>
  <si>
    <t xml:space="preserve">LE-2024119</t>
  </si>
  <si>
    <t xml:space="preserve">LE-2024120</t>
  </si>
  <si>
    <t xml:space="preserve">LE-2024120-1</t>
  </si>
  <si>
    <t xml:space="preserve">LE-2024120-2</t>
  </si>
  <si>
    <t xml:space="preserve">LE-2024120-3</t>
  </si>
  <si>
    <t xml:space="preserve">Damaflex Imprimerie Multiservices</t>
  </si>
  <si>
    <t xml:space="preserve">LE-2024121</t>
  </si>
  <si>
    <t xml:space="preserve">LE-2024121-1</t>
  </si>
  <si>
    <t xml:space="preserve">LE-2024122</t>
  </si>
  <si>
    <t xml:space="preserve">LE-2024122-1</t>
  </si>
  <si>
    <t xml:space="preserve">LE-2024123</t>
  </si>
  <si>
    <t xml:space="preserve">LE-2024124</t>
  </si>
  <si>
    <t xml:space="preserve">LE-2024125</t>
  </si>
  <si>
    <t xml:space="preserve">LE-2024126</t>
  </si>
  <si>
    <t xml:space="preserve">LE-2024127</t>
  </si>
  <si>
    <t xml:space="preserve">LE-2024128</t>
  </si>
  <si>
    <t xml:space="preserve">LE-2024129</t>
  </si>
  <si>
    <t xml:space="preserve">LE-2024130</t>
  </si>
  <si>
    <t xml:space="preserve">LE-2024131</t>
  </si>
  <si>
    <t xml:space="preserve">LE-2024132</t>
  </si>
  <si>
    <t xml:space="preserve">SYL</t>
  </si>
  <si>
    <t xml:space="preserve">LE-2024132-1</t>
  </si>
  <si>
    <t xml:space="preserve">LE-2024133</t>
  </si>
  <si>
    <t xml:space="preserve">F80-81-82</t>
  </si>
  <si>
    <t xml:space="preserve">LE-2024134</t>
  </si>
  <si>
    <t xml:space="preserve">LE-2024135</t>
  </si>
  <si>
    <t xml:space="preserve">LE-2024136</t>
  </si>
  <si>
    <t xml:space="preserve">LE-2024137</t>
  </si>
  <si>
    <t xml:space="preserve">LE-2024138</t>
  </si>
  <si>
    <t xml:space="preserve">LE-2024139</t>
  </si>
  <si>
    <t xml:space="preserve">LE-2024140</t>
  </si>
  <si>
    <t xml:space="preserve">LE-2024141</t>
  </si>
  <si>
    <t xml:space="preserve">LE-2024142</t>
  </si>
  <si>
    <t xml:space="preserve">LE-2024143</t>
  </si>
  <si>
    <t xml:space="preserve">LE-2024144</t>
  </si>
  <si>
    <t xml:space="preserve">LE-2024144-1</t>
  </si>
  <si>
    <t xml:space="preserve">LE-2024145</t>
  </si>
  <si>
    <t xml:space="preserve">LE-2024146</t>
  </si>
  <si>
    <t xml:space="preserve">LE-2024147</t>
  </si>
  <si>
    <t xml:space="preserve">LE-2024148</t>
  </si>
  <si>
    <t xml:space="preserve">LE-2024149</t>
  </si>
  <si>
    <t xml:space="preserve">LE-2024150</t>
  </si>
  <si>
    <t xml:space="preserve">LE-2024151</t>
  </si>
  <si>
    <t xml:space="preserve">LE-2024152</t>
  </si>
  <si>
    <t xml:space="preserve">3G Print Group Inc.</t>
  </si>
  <si>
    <t xml:space="preserve">LE-2024153</t>
  </si>
  <si>
    <t xml:space="preserve">LE-2024154</t>
  </si>
  <si>
    <t xml:space="preserve">LE-2024155</t>
  </si>
  <si>
    <t xml:space="preserve">LE-2024156</t>
  </si>
  <si>
    <t xml:space="preserve">LE-2024157</t>
  </si>
  <si>
    <t xml:space="preserve">Matière pour Luso 440-2</t>
  </si>
  <si>
    <t xml:space="preserve">LE-2024158</t>
  </si>
  <si>
    <t xml:space="preserve">LE-2024159</t>
  </si>
  <si>
    <t xml:space="preserve">LE-2024160</t>
  </si>
  <si>
    <t xml:space="preserve">LE-2024160-1</t>
  </si>
  <si>
    <t xml:space="preserve">LE-2024161</t>
  </si>
  <si>
    <t xml:space="preserve">4x6</t>
  </si>
  <si>
    <t xml:space="preserve">LE-2024162</t>
  </si>
  <si>
    <t xml:space="preserve">LE-2024163</t>
  </si>
  <si>
    <t xml:space="preserve">LE-2024164</t>
  </si>
  <si>
    <t xml:space="preserve">LE-2024165</t>
  </si>
  <si>
    <t xml:space="preserve">LE-2024166</t>
  </si>
  <si>
    <t xml:space="preserve">LE-2024167</t>
  </si>
  <si>
    <t xml:space="preserve">LE-2024168</t>
  </si>
  <si>
    <t xml:space="preserve">LE-2024169</t>
  </si>
  <si>
    <t xml:space="preserve">LE-2024170</t>
  </si>
  <si>
    <t xml:space="preserve">LE-2024171</t>
  </si>
  <si>
    <t xml:space="preserve">LE-2024172</t>
  </si>
  <si>
    <t xml:space="preserve">LE-2024173</t>
  </si>
  <si>
    <t xml:space="preserve">LE-2024174</t>
  </si>
  <si>
    <t xml:space="preserve">LE-2024175</t>
  </si>
  <si>
    <t xml:space="preserve">LE-2024176</t>
  </si>
  <si>
    <t xml:space="preserve">LE-2024177</t>
  </si>
  <si>
    <t xml:space="preserve">LE-2024178</t>
  </si>
  <si>
    <t xml:space="preserve">LE-2024179</t>
  </si>
  <si>
    <t xml:space="preserve">LE-2024180</t>
  </si>
  <si>
    <t xml:space="preserve">LE-2024181</t>
  </si>
  <si>
    <t xml:space="preserve">LE-2024182</t>
  </si>
  <si>
    <t xml:space="preserve">LE-2024183</t>
  </si>
  <si>
    <t xml:space="preserve">LE-2024184</t>
  </si>
  <si>
    <t xml:space="preserve">Sample S15</t>
  </si>
  <si>
    <t xml:space="preserve">LE-2024185</t>
  </si>
  <si>
    <t xml:space="preserve">LE-2024186</t>
  </si>
  <si>
    <t xml:space="preserve">LE-2024187</t>
  </si>
  <si>
    <t xml:space="preserve">LE-2024188</t>
  </si>
  <si>
    <t xml:space="preserve">LE-2024189</t>
  </si>
  <si>
    <t xml:space="preserve">LE-2024190</t>
  </si>
  <si>
    <t xml:space="preserve">LE-2024191</t>
  </si>
  <si>
    <t xml:space="preserve">Étiquettes Rive-Sud+Unik</t>
  </si>
  <si>
    <t xml:space="preserve">LE-2024192</t>
  </si>
  <si>
    <t xml:space="preserve">Échantillon S21</t>
  </si>
  <si>
    <t xml:space="preserve">LE-2024193</t>
  </si>
  <si>
    <t xml:space="preserve">LE-2024194</t>
  </si>
  <si>
    <t xml:space="preserve">LE-2024195</t>
  </si>
  <si>
    <t xml:space="preserve">LE-2024196</t>
  </si>
  <si>
    <t xml:space="preserve">LE-2024197</t>
  </si>
  <si>
    <t xml:space="preserve">LE-2024198</t>
  </si>
  <si>
    <t xml:space="preserve">LE-2024199</t>
  </si>
  <si>
    <t xml:space="preserve">LE-2024200</t>
  </si>
  <si>
    <t xml:space="preserve">LE-2024201</t>
  </si>
  <si>
    <t xml:space="preserve">LE-2024202</t>
  </si>
  <si>
    <t xml:space="preserve">LE-2024203</t>
  </si>
  <si>
    <t xml:space="preserve">LE-2024204</t>
  </si>
  <si>
    <t xml:space="preserve">annulé</t>
  </si>
  <si>
    <t xml:space="preserve">LE-2024205</t>
  </si>
  <si>
    <t xml:space="preserve">LE-2024206</t>
  </si>
  <si>
    <t xml:space="preserve">LE-2024207</t>
  </si>
  <si>
    <t xml:space="preserve">LE-2024208</t>
  </si>
  <si>
    <t xml:space="preserve">1952+1960</t>
  </si>
  <si>
    <t xml:space="preserve">LE-2024209</t>
  </si>
  <si>
    <t xml:space="preserve">LE-2024210</t>
  </si>
  <si>
    <t xml:space="preserve">LE-2024211</t>
  </si>
  <si>
    <t xml:space="preserve">LE-2024212</t>
  </si>
  <si>
    <t xml:space="preserve">LE-2024213</t>
  </si>
  <si>
    <t xml:space="preserve">LE-2024214</t>
  </si>
  <si>
    <t xml:space="preserve">LE-2024215</t>
  </si>
  <si>
    <t xml:space="preserve">LE-2024216</t>
  </si>
  <si>
    <t xml:space="preserve">LE-2024217</t>
  </si>
  <si>
    <t xml:space="preserve">LE-2024218</t>
  </si>
  <si>
    <t xml:space="preserve">LE-2024219</t>
  </si>
  <si>
    <t xml:space="preserve">LE-2024220</t>
  </si>
  <si>
    <t xml:space="preserve">LE-2024221</t>
  </si>
  <si>
    <t xml:space="preserve">LE-2024222</t>
  </si>
  <si>
    <t xml:space="preserve">LE-2024223</t>
  </si>
  <si>
    <t xml:space="preserve">LE-2024224</t>
  </si>
  <si>
    <t xml:space="preserve">LE-2024225</t>
  </si>
  <si>
    <t xml:space="preserve">LE-2024226</t>
  </si>
  <si>
    <t xml:space="preserve">LE-2024227</t>
  </si>
  <si>
    <t xml:space="preserve">LE-2024228</t>
  </si>
  <si>
    <t xml:space="preserve">LE-2024229</t>
  </si>
  <si>
    <t xml:space="preserve">LE-2024230</t>
  </si>
  <si>
    <t xml:space="preserve">LE-2024231</t>
  </si>
  <si>
    <t xml:space="preserve">LE-2024232</t>
  </si>
  <si>
    <t xml:space="preserve">LE-2024233</t>
  </si>
  <si>
    <t xml:space="preserve">LE-2024234</t>
  </si>
  <si>
    <t xml:space="preserve">LE-2024235</t>
  </si>
  <si>
    <t xml:space="preserve">LE-2024236</t>
  </si>
  <si>
    <t xml:space="preserve">LE-2024237</t>
  </si>
  <si>
    <t xml:space="preserve">LE-2024238</t>
  </si>
  <si>
    <t xml:space="preserve">LE-2024239</t>
  </si>
  <si>
    <t xml:space="preserve">LE-2024240</t>
  </si>
  <si>
    <t xml:space="preserve">LE-2024241</t>
  </si>
  <si>
    <t xml:space="preserve">LE-2024242</t>
  </si>
  <si>
    <t xml:space="preserve">LE-2024243</t>
  </si>
  <si>
    <t xml:space="preserve">LE-2024244</t>
  </si>
  <si>
    <t xml:space="preserve">LE-2025001</t>
  </si>
  <si>
    <t xml:space="preserve">LE-2025002</t>
  </si>
  <si>
    <t xml:space="preserve">LE-2025003</t>
  </si>
  <si>
    <t xml:space="preserve">LE-2025004</t>
  </si>
  <si>
    <t xml:space="preserve">LE-2025005</t>
  </si>
  <si>
    <t xml:space="preserve">LE-2025006</t>
  </si>
  <si>
    <t xml:space="preserve">LE-2025007</t>
  </si>
  <si>
    <t xml:space="preserve">LE-2025008</t>
  </si>
  <si>
    <t xml:space="preserve">30040+30043</t>
  </si>
  <si>
    <t xml:space="preserve">LE-2025009</t>
  </si>
  <si>
    <t xml:space="preserve">LE-2025010</t>
  </si>
  <si>
    <t xml:space="preserve">LE-2025011</t>
  </si>
  <si>
    <t xml:space="preserve">LE-2025012</t>
  </si>
  <si>
    <t xml:space="preserve">LE-2025013-1</t>
  </si>
  <si>
    <t xml:space="preserve">LE-2025013-2</t>
  </si>
  <si>
    <t xml:space="preserve">LE-2025014</t>
  </si>
  <si>
    <t xml:space="preserve">LE-2025015</t>
  </si>
  <si>
    <t xml:space="preserve">LE-2025016</t>
  </si>
  <si>
    <t xml:space="preserve">LE-2025017</t>
  </si>
  <si>
    <t xml:space="preserve">LE-2025018</t>
  </si>
  <si>
    <t xml:space="preserve">LE-2025019-1</t>
  </si>
  <si>
    <t xml:space="preserve">LE-2025019-2</t>
  </si>
  <si>
    <t xml:space="preserve">Échantillon S15</t>
  </si>
  <si>
    <t xml:space="preserve">LE-2025020</t>
  </si>
  <si>
    <t xml:space="preserve">LE-2025021</t>
  </si>
  <si>
    <t xml:space="preserve">LE-2025022</t>
  </si>
  <si>
    <t xml:space="preserve">LE-2025023-1</t>
  </si>
  <si>
    <t xml:space="preserve">LE-2025023-2</t>
  </si>
  <si>
    <t xml:space="preserve">LE-2025024</t>
  </si>
  <si>
    <t xml:space="preserve">LE-2025025</t>
  </si>
  <si>
    <t xml:space="preserve">LE-2025026</t>
  </si>
  <si>
    <t xml:space="preserve">LE-2025027</t>
  </si>
  <si>
    <t xml:space="preserve">LE-2025028</t>
  </si>
  <si>
    <t xml:space="preserve">LE-2025029</t>
  </si>
  <si>
    <t xml:space="preserve">LE-2025030</t>
  </si>
  <si>
    <t xml:space="preserve">LE-2025031</t>
  </si>
  <si>
    <t xml:space="preserve">LE-2025032</t>
  </si>
  <si>
    <t xml:space="preserve">LE-2025033</t>
  </si>
  <si>
    <t xml:space="preserve">LE-2025034</t>
  </si>
  <si>
    <t xml:space="preserve">LE-2025035</t>
  </si>
  <si>
    <t xml:space="preserve">LE-2025036</t>
  </si>
  <si>
    <t xml:space="preserve">LE-2025037</t>
  </si>
  <si>
    <t xml:space="preserve">LE-2025038</t>
  </si>
  <si>
    <t xml:space="preserve">LE-2025039</t>
  </si>
  <si>
    <t xml:space="preserve">LE-2025040</t>
  </si>
  <si>
    <t xml:space="preserve">LE-2025041</t>
  </si>
  <si>
    <t xml:space="preserve">courriel 20250215</t>
  </si>
  <si>
    <t xml:space="preserve">LE-2025042-1</t>
  </si>
  <si>
    <t xml:space="preserve">LE-2025042-2</t>
  </si>
  <si>
    <t xml:space="preserve">LE-2025042-3</t>
  </si>
  <si>
    <t xml:space="preserve">LE-2025042-4</t>
  </si>
  <si>
    <t xml:space="preserve">LE-2025043</t>
  </si>
  <si>
    <t xml:space="preserve">LE-2025044</t>
  </si>
  <si>
    <t xml:space="preserve">LE-2025045</t>
  </si>
  <si>
    <t xml:space="preserve">LE-2025046</t>
  </si>
  <si>
    <t xml:space="preserve">LE-2025047-1</t>
  </si>
  <si>
    <t xml:space="preserve">LE-2025047-2</t>
  </si>
  <si>
    <t xml:space="preserve">LE-2025048</t>
  </si>
  <si>
    <t xml:space="preserve">LE-2025049</t>
  </si>
  <si>
    <t xml:space="preserve">LE-2025050</t>
  </si>
  <si>
    <t xml:space="preserve">LEL-2025004</t>
  </si>
  <si>
    <t xml:space="preserve">LE-2025051</t>
  </si>
  <si>
    <t xml:space="preserve">LE-2025052</t>
  </si>
  <si>
    <t xml:space="preserve">LE-2025053</t>
  </si>
  <si>
    <t xml:space="preserve">LE-2025054</t>
  </si>
  <si>
    <t xml:space="preserve">LE-2025055</t>
  </si>
  <si>
    <t xml:space="preserve">LE-2025056</t>
  </si>
  <si>
    <t xml:space="preserve">DF52-3</t>
  </si>
  <si>
    <t xml:space="preserve">LE-2025057</t>
  </si>
  <si>
    <t xml:space="preserve">LE-2025058</t>
  </si>
  <si>
    <t xml:space="preserve">LE-2025059</t>
  </si>
  <si>
    <t xml:space="preserve">LE-2025060</t>
  </si>
  <si>
    <t xml:space="preserve">LE-2025061</t>
  </si>
  <si>
    <t xml:space="preserve">LE-2025062</t>
  </si>
  <si>
    <t xml:space="preserve">30041+30042</t>
  </si>
  <si>
    <t xml:space="preserve">LE-2025063</t>
  </si>
  <si>
    <t xml:space="preserve">LE-2025064</t>
  </si>
  <si>
    <t xml:space="preserve">LE-2025065</t>
  </si>
  <si>
    <t xml:space="preserve">LE-2025066</t>
  </si>
  <si>
    <t xml:space="preserve">LE-2025067</t>
  </si>
  <si>
    <t xml:space="preserve">LE-2025068</t>
  </si>
  <si>
    <t xml:space="preserve">LE-2025069</t>
  </si>
  <si>
    <t xml:space="preserve">LE-2025070</t>
  </si>
  <si>
    <t xml:space="preserve">LE-2025071</t>
  </si>
  <si>
    <t xml:space="preserve">LE-2025072</t>
  </si>
  <si>
    <t xml:space="preserve">Ouvert</t>
  </si>
  <si>
    <t xml:space="preserve">Client (long)</t>
  </si>
  <si>
    <t xml:space="preserve">Client (court)</t>
  </si>
  <si>
    <t xml:space="preserve">*** Pour les menus déroulants</t>
  </si>
</sst>
</file>

<file path=xl/styles.xml><?xml version="1.0" encoding="utf-8"?>
<styleSheet xmlns="http://schemas.openxmlformats.org/spreadsheetml/2006/main">
  <numFmts count="27">
    <numFmt numFmtId="164" formatCode="General"/>
    <numFmt numFmtId="165" formatCode="0%"/>
    <numFmt numFmtId="166" formatCode="dd/mm/yyyy"/>
    <numFmt numFmtId="167" formatCode="_ * #,##0.00_)&quot; $&quot;_ ;_ * \(#,##0.00&quot;) $&quot;_ ;_ * \-??_)&quot; $&quot;_ ;_ @_ "/>
    <numFmt numFmtId="168" formatCode="General"/>
    <numFmt numFmtId="169" formatCode="@"/>
    <numFmt numFmtId="170" formatCode="0.000"/>
    <numFmt numFmtId="171" formatCode="0.00"/>
    <numFmt numFmtId="172" formatCode="[$-F800]dddd&quot;, &quot;mmmm\ dd&quot;, &quot;yyyy"/>
    <numFmt numFmtId="173" formatCode="[$-409]mmmm\ d&quot;, &quot;yyyy;@"/>
    <numFmt numFmtId="174" formatCode="yyyy/mm/dd;@"/>
    <numFmt numFmtId="175" formatCode="_ * #,##0.00_)_ ;_ * \(#,##0.00\)_ ;_ * \-??_)_ ;_ @_ "/>
    <numFmt numFmtId="176" formatCode="#,##0"/>
    <numFmt numFmtId="177" formatCode="_([$$-409]* #,##0.000_);_([$$-409]* \(#,##0.000\);_([$$-409]* \-??_);_(@_)"/>
    <numFmt numFmtId="178" formatCode="_([$$-409]* #,##0.00_);_([$$-409]* \(#,##0.00\);_([$$-409]* \-??_);_(@_)"/>
    <numFmt numFmtId="179" formatCode="0"/>
    <numFmt numFmtId="180" formatCode="0.000%"/>
    <numFmt numFmtId="181" formatCode="[$-C0C]d\ mmm\ yyyy;@"/>
    <numFmt numFmtId="182" formatCode="_ * #,##0_)_ ;_ * \(#,##0\)_ ;_ * \-??_)_ ;_ @_ "/>
    <numFmt numFmtId="183" formatCode="0.0"/>
    <numFmt numFmtId="184" formatCode="_ * #,##0.0000_)&quot; $&quot;_ ;_ * \(#,##0.0000&quot;) $&quot;_ ;_ * \-??_)&quot; $&quot;_ ;_ @_ "/>
    <numFmt numFmtId="185" formatCode="_ * #,##0_)&quot; $&quot;_ ;_ * \(#,##0&quot;) $&quot;_ ;_ * \-??_)&quot; $&quot;_ ;_ @_ "/>
    <numFmt numFmtId="186" formatCode="0.0%"/>
    <numFmt numFmtId="187" formatCode="0.0000"/>
    <numFmt numFmtId="188" formatCode="_ * #,##0.0000_)_ ;_ * \(#,##0.0000\)_ ;_ * \-??_)_ ;_ @_ "/>
    <numFmt numFmtId="189" formatCode="_ * #,##0.0_)_ ;_ * \(#,##0.0\)_ ;_ * \-??_)_ ;_ @_ "/>
    <numFmt numFmtId="190" formatCode="&quot;TRUE&quot;;&quot;TRUE&quot;;&quot;FALSE&quot;"/>
  </numFmts>
  <fonts count="20">
    <font>
      <sz val="11"/>
      <color theme="1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Aptos Narrow"/>
      <family val="2"/>
      <charset val="1"/>
    </font>
    <font>
      <b val="true"/>
      <sz val="11"/>
      <color theme="0"/>
      <name val="Aptos Narrow"/>
      <family val="2"/>
      <charset val="1"/>
    </font>
    <font>
      <sz val="10"/>
      <name val="Arial"/>
      <family val="2"/>
    </font>
    <font>
      <sz val="9"/>
      <color rgb="FF000000"/>
      <name val="Tahoma"/>
      <family val="2"/>
      <charset val="1"/>
    </font>
    <font>
      <b val="true"/>
      <sz val="13"/>
      <color theme="1"/>
      <name val="Aptos Narrow"/>
      <family val="2"/>
      <charset val="1"/>
    </font>
    <font>
      <sz val="12"/>
      <color theme="1"/>
      <name val="Aptos Narrow"/>
      <family val="2"/>
      <charset val="1"/>
    </font>
    <font>
      <b val="true"/>
      <sz val="14"/>
      <color theme="1"/>
      <name val="Aptos Narrow"/>
      <family val="2"/>
      <charset val="1"/>
    </font>
    <font>
      <b val="true"/>
      <sz val="12"/>
      <color theme="1"/>
      <name val="Aptos Narrow"/>
      <family val="2"/>
      <charset val="1"/>
    </font>
    <font>
      <u val="single"/>
      <sz val="12"/>
      <color rgb="FF0000FF"/>
      <name val="Aptos Narrow"/>
      <family val="2"/>
      <charset val="1"/>
    </font>
    <font>
      <u val="single"/>
      <sz val="11"/>
      <color theme="10"/>
      <name val="Aptos Narrow"/>
      <family val="2"/>
      <charset val="1"/>
    </font>
    <font>
      <sz val="10"/>
      <color theme="1"/>
      <name val="Aptos Narrow"/>
      <family val="2"/>
      <charset val="1"/>
    </font>
    <font>
      <sz val="9"/>
      <color theme="1"/>
      <name val="Aptos Narrow"/>
      <family val="2"/>
      <charset val="1"/>
    </font>
    <font>
      <sz val="11"/>
      <color theme="0"/>
      <name val="Aptos Narrow"/>
      <family val="0"/>
    </font>
    <font>
      <b val="true"/>
      <sz val="10"/>
      <color theme="1"/>
      <name val="Aptos Narrow"/>
      <family val="2"/>
      <charset val="1"/>
    </font>
    <font>
      <strike val="true"/>
      <sz val="11"/>
      <color theme="1"/>
      <name val="Aptos Narrow"/>
      <family val="2"/>
      <charset val="1"/>
    </font>
    <font>
      <sz val="11"/>
      <name val="Aptos Narrow"/>
      <family val="2"/>
      <charset val="1"/>
    </font>
  </fonts>
  <fills count="16">
    <fill>
      <patternFill patternType="none"/>
    </fill>
    <fill>
      <patternFill patternType="gray125"/>
    </fill>
    <fill>
      <patternFill patternType="solid">
        <fgColor theme="7" tint="-0.25"/>
        <bgColor rgb="FF0066CC"/>
      </patternFill>
    </fill>
    <fill>
      <patternFill patternType="solid">
        <fgColor theme="4"/>
        <bgColor rgb="FF0B77A0"/>
      </patternFill>
    </fill>
    <fill>
      <patternFill patternType="solid">
        <fgColor theme="5" tint="-0.25"/>
        <bgColor rgb="FFFF6600"/>
      </patternFill>
    </fill>
    <fill>
      <patternFill patternType="solid">
        <fgColor theme="0" tint="-0.05"/>
        <bgColor rgb="FFE8E8E8"/>
      </patternFill>
    </fill>
    <fill>
      <patternFill patternType="solid">
        <fgColor theme="5" tint="0.7999"/>
        <bgColor rgb="FFE8E8E8"/>
      </patternFill>
    </fill>
    <fill>
      <patternFill patternType="solid">
        <fgColor theme="4" tint="0.7999"/>
        <bgColor rgb="FFC6EFCE"/>
      </patternFill>
    </fill>
    <fill>
      <patternFill patternType="solid">
        <fgColor rgb="FF92D050"/>
        <bgColor rgb="FFBFBFBF"/>
      </patternFill>
    </fill>
    <fill>
      <patternFill patternType="solid">
        <fgColor theme="2"/>
        <bgColor rgb="FFF2F2F2"/>
      </patternFill>
    </fill>
    <fill>
      <patternFill patternType="solid">
        <fgColor theme="3" tint="0.7499"/>
        <bgColor rgb="FFBFBFBF"/>
      </patternFill>
    </fill>
    <fill>
      <patternFill patternType="solid">
        <fgColor theme="9" tint="0.7999"/>
        <bgColor rgb="FFC6EFCE"/>
      </patternFill>
    </fill>
    <fill>
      <patternFill patternType="solid">
        <fgColor rgb="FFFFC000"/>
        <bgColor rgb="FFFF9900"/>
      </patternFill>
    </fill>
    <fill>
      <patternFill patternType="solid">
        <fgColor rgb="FFFFFF00"/>
        <bgColor rgb="FFFFFF00"/>
      </patternFill>
    </fill>
    <fill>
      <patternFill patternType="solid">
        <fgColor theme="1"/>
        <bgColor rgb="FF0E2841"/>
      </patternFill>
    </fill>
    <fill>
      <patternFill patternType="solid">
        <fgColor theme="3"/>
        <bgColor rgb="FF333333"/>
      </patternFill>
    </fill>
  </fills>
  <borders count="60">
    <border diagonalUp="false" diagonalDown="false">
      <left/>
      <right/>
      <top/>
      <bottom/>
      <diagonal/>
    </border>
    <border diagonalUp="false" diagonalDown="false">
      <left style="thin">
        <color theme="4" tint="0.3999"/>
      </left>
      <right/>
      <top style="thin">
        <color theme="4" tint="0.3999"/>
      </top>
      <bottom/>
      <diagonal/>
    </border>
    <border diagonalUp="false" diagonalDown="false">
      <left/>
      <right/>
      <top style="thin">
        <color theme="4" tint="0.3999"/>
      </top>
      <bottom/>
      <diagonal/>
    </border>
    <border diagonalUp="false" diagonalDown="false">
      <left/>
      <right style="thin">
        <color theme="4" tint="0.3999"/>
      </right>
      <top style="thin">
        <color theme="4" tint="0.3999"/>
      </top>
      <bottom/>
      <diagonal/>
    </border>
    <border diagonalUp="false" diagonalDown="false">
      <left style="thin">
        <color theme="4"/>
      </left>
      <right/>
      <top style="thin">
        <color theme="4" tint="0.3999"/>
      </top>
      <bottom/>
      <diagonal/>
    </border>
    <border diagonalUp="false" diagonalDown="false">
      <left/>
      <right style="thin">
        <color theme="4" tint="0.3999"/>
      </right>
      <top/>
      <bottom/>
      <diagonal/>
    </border>
    <border diagonalUp="false" diagonalDown="false">
      <left/>
      <right/>
      <top style="thin">
        <color theme="4"/>
      </top>
      <bottom/>
      <diagonal/>
    </border>
    <border diagonalUp="false" diagonalDown="false">
      <left/>
      <right/>
      <top style="thin">
        <color theme="4" tint="0.3999"/>
      </top>
      <bottom style="thin">
        <color theme="4"/>
      </bottom>
      <diagonal/>
    </border>
    <border diagonalUp="false" diagonalDown="false">
      <left style="thin">
        <color theme="4" tint="0.3999"/>
      </left>
      <right/>
      <top style="thin">
        <color theme="4" tint="0.3999"/>
      </top>
      <bottom style="thin">
        <color theme="4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>
        <color theme="0" tint="-0.25"/>
      </left>
      <right style="thin">
        <color theme="0" tint="-0.25"/>
      </right>
      <top style="thin">
        <color theme="0" tint="-0.25"/>
      </top>
      <bottom style="thin">
        <color theme="0" tint="-0.25"/>
      </bottom>
      <diagonal/>
    </border>
    <border diagonalUp="false" diagonalDown="false">
      <left style="thin">
        <color theme="0" tint="-0.25"/>
      </left>
      <right style="thin">
        <color theme="0" tint="-0.25"/>
      </right>
      <top style="thin">
        <color theme="0" tint="-0.25"/>
      </top>
      <bottom/>
      <diagonal/>
    </border>
    <border diagonalUp="false" diagonalDown="false">
      <left style="thin">
        <color theme="0" tint="-0.25"/>
      </left>
      <right style="thin">
        <color theme="0" tint="-0.25"/>
      </right>
      <top/>
      <bottom style="thin">
        <color theme="0" tint="-0.25"/>
      </bottom>
      <diagonal/>
    </border>
    <border diagonalUp="false" diagonalDown="false">
      <left style="thin">
        <color theme="0" tint="-0.25"/>
      </left>
      <right/>
      <top style="thin">
        <color theme="0" tint="-0.25"/>
      </top>
      <bottom/>
      <diagonal/>
    </border>
    <border diagonalUp="false" diagonalDown="false">
      <left/>
      <right/>
      <top style="thin">
        <color theme="0" tint="-0.25"/>
      </top>
      <bottom/>
      <diagonal/>
    </border>
    <border diagonalUp="false" diagonalDown="false">
      <left/>
      <right style="thin">
        <color theme="0" tint="-0.25"/>
      </right>
      <top style="thin">
        <color theme="0" tint="-0.25"/>
      </top>
      <bottom/>
      <diagonal/>
    </border>
    <border diagonalUp="false" diagonalDown="false">
      <left style="thin">
        <color theme="0" tint="-0.15"/>
      </left>
      <right/>
      <top style="thin">
        <color theme="0" tint="-0.15"/>
      </top>
      <bottom/>
      <diagonal/>
    </border>
    <border diagonalUp="false" diagonalDown="false">
      <left/>
      <right/>
      <top style="thin">
        <color theme="0" tint="-0.15"/>
      </top>
      <bottom/>
      <diagonal/>
    </border>
    <border diagonalUp="false" diagonalDown="false">
      <left/>
      <right style="thin">
        <color theme="0" tint="-0.15"/>
      </right>
      <top style="thin">
        <color theme="0" tint="-0.15"/>
      </top>
      <bottom/>
      <diagonal/>
    </border>
    <border diagonalUp="false" diagonalDown="false">
      <left style="thin">
        <color theme="0" tint="-0.15"/>
      </left>
      <right/>
      <top/>
      <bottom/>
      <diagonal/>
    </border>
    <border diagonalUp="false" diagonalDown="false">
      <left/>
      <right style="thin">
        <color theme="0" tint="-0.15"/>
      </right>
      <top/>
      <bottom/>
      <diagonal/>
    </border>
    <border diagonalUp="false" diagonalDown="false">
      <left style="thin">
        <color theme="0" tint="-0.15"/>
      </left>
      <right/>
      <top/>
      <bottom style="thin">
        <color theme="0" tint="-0.15"/>
      </bottom>
      <diagonal/>
    </border>
    <border diagonalUp="false" diagonalDown="false">
      <left/>
      <right/>
      <top/>
      <bottom style="thin">
        <color theme="0" tint="-0.15"/>
      </bottom>
      <diagonal/>
    </border>
    <border diagonalUp="false" diagonalDown="false">
      <left/>
      <right style="thin">
        <color theme="0" tint="-0.15"/>
      </right>
      <top/>
      <bottom style="thin">
        <color theme="0" tint="-0.15"/>
      </bottom>
      <diagonal/>
    </border>
    <border diagonalUp="false" diagonalDown="false">
      <left style="thin">
        <color theme="0" tint="-0.25"/>
      </left>
      <right/>
      <top/>
      <bottom style="thin">
        <color theme="0" tint="-0.25"/>
      </bottom>
      <diagonal/>
    </border>
    <border diagonalUp="false" diagonalDown="false">
      <left/>
      <right/>
      <top/>
      <bottom style="thin">
        <color theme="0" tint="-0.25"/>
      </bottom>
      <diagonal/>
    </border>
    <border diagonalUp="false" diagonalDown="false">
      <left/>
      <right style="thin">
        <color theme="0" tint="-0.25"/>
      </right>
      <top/>
      <bottom style="thin">
        <color theme="0" tint="-0.25"/>
      </bottom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</borders>
  <cellStyleXfs count="28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75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7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6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0" xfId="17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5" fillId="2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2" borderId="2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5" fillId="2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7" fontId="5" fillId="2" borderId="2" xfId="17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5" fillId="4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4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3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3" borderId="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true" indent="0" shrinkToFit="false"/>
      <protection locked="false" hidden="false"/>
    </xf>
    <xf numFmtId="164" fontId="0" fillId="5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2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5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7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7" borderId="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7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7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0" fillId="5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5" borderId="2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5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5" borderId="7" xfId="1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5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8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9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70" fontId="5" fillId="2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5" fillId="2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5" fillId="2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9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8" fontId="0" fillId="9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0" fillId="9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71" fontId="0" fillId="9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71" fontId="0" fillId="9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8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9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1" fillId="0" borderId="0" xfId="0" applyFont="true" applyBorder="true" applyAlignment="true" applyProtection="true">
      <alignment horizontal="left" vertical="bottom" textRotation="0" wrapText="false" indent="0" shrinkToFit="true"/>
      <protection locked="false" hidden="false"/>
    </xf>
    <xf numFmtId="172" fontId="11" fillId="0" borderId="0" xfId="0" applyFont="true" applyBorder="true" applyAlignment="true" applyProtection="false">
      <alignment horizontal="left" vertical="bottom" textRotation="0" wrapText="false" indent="0" shrinkToFit="true"/>
      <protection locked="true" hidden="false"/>
    </xf>
    <xf numFmtId="164" fontId="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2" fillId="0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3" fontId="11" fillId="0" borderId="0" xfId="0" applyFont="true" applyBorder="true" applyAlignment="true" applyProtection="false">
      <alignment horizontal="left" vertical="bottom" textRotation="0" wrapText="false" indent="0" shrinkToFit="true"/>
      <protection locked="true" hidden="false"/>
    </xf>
    <xf numFmtId="168" fontId="4" fillId="5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0" xfId="0" applyFont="true" applyBorder="true" applyAlignment="true" applyProtection="false">
      <alignment horizontal="left" vertical="bottom" textRotation="0" wrapText="false" indent="0" shrinkToFit="tru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false" indent="0" shrinkToFit="tru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0" xfId="0" applyFont="false" applyBorder="true" applyAlignment="true" applyProtection="false">
      <alignment horizontal="left" vertical="bottom" textRotation="0" wrapText="false" indent="0" shrinkToFit="tru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true"/>
      <protection locked="true" hidden="false"/>
    </xf>
    <xf numFmtId="168" fontId="4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5" borderId="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8" fontId="0" fillId="0" borderId="0" xfId="0" applyFont="fals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0" fillId="0" borderId="0" xfId="0" applyFont="false" applyBorder="true" applyAlignment="true" applyProtection="false">
      <alignment horizontal="center" vertical="bottom" textRotation="0" wrapText="false" indent="0" shrinkToFit="true"/>
      <protection locked="true" hidden="false"/>
    </xf>
    <xf numFmtId="168" fontId="4" fillId="5" borderId="1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4" fillId="5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8" fontId="4" fillId="5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8" fontId="0" fillId="0" borderId="11" xfId="0" applyFont="false" applyBorder="true" applyAlignment="true" applyProtection="false">
      <alignment horizontal="center" vertical="bottom" textRotation="0" wrapText="false" indent="0" shrinkToFit="true"/>
      <protection locked="true" hidden="false"/>
    </xf>
    <xf numFmtId="168" fontId="0" fillId="0" borderId="11" xfId="0" applyFont="false" applyBorder="true" applyAlignment="true" applyProtection="false">
      <alignment horizontal="left" vertical="bottom" textRotation="0" wrapText="false" indent="0" shrinkToFit="true"/>
      <protection locked="true" hidden="false"/>
    </xf>
    <xf numFmtId="176" fontId="0" fillId="0" borderId="10" xfId="15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8" fontId="0" fillId="0" borderId="10" xfId="0" applyFont="fals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0" fillId="0" borderId="10" xfId="17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78" fontId="0" fillId="0" borderId="10" xfId="17" applyFont="true" applyBorder="true" applyAlignment="true" applyProtection="true">
      <alignment horizontal="center" vertical="center" textRotation="0" wrapText="false" indent="0" shrinkToFit="true"/>
      <protection locked="true" hidden="false"/>
    </xf>
    <xf numFmtId="168" fontId="0" fillId="0" borderId="12" xfId="0" applyFont="false" applyBorder="true" applyAlignment="true" applyProtection="false">
      <alignment horizontal="center" vertical="top" textRotation="0" wrapText="false" indent="0" shrinkToFit="true"/>
      <protection locked="true" hidden="false"/>
    </xf>
    <xf numFmtId="168" fontId="0" fillId="0" borderId="12" xfId="0" applyFont="false" applyBorder="true" applyAlignment="true" applyProtection="false">
      <alignment horizontal="left" vertical="bottom" textRotation="0" wrapText="false" indent="0" shrinkToFit="true"/>
      <protection locked="true" hidden="false"/>
    </xf>
    <xf numFmtId="179" fontId="0" fillId="0" borderId="10" xfId="0" applyFont="false" applyBorder="true" applyAlignment="true" applyProtection="false">
      <alignment horizontal="center" vertical="bottom" textRotation="0" wrapText="false" indent="0" shrinkToFit="true"/>
      <protection locked="true" hidden="false"/>
    </xf>
    <xf numFmtId="178" fontId="0" fillId="0" borderId="10" xfId="17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76" fontId="0" fillId="0" borderId="11" xfId="15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77" fontId="0" fillId="0" borderId="11" xfId="17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8" fontId="4" fillId="5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5" borderId="1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8" fontId="4" fillId="5" borderId="15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6" fontId="1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8" fontId="0" fillId="0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8" fontId="0" fillId="0" borderId="1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1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4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15" fillId="0" borderId="0" xfId="2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8" fontId="0" fillId="0" borderId="20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4" fillId="0" borderId="2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80" fontId="15" fillId="0" borderId="22" xfId="2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8" fontId="0" fillId="0" borderId="23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5" borderId="2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2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5" borderId="2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8" fontId="4" fillId="5" borderId="26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10" borderId="9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7" fillId="10" borderId="9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70" fontId="4" fillId="10" borderId="9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2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4" fontId="0" fillId="0" borderId="2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0" fontId="0" fillId="0" borderId="2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9" borderId="2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9" borderId="27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8" fontId="0" fillId="11" borderId="2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11" borderId="2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11" borderId="27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11" borderId="2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0" fontId="0" fillId="9" borderId="2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12" borderId="2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27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9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8" fontId="0" fillId="0" borderId="9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74" fontId="0" fillId="0" borderId="9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74" fontId="0" fillId="13" borderId="9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8" fontId="0" fillId="13" borderId="9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8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82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4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5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6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85" fontId="4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5" fontId="4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14" borderId="9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4" fillId="11" borderId="9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81" fontId="4" fillId="11" borderId="9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14" borderId="9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84" fontId="5" fillId="15" borderId="9" xfId="17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7" fontId="5" fillId="15" borderId="9" xfId="17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7" fontId="5" fillId="15" borderId="0" xfId="17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85" fontId="5" fillId="15" borderId="0" xfId="17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28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9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0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1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5" fillId="15" borderId="0" xfId="17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5" fontId="5" fillId="15" borderId="0" xfId="15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81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0" fillId="0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0" fillId="0" borderId="9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9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4" fontId="0" fillId="0" borderId="9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6" fontId="0" fillId="0" borderId="9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2" fontId="0" fillId="0" borderId="9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9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7" fontId="0" fillId="0" borderId="9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32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3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4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5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8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8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8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6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33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5" fontId="0" fillId="0" borderId="34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5" fontId="4" fillId="0" borderId="37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8" xfId="25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8" fontId="0" fillId="0" borderId="39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40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41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8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82" fontId="0" fillId="0" borderId="42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0" fillId="0" borderId="40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3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4" fillId="0" borderId="44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2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5" xfId="25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8" fontId="0" fillId="0" borderId="46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23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47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5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82" fontId="0" fillId="0" borderId="48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0" fillId="0" borderId="0" xfId="23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9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4" fillId="0" borderId="50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8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8" fontId="0" fillId="0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2" xfId="25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8" fontId="0" fillId="0" borderId="51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35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8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81" fontId="18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8" fillId="0" borderId="9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18" fillId="0" borderId="9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0" borderId="34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9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3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0" fillId="0" borderId="52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4" fillId="0" borderId="53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4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82" fontId="4" fillId="0" borderId="55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4" fillId="0" borderId="56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4" fillId="0" borderId="57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4" fillId="0" borderId="58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89" fontId="0" fillId="7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2" fontId="0" fillId="13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2" fontId="19" fillId="0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13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2" fontId="18" fillId="0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0" fillId="7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6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88" fontId="0" fillId="13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55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56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59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0" fillId="9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0" fillId="9" borderId="9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9" borderId="9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8" fontId="0" fillId="9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2" fontId="0" fillId="12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4" fontId="0" fillId="9" borderId="9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13" borderId="9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9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9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8" fontId="0" fillId="8" borderId="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9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81" fontId="0" fillId="9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9" borderId="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86" fontId="0" fillId="9" borderId="9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9" borderId="9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2" fontId="0" fillId="9" borderId="9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9" borderId="9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7" fontId="0" fillId="9" borderId="9" xfId="19" applyFont="true" applyBorder="true" applyAlignment="true" applyProtection="true">
      <alignment horizontal="center" vertical="bottom" textRotation="0" wrapText="false" indent="0" shrinkToFit="false"/>
      <protection locked="true" hidden="false"/>
    </xf>
  </cellXfs>
  <cellStyles count="14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ercent 2" xfId="21"/>
    <cellStyle name="Pivot Table Corner" xfId="22"/>
    <cellStyle name="Pivot Table Value" xfId="23"/>
    <cellStyle name="Pivot Table Field" xfId="24"/>
    <cellStyle name="Pivot Table Category" xfId="25"/>
    <cellStyle name="Pivot Table Title" xfId="26"/>
    <cellStyle name="Pivot Table Result" xfId="27"/>
    <cellStyle name="*unknown*" xfId="20" builtinId="8"/>
  </cellStyles>
  <dxfs count="26">
    <dxf>
      <fill>
        <patternFill patternType="solid">
          <fgColor rgb="FF0B77A0"/>
          <bgColor rgb="FF000000"/>
        </patternFill>
      </fill>
    </dxf>
    <dxf>
      <fill>
        <patternFill patternType="solid">
          <fgColor rgb="FFF2F2F2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156082"/>
          <bgColor rgb="FF000000"/>
        </patternFill>
      </fill>
    </dxf>
    <dxf>
      <fill>
        <patternFill patternType="solid">
          <fgColor rgb="FFE8E8E8"/>
          <bgColor rgb="FF00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00FFFFFF"/>
      </font>
      <fill>
        <patternFill>
          <bgColor rgb="FFFFFF00"/>
        </patternFill>
      </fill>
    </dxf>
    <dxf>
      <font>
        <color rgb="00FFFFFF"/>
      </font>
      <fill>
        <patternFill>
          <bgColor rgb="FFFFFF00"/>
        </patternFill>
      </fill>
    </dxf>
    <dxf>
      <fill>
        <patternFill patternType="solid">
          <fgColor rgb="FFC6EFCE"/>
          <bgColor rgb="FF000000"/>
        </patternFill>
      </fill>
    </dxf>
    <dxf>
      <fill>
        <patternFill patternType="solid">
          <fgColor rgb="FFD9F2D0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fgColor rgb="FF006100"/>
          <bgColor rgb="FF000000"/>
        </patternFill>
      </fill>
    </dxf>
    <dxf>
      <fill>
        <patternFill patternType="solid">
          <fgColor rgb="FF9C0006"/>
          <bgColor rgb="FF000000"/>
        </patternFill>
      </fill>
    </dxf>
    <dxf>
      <fill>
        <patternFill patternType="solid">
          <fgColor rgb="FFFFC0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F2CFEE"/>
          <bgColor rgb="FF000000"/>
        </patternFill>
      </fill>
    </dxf>
    <dxf>
      <fill>
        <patternFill patternType="solid">
          <fgColor rgb="FF0E2841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8" tint="0.7999"/>
        </patternFill>
      </fill>
    </dxf>
    <dxf>
      <fill>
        <patternFill>
          <bgColor theme="8" tint="0.7999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B77A0"/>
      <rgbColor rgb="FFBFBFBF"/>
      <rgbColor rgb="FF808080"/>
      <rgbColor rgb="FF9999FF"/>
      <rgbColor rgb="FF993366"/>
      <rgbColor rgb="FFF2F2F2"/>
      <rgbColor rgb="FFC6EFCE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156082"/>
      <rgbColor rgb="FF0000FF"/>
      <rgbColor rgb="FF00CCFF"/>
      <rgbColor rgb="FFC1E5F5"/>
      <rgbColor rgb="FFD9F2D0"/>
      <rgbColor rgb="FFFBE3D6"/>
      <rgbColor rgb="FFA6CAEC"/>
      <rgbColor rgb="FFF2CFEE"/>
      <rgbColor rgb="FFE8E8E8"/>
      <rgbColor rgb="FFFFC7CE"/>
      <rgbColor rgb="FF3366FF"/>
      <rgbColor rgb="FF46B1E1"/>
      <rgbColor rgb="FF92D050"/>
      <rgbColor rgb="FFFFC000"/>
      <rgbColor rgb="FFFF9900"/>
      <rgbColor rgb="FFFF6600"/>
      <rgbColor rgb="FF467886"/>
      <rgbColor rgb="FF969696"/>
      <rgbColor rgb="FF0E2841"/>
      <rgbColor rgb="FF339966"/>
      <rgbColor rgb="FF003300"/>
      <rgbColor rgb="FF333300"/>
      <rgbColor rgb="FFC04F15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13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2.xml"/><Relationship Id="rId15" Type="http://schemas.openxmlformats.org/officeDocument/2006/relationships/pivotCacheDefinition" Target="pivotCache/pivotCacheDefinition3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svg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3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179640</xdr:colOff>
      <xdr:row>3</xdr:row>
      <xdr:rowOff>87120</xdr:rowOff>
    </xdr:from>
    <xdr:to>
      <xdr:col>12</xdr:col>
      <xdr:colOff>133920</xdr:colOff>
      <xdr:row>5</xdr:row>
      <xdr:rowOff>51840</xdr:rowOff>
    </xdr:to>
    <xdr:pic>
      <xdr:nvPicPr>
        <xdr:cNvPr id="0" name="Graphic 1" descr=""/>
        <xdr:cNvPicPr/>
      </xdr:nvPicPr>
      <xdr:blipFill>
        <a:blip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/>
      </xdr:blipFill>
      <xdr:spPr>
        <a:xfrm>
          <a:off x="396720" y="658800"/>
          <a:ext cx="2343240" cy="421920"/>
        </a:xfrm>
        <a:prstGeom prst="rect">
          <a:avLst/>
        </a:prstGeom>
        <a:ln w="0">
          <a:noFill/>
        </a:ln>
      </xdr:spPr>
    </xdr:pic>
    <xdr:clientData/>
  </xdr:twoCellAnchor>
  <xdr:twoCellAnchor editAs="twoCell">
    <xdr:from>
      <xdr:col>39</xdr:col>
      <xdr:colOff>162000</xdr:colOff>
      <xdr:row>5</xdr:row>
      <xdr:rowOff>209520</xdr:rowOff>
    </xdr:from>
    <xdr:to>
      <xdr:col>41</xdr:col>
      <xdr:colOff>161640</xdr:colOff>
      <xdr:row>7</xdr:row>
      <xdr:rowOff>66600</xdr:rowOff>
    </xdr:to>
    <xdr:sp>
      <xdr:nvSpPr>
        <xdr:cNvPr id="1" name="Flowchart: Alternate Process 2"/>
        <xdr:cNvSpPr/>
      </xdr:nvSpPr>
      <xdr:spPr>
        <a:xfrm>
          <a:off x="8334360" y="1238400"/>
          <a:ext cx="1578960" cy="371160"/>
        </a:xfrm>
        <a:prstGeom prst="flowChartAlternateProcess">
          <a:avLst/>
        </a:prstGeom>
        <a:solidFill>
          <a:srgbClr val="c00000"/>
        </a:solidFill>
        <a:ln w="19050">
          <a:solidFill>
            <a:srgbClr val="092a38"/>
          </a:solidFill>
          <a:miter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fr-CA" sz="1100" spc="-1" strike="noStrike">
              <a:solidFill>
                <a:schemeClr val="lt1"/>
              </a:solidFill>
              <a:latin typeface="Aptos Narrow"/>
            </a:rPr>
            <a:t>CREER PDF</a:t>
          </a:r>
          <a:endParaRPr b="0" lang="en-CA" sz="1100" spc="-1" strike="noStrike">
            <a:latin typeface="Times New Roman"/>
          </a:endParaRPr>
        </a:p>
      </xdr:txBody>
    </xdr:sp>
    <xdr:clientData/>
  </xdr:twoCellAnchor>
  <xdr:twoCellAnchor editAs="twoCell">
    <xdr:from>
      <xdr:col>39</xdr:col>
      <xdr:colOff>162000</xdr:colOff>
      <xdr:row>9</xdr:row>
      <xdr:rowOff>58320</xdr:rowOff>
    </xdr:from>
    <xdr:to>
      <xdr:col>41</xdr:col>
      <xdr:colOff>199800</xdr:colOff>
      <xdr:row>13</xdr:row>
      <xdr:rowOff>96120</xdr:rowOff>
    </xdr:to>
    <xdr:sp>
      <xdr:nvSpPr>
        <xdr:cNvPr id="2" name="Rectangle: Rounded Corners 3"/>
        <xdr:cNvSpPr/>
      </xdr:nvSpPr>
      <xdr:spPr>
        <a:xfrm>
          <a:off x="8334360" y="2019240"/>
          <a:ext cx="1617120" cy="695160"/>
        </a:xfrm>
        <a:prstGeom prst="roundRect">
          <a:avLst>
            <a:gd name="adj" fmla="val 16667"/>
          </a:avLst>
        </a:prstGeom>
        <a:solidFill>
          <a:srgbClr val="c00000"/>
        </a:solidFill>
        <a:ln w="19050">
          <a:solidFill>
            <a:srgbClr val="092a38"/>
          </a:solidFill>
          <a:miter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fr-CA" sz="1100" spc="-1" strike="noStrike">
              <a:solidFill>
                <a:schemeClr val="lt1"/>
              </a:solidFill>
              <a:latin typeface="Aptos Narrow"/>
            </a:rPr>
            <a:t>CREER PDF &amp; COURRIEL</a:t>
          </a:r>
          <a:endParaRPr b="0" lang="en-CA" sz="1100" spc="-1" strike="noStrike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5</xdr:col>
      <xdr:colOff>0</xdr:colOff>
      <xdr:row>4</xdr:row>
      <xdr:rowOff>76320</xdr:rowOff>
    </xdr:from>
    <xdr:to>
      <xdr:col>8</xdr:col>
      <xdr:colOff>200880</xdr:colOff>
      <xdr:row>6</xdr:row>
      <xdr:rowOff>84960</xdr:rowOff>
    </xdr:to>
    <xdr:pic>
      <xdr:nvPicPr>
        <xdr:cNvPr id="3" name="Picture 1" descr=""/>
        <xdr:cNvPicPr/>
      </xdr:nvPicPr>
      <xdr:blipFill>
        <a:blip r:embed="rId1"/>
        <a:stretch/>
      </xdr:blipFill>
      <xdr:spPr>
        <a:xfrm>
          <a:off x="4686480" y="838440"/>
          <a:ext cx="2263680" cy="38952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Clients%20et%20soumissions.xlsm" TargetMode="External"/>
</Relationships>
</file>

<file path=xl/externalLinks/externalLink1.xml><?xml version="1.0" encoding="UTF-8" standalone="yes"?>
<externalLink xmlns="http://schemas.openxmlformats.org/spreadsheetml/2006/main"><externalBook xmlns:r="http://schemas.openxmlformats.org/officeDocument/2006/relationships" r:id="rId1"><sheetNames><sheetName val="Quote"/><sheetName val="Q item"/><sheetName val="Clients"/></sheetNames><sheetDataSet><sheetData sheetId="0"><row r="3"><cell r="C3" t="str"><v>Client #</v></cell><cell r="D3" t="str"><v>Quote #</v></cell></row><row r="4"><cell r="C4"><v>300</v></cell><cell r="D4"><v>0</v></cell></row><row r="5"><cell r="C5"><v>309</v></cell><cell r="D5"><v>1</v></cell></row><row r="6"><cell r="C6"><v>309</v></cell><cell r="D6"><v>2</v></cell></row><row r="7"><cell r="C7"><v>309</v></cell><cell r="D7"><v>3</v></cell></row><row r="8"><cell r="C8"><v>309</v></cell><cell r="D8"><v>4</v></cell></row><row r="9"><cell r="C9"><v>304</v></cell><cell r="D9"><v>7</v></cell></row><row r="10"><cell r="C10"><v>328</v></cell><cell r="D10"><v>1</v></cell></row><row r="11"><cell r="C11"><v>326</v></cell><cell r="D11"><v>3</v></cell></row><row r="12"><cell r="C12"><v>335</v></cell><cell r="D12"><v>1</v></cell></row><row r="13"><cell r="C13"><v>324</v></cell><cell r="D13"><v>1</v></cell></row><row r="14"><cell r="C14"><v>329</v></cell><cell r="D14"><v>1</v></cell></row><row r="15"><cell r="C15"><v>304</v></cell><cell r="D15"><v>8</v></cell></row><row r="16"><cell r="C16"><v>306</v></cell><cell r="D16"><v>4</v></cell></row><row r="17"><cell r="C17"><v>310</v></cell><cell r="D17"><v>4</v></cell></row><row r="18"><cell r="C18"><v>327</v></cell><cell r="D18"><v>3</v></cell></row><row r="19"><cell r="C19"><v>339</v></cell><cell r="D19"><v>2</v></cell></row><row r="20"><cell r="C20"><v>337</v></cell><cell r="D20"><v>2</v></cell></row><row r="21"><cell r="C21"><v>315</v></cell><cell r="D21"><v>1</v></cell></row><row r="22"><cell r="C22"><v>311</v></cell><cell r="D22"><v>3</v></cell></row><row r="23"><cell r="C23"><v>310</v></cell><cell r="D23"><v>5</v></cell></row><row r="24"><cell r="C24"><v>310</v></cell><cell r="D24"><v>6</v></cell></row><row r="25"><cell r="C25"><v>308</v></cell><cell r="D25"><v>5</v></cell></row><row r="26"><cell r="C26"><v>315</v></cell><cell r="D26"><v>2</v></cell></row><row r="27"><cell r="C27"><v>344</v></cell><cell r="D27"><v>1</v></cell></row><row r="28"><cell r="C28"><v>324</v></cell><cell r="D28"><v>2</v></cell></row><row r="29"><cell r="C29"><v>311</v></cell><cell r="D29"><v>4</v></cell></row><row r="30"><cell r="C30"><v>0</v></cell></row><row r="31"><cell r="C31"><v>0</v></cell></row><row r="32"><cell r="C32"><v>0</v></cell></row><row r="33"><cell r="C33"><v>0</v></cell></row><row r="34"><cell r="C34"><v>0</v></cell></row><row r="35"><cell r="C35"><v>0</v></cell></row></sheetData><sheetData sheetId="1"></sheetData><sheetData sheetId="2"><row r="2"><cell r="A2"><v>300</v></cell><cell r="B2" t="str"><v>Digi America</v></cell><cell r="C2" t="str"><v>Digi</v></cell></row><row r="3"><cell r="A3"><v>301</v></cell><cell r="B3" t="str"><v>Lelys</v></cell><cell r="C3" t="str"><v>Lelys</v></cell></row><row r="4"><cell r="A4"><v>302</v></cell><cell r="B4" t="str"><v>Bizerba Labels Solution</v></cell><cell r="C4" t="str"><v>BLS</v></cell></row><row r="5"><cell r="A5"><v>303</v></cell><cell r="B5" t="str"><v>ALMEDIF S.A.R.L</v></cell><cell r="C5" t="str"><v>ALMEDIF</v></cell></row><row r="6"><cell r="A6"><v>304</v></cell><cell r="B6" t="str"><v>LABELINK</v></cell><cell r="C6" t="str"><v>Labelink</v></cell></row><row r="7"><cell r="A7"><v>305</v></cell><cell r="B7" t="str"><v>AKO Technology Anhui Limited</v></cell><cell r="C7" t="str"><v>AKO</v></cell></row><row r="8"><cell r="A8"><v>306</v></cell><cell r="B8" t="str"><v>Étiquettes Rive-Sud</v></cell><cell r="C8" t="str"><v>Étiquettes Rive-Sud</v></cell></row><row r="9"><cell r="A9"><v>307</v></cell><cell r="B9" t="str"><v>Groupe Produlith Inc.</v></cell><cell r="C9" t="str"><v>Produlith</v></cell></row><row r="10"><cell r="A10"><v>308</v></cell><cell r="B10" t="str"><v>Profecta</v></cell><cell r="C10" t="str"><v>Profecta</v></cell></row><row r="11"><cell r="A11"><v>309</v></cell><cell r="B11" t="str"><v>Imprimerie Ste-Julie</v></cell><cell r="C11" t="str"><v>IMPSJ</v></cell></row><row r="12"><cell r="A12"><v>310</v></cell><cell r="B12" t="str"><v>Étiquettes Luso-Flex</v></cell><cell r="C12" t="str"><v>Luso-Flex</v></cell></row><row r="13"><cell r="A13"><v>311</v></cell><cell r="B13" t="str"><v>Étiquettes Multi-Flex</v></cell><cell r="C13" t="str"><v>Multi-Flex</v></cell></row><row r="14"><cell r="A14"><v>312</v></cell><cell r="B14" t="str"><v>Visuascan</v></cell><cell r="C14" t="str"><v>Visuascan</v></cell></row><row r="15"><cell r="A15"><v>313</v></cell><cell r="B15" t="str"><v>Étiquettes Corsair</v></cell><cell r="C15" t="str"><v>Corsair</v></cell></row><row r="16"><cell r="A16"><v>314</v></cell><cell r="B16" t="str"><v>Alliance Étiquettes & Emballages</v></cell><cell r="C16" t="str"><v>Alliance</v></cell></row><row r="17"><cell r="A17"><v>315</v></cell><cell r="B17" t="str"><v>Emballages Mijo</v></cell><cell r="C17" t="str"><v>Mijo</v></cell></row><row r="18"><cell r="A18"><v>316</v></cell><cell r="B18" t="str"><v>Étiquettes iFlex Inc.</v></cell><cell r="C18" t="str"><v>iFlex</v></cell></row><row r="19"><cell r="A19"><v>317</v></cell><cell r="B19" t="str"><v>LabelEdge</v></cell><cell r="C19" t="str"><v>LabelEdge</v></cell></row><row r="20"><cell r="A20"><v>318</v></cell><cell r="B20" t="str"><v>Deschamps Impression (livraison)</v></cell><cell r="C20" t="str"><v>Deschamps livr.</v></cell></row><row r="21"><cell r="A21"><v>319</v></cell><cell r="B21" t="str"><v>Deschamps Impression (facturation)</v></cell><cell r="C21" t="str"><v>Deschamps facturation</v></cell></row><row r="22"><cell r="A22"><v>320</v></cell><cell r="B22" t="str"><v>Amstik</v></cell><cell r="C22" t="str"><v>Amstik</v></cell></row><row r="23"><cell r="A23"><v>321</v></cell><cell r="B23" t="str"><v>MCC Label</v></cell><cell r="C23" t="str"><v>MCC Label</v></cell></row><row r="24"><cell r="A24"><v>322</v></cell><cell r="B24" t="str"><v>Étiquette Nationale (livraison)</v></cell><cell r="C24" t="str"><v>Nationale livraison</v></cell></row><row r="25"><cell r="A25"><v>323</v></cell><cell r="B25" t="str"><v>Damaflex (livraison)</v></cell><cell r="C25" t="str"><v>Damaflex livraison</v></cell></row><row r="26"><cell r="A26"><v>324</v></cell><cell r="B26" t="str"><v>Damaflex Imprimerie Multiservices Inc.</v></cell><cell r="C26" t="str"><v>Damaflex</v></cell></row><row r="27"><cell r="A27"><v>325</v></cell><cell r="B27" t="str"><v>Crucial Solutions LLC</v></cell><cell r="C27" t="str"><v>Crucial</v></cell></row><row r="28"><cell r="A28"><v>326</v></cell><cell r="B28" t="str"><v>IMS</v></cell><cell r="C28" t="str"><v>IMS</v></cell></row><row r="29"><cell r="A29"><v>327</v></cell><cell r="B29" t="str"><v>3G Print Group</v></cell><cell r="C29" t="str"><v>3G</v></cell></row><row r="30"><cell r="A30"><v>328</v></cell><cell r="B30" t="str"><v>Imprimerie Bas St-Laurent</v></cell><cell r="C30" t="str"><v>Bas St-Laurent</v></cell></row><row r="31"><cell r="A31"><v>329</v></cell><cell r="B31" t="str"><v>Gignac + Unik</v></cell><cell r="C31" t="str"><v>Unik</v></cell></row><row r="32"><cell r="A32"><v>330</v></cell><cell r="B32" t="str"><v>Interflex</v></cell><cell r="C32" t="str"><v>Interflex</v></cell></row><row r="33"><cell r="A33"><v>331</v></cell><cell r="B33" t="str"><v>REDEMAC</v></cell><cell r="C33" t="str"><v>REDEMAC</v></cell></row><row r="34"><cell r="A34"><v>332</v></cell><cell r="B34" t="str"><v>Alpha</v></cell><cell r="C34" t="str"><v>Alpha</v></cell></row><row r="35"><cell r="A35"><v>333</v></cell><cell r="B35" t="str"><v>Debug</v></cell><cell r="C35" t="str"><v>Debug</v></cell></row><row r="36"><cell r="A36"><v>334</v></cell><cell r="B36" t="str"><v>AKO</v></cell><cell r="C36" t="str"><v>AKO étiquettes</v></cell></row><row r="37"><cell r="A37"><v>335</v></cell><cell r="B37" t="str"><v>Imprimerie Sélect</v></cell><cell r="C37" t="str"><v>Select</v></cell></row><row r="38"><cell r="A38"><v>336</v></cell><cell r="B38" t="str"><v>Labelink Flexibles Inc</v></cell><cell r="C38" t="str"><v>Labelink Guelph</v></cell></row><row r="39"><cell r="A39"><v>337</v></cell><cell r="B39" t="str"><v>Étiquette Nationale</v></cell><cell r="C39" t="str"><v>Nationale admin</v></cell></row><row r="40"><cell r="A40"><v>338</v></cell><cell r="B40" t="str"><v>SoluCan</v></cell><cell r="C40" t="str"><v>SoluCan</v></cell></row><row r="41"><cell r="A41"><v>339</v></cell><cell r="B41" t="str"><v>Impression SYL</v></cell><cell r="C41" t="str"><v>SYL</v></cell></row><row r="42"><cell r="A42"><v>340</v></cell><cell r="B42" t="str"><v>Labelink Granby</v></cell><cell r="C42" t="str"><v>Labelink Granby</v></cell></row><row r="43"><cell r="A43"><v>341</v></cell><cell r="B43" t="str"><v>Labelink Mississauga</v></cell><cell r="C43" t="str"><v>Labelink Mississauga</v></cell></row><row r="44"><cell r="A44"><v>342</v></cell><cell r="B44" t="str"><v>Labelink Products</v></cell><cell r="C44" t="str"><v>Labelink Mtrl</v></cell></row><row r="45"><cell r="A45"><v>343</v></cell><cell r="B45" t="str"><v>Labelink Toronto</v></cell><cell r="C45" t="str"><v>Labelink Toronto</v></cell></row><row r="46"><cell r="A46"><v>344</v></cell><cell r="B46" t="str"><v>Inter Label Systems</v></cell><cell r="C46" t="str"><v>Inter Label</v></cell></row><row r="47"><cell r="A47"><v>344</v></cell><cell r="B47" t="str"><v>Étiquesse</v></cell><cell r="C47" t="str"><v>Étiquesse</v></cell></row></sheetData></sheetDataSet></externalBook></externalLink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_rels/pivotCacheDefinition2.xml.rels><?xml version="1.0" encoding="UTF-8"?>
<Relationships xmlns="http://schemas.openxmlformats.org/package/2006/relationships"><Relationship Id="rId1" Type="http://schemas.openxmlformats.org/officeDocument/2006/relationships/pivotCacheRecords" Target="pivotCacheRecords2.xml"/>
</Relationships>
</file>

<file path=xl/pivotCache/_rels/pivotCacheDefinition3.xml.rels><?xml version="1.0" encoding="UTF-8"?>
<Relationships xmlns="http://schemas.openxmlformats.org/package/2006/relationships"><Relationship Id="rId1" Type="http://schemas.openxmlformats.org/officeDocument/2006/relationships/pivotCacheRecords" Target="pivotCacheRecords3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9954" createdVersion="3">
  <cacheSource type="worksheet">
    <worksheetSource ref="AN2:AU10000" sheet="Prix revient"/>
  </cacheSource>
  <cacheFields count="8">
    <cacheField name="WO" numFmtId="0">
      <sharedItems containsBlank="1" count="2">
        <e v="#NAME?"/>
        <m/>
      </sharedItems>
    </cacheField>
    <cacheField name="Client" numFmtId="0">
      <sharedItems containsBlank="1" count="24">
        <s v="3G"/>
        <s v="Bas St-Laurent"/>
        <s v="Corsair"/>
        <s v="Damaflex"/>
        <s v="Damaflex livraison"/>
        <s v="Digi"/>
        <s v="Étiquettes Rive-Sud"/>
        <s v="iFlex"/>
        <s v="IMPSJ"/>
        <s v="IMS"/>
        <s v="Labelink"/>
        <s v="Labelink Mtrl"/>
        <s v="Luso-Flex"/>
        <s v="Mijo"/>
        <s v="Multi-Flex"/>
        <s v="Nationale admin"/>
        <s v="Nationale livraison"/>
        <s v="Produlith"/>
        <s v="Select"/>
        <s v="SoluCan"/>
        <s v="Unik"/>
        <s v="Visuascan"/>
        <e v="#NAME?"/>
        <m/>
      </sharedItems>
    </cacheField>
    <cacheField name="Matière" numFmtId="0">
      <sharedItems containsBlank="1" count="18">
        <s v="B15-3"/>
        <s v="B25-3"/>
        <s v="D11-1"/>
        <s v="D11-12"/>
        <s v="D11-2"/>
        <s v="D11-3"/>
        <s v="D16-1"/>
        <s v="D21-1"/>
        <s v="F70-6"/>
        <s v="F80-81-82"/>
        <s v="S15-3"/>
        <s v="S21-1"/>
        <s v="S31-1"/>
        <s v="S31-3"/>
        <s v="S35-3"/>
        <s v="T11-1"/>
        <e v="#NAME?"/>
        <m/>
      </sharedItems>
    </cacheField>
    <cacheField name="msi vendus" numFmtId="0">
      <sharedItems containsBlank="1" count="2">
        <e v="#NAME?"/>
        <m/>
      </sharedItems>
    </cacheField>
    <cacheField name="Coût MP" numFmtId="0">
      <sharedItems containsBlank="1" count="2">
        <e v="#NAME?"/>
        <m/>
      </sharedItems>
    </cacheField>
    <cacheField name="Coût transport" numFmtId="0">
      <sharedItems containsBlank="1" count="2">
        <e v="#NAME?"/>
        <m/>
      </sharedItems>
    </cacheField>
    <cacheField name="Ventes CAD" numFmtId="0">
      <sharedItems containsBlank="1" count="2">
        <e v="#NAME?"/>
        <m/>
      </sharedItems>
    </cacheField>
    <cacheField name="Profit CAD" numFmtId="0">
      <sharedItems containsBlank="1" count="2">
        <e v="#NAME?"/>
        <m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cordCount="9954" createdVersion="3">
  <cacheSource type="worksheet">
    <worksheetSource ref="BG2:BK10000" sheet="Prix revient"/>
  </cacheSource>
  <cacheFields count="5">
    <cacheField name="WO" numFmtId="0">
      <sharedItems containsBlank="1" count="2">
        <e v="#NAME?"/>
        <m/>
      </sharedItems>
    </cacheField>
    <cacheField name="Client" numFmtId="0">
      <sharedItems containsBlank="1" count="31">
        <s v="3G"/>
        <s v="Alpha"/>
        <s v="Amstik"/>
        <s v="Bas St-Laurent"/>
        <s v="BLS"/>
        <s v="Corsair"/>
        <s v="Crucial"/>
        <s v="Damaflex"/>
        <s v="Étiquesse"/>
        <s v="Étiquettes Rive-Sud"/>
        <s v="iFlex"/>
        <s v="IMPSJ"/>
        <s v="IMS"/>
        <s v="Inter Label"/>
        <s v="LabelEdge"/>
        <s v="Labelink"/>
        <s v="Lelys"/>
        <s v="Luso-Flex"/>
        <s v="MCC Label"/>
        <s v="Mijo"/>
        <s v="Multi-Flex"/>
        <s v="Nationale admin"/>
        <s v="Produlith"/>
        <s v="Profecta"/>
        <s v="Select"/>
        <s v="SoluCan"/>
        <s v="SYL"/>
        <s v="Unik"/>
        <s v="Visuascan"/>
        <e v="#NAME?"/>
        <m/>
      </sharedItems>
    </cacheField>
    <cacheField name="Matière" numFmtId="0">
      <sharedItems containsBlank="1" count="18">
        <s v="4x6"/>
        <s v="B15-3"/>
        <s v="B25-3"/>
        <s v="D11-1"/>
        <s v="D11-12"/>
        <s v="D11-2"/>
        <s v="D11-3"/>
        <s v="D21-1"/>
        <s v="DF52-3"/>
        <s v="F70-6"/>
        <s v="S11-3"/>
        <s v="S15-3"/>
        <s v="S21-1"/>
        <s v="S31-1"/>
        <s v="S35-3"/>
        <s v="T11-1"/>
        <e v="#NAME?"/>
        <m/>
      </sharedItems>
    </cacheField>
    <cacheField name="msi vendus" numFmtId="0">
      <sharedItems containsBlank="1" count="2">
        <e v="#NAME?"/>
        <m/>
      </sharedItems>
    </cacheField>
    <cacheField name="Coût échantillons" numFmtId="0">
      <sharedItems containsBlank="1" containsMixedTypes="1" containsNumber="1" minValue="304.262634974508" maxValue="304.262634974508" count="3">
        <n v="304.262634974508"/>
        <e v="#NAME?"/>
        <m/>
      </sharedItems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cordCount="913" createdVersion="3">
  <cacheSource type="worksheet">
    <worksheetSource ref="BQ2:BT10000" sheet="Prix revient"/>
  </cacheSource>
  <cacheFields count="4">
    <cacheField name="Mois" numFmtId="0">
      <sharedItems containsBlank="1" count="15">
        <s v="1900-01"/>
        <s v="2024-04"/>
        <s v="2024-05"/>
        <s v="2024-06"/>
        <s v="2024-07"/>
        <s v="2024-08"/>
        <s v="2024-09"/>
        <s v="2024-10"/>
        <s v="2024-11"/>
        <s v="2024-12"/>
        <s v="2025-01"/>
        <s v="2025-02"/>
        <s v="2025-03"/>
        <e v="#NAME?"/>
        <m/>
      </sharedItems>
    </cacheField>
    <cacheField name="Matière" numFmtId="0">
      <sharedItems containsBlank="1" containsMixedTypes="1" containsNumber="1" containsInteger="1" minValue="0" maxValue="0" count="20">
        <n v="0"/>
        <s v="B15-3"/>
        <s v="B25-3"/>
        <s v="D11-1"/>
        <s v="D11-12"/>
        <s v="D11-2"/>
        <s v="D11-3"/>
        <s v="D16-1"/>
        <s v="D21-1"/>
        <s v="DF52-3"/>
        <s v="F70-6"/>
        <s v="S11-3"/>
        <s v="S15-3"/>
        <s v="S21-1"/>
        <s v="S31-1"/>
        <s v="S31-3"/>
        <s v="S35-3"/>
        <s v="T11-1"/>
        <e v="#NAME?"/>
        <m/>
      </sharedItems>
    </cacheField>
    <cacheField name="Matière 2" numFmtId="0">
      <sharedItems containsBlank="1" containsMixedTypes="1" containsNumber="1" containsInteger="1" minValue="0" maxValue="0" count="16">
        <n v="0"/>
        <s v="B15"/>
        <s v="B25"/>
        <s v="D11"/>
        <s v="D16"/>
        <s v="D21"/>
        <s v="DF52"/>
        <s v="F70"/>
        <s v="S11"/>
        <s v="S15"/>
        <s v="S21"/>
        <s v="S31"/>
        <s v="S35"/>
        <s v="T11"/>
        <e v="#NAME?"/>
        <m/>
      </sharedItems>
    </cacheField>
    <cacheField name="Utilisée" numFmtId="0">
      <sharedItems containsString="0" containsBlank="1" containsNumber="1" minValue="0" maxValue="68301.118512" count="211">
        <n v="0"/>
        <n v="35.6999999999998"/>
        <n v="102"/>
        <n v="111.72"/>
        <n v="115.785"/>
        <n v="119.1"/>
        <n v="120"/>
        <n v="137.7"/>
        <n v="152.304"/>
        <n v="158.8"/>
        <n v="164.64"/>
        <n v="178.332"/>
        <n v="180.3"/>
        <n v="195"/>
        <n v="225.6"/>
        <n v="228.24"/>
        <n v="228.528"/>
        <n v="234.36"/>
        <n v="250.652440000001"/>
        <n v="260.415587368421"/>
        <n v="267.9"/>
        <n v="274.56"/>
        <n v="282"/>
        <n v="285"/>
        <n v="300.6"/>
        <n v="301.2"/>
        <n v="303.3"/>
        <n v="309.2375"/>
        <n v="315.391304347826"/>
        <n v="329.475"/>
        <n v="330.9"/>
        <n v="352.800000000001"/>
        <n v="353.8056"/>
        <n v="355.788"/>
        <n v="358.241344"/>
        <n v="365.7"/>
        <n v="365.909459999999"/>
        <n v="367.74"/>
        <n v="367.85688"/>
        <n v="372.6"/>
        <n v="378"/>
        <n v="382.5"/>
        <n v="384.962172631579"/>
        <n v="388.86"/>
        <n v="398.44512"/>
        <n v="401.6625"/>
        <n v="436.842"/>
        <n v="465.75"/>
        <n v="466.2"/>
        <n v="472.32"/>
        <n v="472.8"/>
        <n v="544.608"/>
        <n v="576"/>
        <n v="648"/>
        <n v="672.6"/>
        <n v="678.6"/>
        <n v="686.430399999999"/>
        <n v="713.44512"/>
        <n v="721.2"/>
        <n v="732.885"/>
        <n v="748.2"/>
        <n v="786.32"/>
        <n v="792.42"/>
        <n v="815.25"/>
        <n v="825"/>
        <n v="940.29"/>
        <n v="945.813999999999"/>
        <n v="970.06"/>
        <n v="1062"/>
        <n v="1196"/>
        <n v="1205.9472"/>
        <n v="1224"/>
        <n v="1440"/>
        <n v="1576.944"/>
        <n v="1779.790416"/>
        <n v="1802.57265"/>
        <n v="1893.22272"/>
        <n v="1937.55"/>
        <n v="1951.78272"/>
        <n v="1989.3096"/>
        <n v="1996.8"/>
        <n v="2011.32864"/>
        <n v="2198.003568"/>
        <n v="2341.023168"/>
        <n v="2463.9"/>
        <n v="2471.4864"/>
        <n v="2796.432"/>
        <n v="3000"/>
        <n v="3036.096"/>
        <n v="3252.96"/>
        <n v="3325.248"/>
        <n v="3356.33184"/>
        <n v="3397.3104"/>
        <n v="3397.54"/>
        <n v="3433.68"/>
        <n v="3469.824"/>
        <n v="3470"/>
        <n v="3505.7352"/>
        <n v="3531.98208"/>
        <n v="3541.8768"/>
        <n v="3542.112"/>
        <n v="3542.7"/>
        <n v="3571.62"/>
        <n v="3573.19584"/>
        <n v="3577.295568"/>
        <n v="3578.256"/>
        <n v="3599.70336"/>
        <n v="3601.39016"/>
        <n v="3603.31752"/>
        <n v="3609.33984"/>
        <n v="3609.939"/>
        <n v="3614.16"/>
        <n v="3614.4"/>
        <n v="3645.31"/>
        <n v="3645.48384"/>
        <n v="3681.62784"/>
        <n v="3686.4432"/>
        <n v="3687"/>
        <n v="3711.74232"/>
        <n v="3717.77184"/>
        <n v="3721.38624"/>
        <n v="3747.8928"/>
        <n v="3758.7264"/>
        <n v="3758.9"/>
        <n v="3758.92"/>
        <n v="3760.159"/>
        <n v="3760.489"/>
        <n v="3766.818"/>
        <n v="3803.1975"/>
        <n v="4624.775184"/>
        <n v="4698.72"/>
        <n v="5141.088"/>
        <n v="5780.995722"/>
        <n v="6044.013168"/>
        <n v="6939.1872"/>
        <n v="7011.4704"/>
        <n v="7083.7536"/>
        <n v="7084.224"/>
        <n v="7098"/>
        <n v="7109.05272"/>
        <n v="7114.32"/>
        <n v="7115.30784"/>
        <n v="7115.31"/>
        <n v="7116.489"/>
        <n v="7145.19432"/>
        <n v="7156.0368"/>
        <n v="7192.901232"/>
        <n v="7228.32"/>
        <n v="7241.9136"/>
        <n v="7289.76072"/>
        <n v="7320.119664"/>
        <n v="7336.51"/>
        <n v="7336.7448"/>
        <n v="7350.96672"/>
        <n v="7360.40016"/>
        <n v="7372.8928"/>
        <n v="7373.4"/>
        <n v="7380.11472"/>
        <n v="7536.65244"/>
        <n v="7589.013168"/>
        <n v="7638.65244"/>
        <n v="9383.50368"/>
        <n v="10620.288"/>
        <n v="10805.615568"/>
        <n v="11238.7368"/>
        <n v="13112"/>
        <n v="13185.178512"/>
        <n v="14181.241008"/>
        <n v="14228.44704"/>
        <n v="14228.94792"/>
        <n v="14229.8928"/>
        <n v="14230.61568"/>
        <n v="14230.62"/>
        <n v="14231"/>
        <n v="14347.492368"/>
        <n v="14371.345824"/>
        <n v="14395.19928"/>
        <n v="14703.34488"/>
        <n v="15277.30488"/>
        <n v="15960.47"/>
        <n v="16656"/>
        <n v="17119.553088"/>
        <n v="17589.393888"/>
        <n v="18883"/>
        <n v="19008.313104"/>
        <n v="19657.80732"/>
        <n v="19672.87476"/>
        <n v="20911.992772"/>
        <n v="21345.92"/>
        <n v="21458.69"/>
        <n v="22767.039504"/>
        <n v="22915.95732"/>
        <n v="23801.391504"/>
        <n v="28328.75976"/>
        <n v="28461.23136"/>
        <n v="35573.454048"/>
        <n v="35600.87168"/>
        <n v="42286.239024"/>
        <n v="42569.744976"/>
        <n v="42769.56384"/>
        <n v="43328.718576"/>
        <n v="43948.908432"/>
        <n v="45202.05288"/>
        <n v="45534.079008"/>
        <n v="45711.91464"/>
        <n v="47357"/>
        <n v="49214.24868"/>
        <n v="55029.40152"/>
        <n v="66555.479232"/>
        <n v="68301.118512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54">
  <r>
    <x v="0"/>
    <x v="5"/>
    <x v="2"/>
    <x v="0"/>
    <x v="0"/>
    <x v="0"/>
    <x v="0"/>
    <x v="0"/>
  </r>
  <r>
    <x v="0"/>
    <x v="6"/>
    <x v="7"/>
    <x v="0"/>
    <x v="0"/>
    <x v="0"/>
    <x v="0"/>
    <x v="0"/>
  </r>
  <r>
    <x v="0"/>
    <x v="17"/>
    <x v="1"/>
    <x v="0"/>
    <x v="0"/>
    <x v="0"/>
    <x v="0"/>
    <x v="0"/>
  </r>
  <r>
    <x v="0"/>
    <x v="6"/>
    <x v="1"/>
    <x v="0"/>
    <x v="0"/>
    <x v="0"/>
    <x v="0"/>
    <x v="0"/>
  </r>
  <r>
    <x v="0"/>
    <x v="5"/>
    <x v="2"/>
    <x v="0"/>
    <x v="0"/>
    <x v="0"/>
    <x v="0"/>
    <x v="0"/>
  </r>
  <r>
    <x v="0"/>
    <x v="6"/>
    <x v="7"/>
    <x v="0"/>
    <x v="0"/>
    <x v="0"/>
    <x v="0"/>
    <x v="0"/>
  </r>
  <r>
    <x v="0"/>
    <x v="17"/>
    <x v="1"/>
    <x v="0"/>
    <x v="0"/>
    <x v="0"/>
    <x v="0"/>
    <x v="0"/>
  </r>
  <r>
    <x v="0"/>
    <x v="5"/>
    <x v="2"/>
    <x v="0"/>
    <x v="0"/>
    <x v="0"/>
    <x v="0"/>
    <x v="0"/>
  </r>
  <r>
    <x v="0"/>
    <x v="17"/>
    <x v="0"/>
    <x v="0"/>
    <x v="0"/>
    <x v="0"/>
    <x v="0"/>
    <x v="0"/>
  </r>
  <r>
    <x v="0"/>
    <x v="5"/>
    <x v="2"/>
    <x v="0"/>
    <x v="0"/>
    <x v="0"/>
    <x v="0"/>
    <x v="0"/>
  </r>
  <r>
    <x v="0"/>
    <x v="12"/>
    <x v="7"/>
    <x v="0"/>
    <x v="0"/>
    <x v="0"/>
    <x v="0"/>
    <x v="0"/>
  </r>
  <r>
    <x v="0"/>
    <x v="6"/>
    <x v="7"/>
    <x v="0"/>
    <x v="0"/>
    <x v="0"/>
    <x v="0"/>
    <x v="0"/>
  </r>
  <r>
    <x v="0"/>
    <x v="8"/>
    <x v="11"/>
    <x v="0"/>
    <x v="0"/>
    <x v="0"/>
    <x v="0"/>
    <x v="0"/>
  </r>
  <r>
    <x v="0"/>
    <x v="12"/>
    <x v="7"/>
    <x v="0"/>
    <x v="0"/>
    <x v="0"/>
    <x v="0"/>
    <x v="0"/>
  </r>
  <r>
    <x v="0"/>
    <x v="12"/>
    <x v="7"/>
    <x v="0"/>
    <x v="0"/>
    <x v="0"/>
    <x v="0"/>
    <x v="0"/>
  </r>
  <r>
    <x v="0"/>
    <x v="5"/>
    <x v="2"/>
    <x v="0"/>
    <x v="0"/>
    <x v="0"/>
    <x v="0"/>
    <x v="0"/>
  </r>
  <r>
    <x v="0"/>
    <x v="17"/>
    <x v="1"/>
    <x v="0"/>
    <x v="0"/>
    <x v="0"/>
    <x v="0"/>
    <x v="0"/>
  </r>
  <r>
    <x v="0"/>
    <x v="8"/>
    <x v="10"/>
    <x v="0"/>
    <x v="0"/>
    <x v="0"/>
    <x v="0"/>
    <x v="0"/>
  </r>
  <r>
    <x v="0"/>
    <x v="17"/>
    <x v="0"/>
    <x v="0"/>
    <x v="0"/>
    <x v="0"/>
    <x v="0"/>
    <x v="0"/>
  </r>
  <r>
    <x v="0"/>
    <x v="8"/>
    <x v="11"/>
    <x v="0"/>
    <x v="0"/>
    <x v="0"/>
    <x v="0"/>
    <x v="0"/>
  </r>
  <r>
    <x v="0"/>
    <x v="8"/>
    <x v="10"/>
    <x v="0"/>
    <x v="0"/>
    <x v="0"/>
    <x v="0"/>
    <x v="0"/>
  </r>
  <r>
    <x v="0"/>
    <x v="5"/>
    <x v="2"/>
    <x v="0"/>
    <x v="0"/>
    <x v="0"/>
    <x v="0"/>
    <x v="0"/>
  </r>
  <r>
    <x v="0"/>
    <x v="12"/>
    <x v="7"/>
    <x v="0"/>
    <x v="0"/>
    <x v="0"/>
    <x v="0"/>
    <x v="0"/>
  </r>
  <r>
    <x v="0"/>
    <x v="8"/>
    <x v="11"/>
    <x v="0"/>
    <x v="0"/>
    <x v="0"/>
    <x v="0"/>
    <x v="0"/>
  </r>
  <r>
    <x v="0"/>
    <x v="5"/>
    <x v="2"/>
    <x v="0"/>
    <x v="0"/>
    <x v="0"/>
    <x v="0"/>
    <x v="0"/>
  </r>
  <r>
    <x v="0"/>
    <x v="12"/>
    <x v="7"/>
    <x v="0"/>
    <x v="0"/>
    <x v="0"/>
    <x v="0"/>
    <x v="0"/>
  </r>
  <r>
    <x v="0"/>
    <x v="12"/>
    <x v="1"/>
    <x v="0"/>
    <x v="0"/>
    <x v="0"/>
    <x v="0"/>
    <x v="0"/>
  </r>
  <r>
    <x v="0"/>
    <x v="8"/>
    <x v="11"/>
    <x v="0"/>
    <x v="0"/>
    <x v="0"/>
    <x v="0"/>
    <x v="0"/>
  </r>
  <r>
    <x v="0"/>
    <x v="8"/>
    <x v="11"/>
    <x v="0"/>
    <x v="0"/>
    <x v="0"/>
    <x v="0"/>
    <x v="0"/>
  </r>
  <r>
    <x v="0"/>
    <x v="8"/>
    <x v="10"/>
    <x v="0"/>
    <x v="0"/>
    <x v="0"/>
    <x v="0"/>
    <x v="0"/>
  </r>
  <r>
    <x v="0"/>
    <x v="8"/>
    <x v="1"/>
    <x v="0"/>
    <x v="0"/>
    <x v="0"/>
    <x v="0"/>
    <x v="0"/>
  </r>
  <r>
    <x v="0"/>
    <x v="12"/>
    <x v="7"/>
    <x v="0"/>
    <x v="0"/>
    <x v="0"/>
    <x v="0"/>
    <x v="0"/>
  </r>
  <r>
    <x v="0"/>
    <x v="8"/>
    <x v="11"/>
    <x v="0"/>
    <x v="0"/>
    <x v="0"/>
    <x v="0"/>
    <x v="0"/>
  </r>
  <r>
    <x v="0"/>
    <x v="17"/>
    <x v="1"/>
    <x v="0"/>
    <x v="0"/>
    <x v="0"/>
    <x v="0"/>
    <x v="0"/>
  </r>
  <r>
    <x v="0"/>
    <x v="21"/>
    <x v="7"/>
    <x v="0"/>
    <x v="0"/>
    <x v="0"/>
    <x v="0"/>
    <x v="0"/>
  </r>
  <r>
    <x v="0"/>
    <x v="14"/>
    <x v="10"/>
    <x v="0"/>
    <x v="0"/>
    <x v="0"/>
    <x v="0"/>
    <x v="0"/>
  </r>
  <r>
    <x v="0"/>
    <x v="14"/>
    <x v="1"/>
    <x v="0"/>
    <x v="0"/>
    <x v="0"/>
    <x v="0"/>
    <x v="0"/>
  </r>
  <r>
    <x v="0"/>
    <x v="12"/>
    <x v="1"/>
    <x v="0"/>
    <x v="0"/>
    <x v="0"/>
    <x v="0"/>
    <x v="0"/>
  </r>
  <r>
    <x v="0"/>
    <x v="12"/>
    <x v="7"/>
    <x v="0"/>
    <x v="0"/>
    <x v="0"/>
    <x v="0"/>
    <x v="0"/>
  </r>
  <r>
    <x v="0"/>
    <x v="6"/>
    <x v="1"/>
    <x v="0"/>
    <x v="0"/>
    <x v="0"/>
    <x v="0"/>
    <x v="0"/>
  </r>
  <r>
    <x v="0"/>
    <x v="5"/>
    <x v="6"/>
    <x v="0"/>
    <x v="0"/>
    <x v="0"/>
    <x v="0"/>
    <x v="0"/>
  </r>
  <r>
    <x v="0"/>
    <x v="8"/>
    <x v="10"/>
    <x v="0"/>
    <x v="0"/>
    <x v="0"/>
    <x v="0"/>
    <x v="0"/>
  </r>
  <r>
    <x v="0"/>
    <x v="6"/>
    <x v="7"/>
    <x v="0"/>
    <x v="0"/>
    <x v="0"/>
    <x v="0"/>
    <x v="0"/>
  </r>
  <r>
    <x v="0"/>
    <x v="6"/>
    <x v="0"/>
    <x v="0"/>
    <x v="0"/>
    <x v="0"/>
    <x v="0"/>
    <x v="0"/>
  </r>
  <r>
    <x v="0"/>
    <x v="8"/>
    <x v="10"/>
    <x v="0"/>
    <x v="0"/>
    <x v="0"/>
    <x v="0"/>
    <x v="0"/>
  </r>
  <r>
    <x v="0"/>
    <x v="13"/>
    <x v="10"/>
    <x v="0"/>
    <x v="0"/>
    <x v="0"/>
    <x v="0"/>
    <x v="0"/>
  </r>
  <r>
    <x v="0"/>
    <x v="8"/>
    <x v="11"/>
    <x v="0"/>
    <x v="0"/>
    <x v="0"/>
    <x v="0"/>
    <x v="0"/>
  </r>
  <r>
    <x v="0"/>
    <x v="5"/>
    <x v="6"/>
    <x v="0"/>
    <x v="0"/>
    <x v="0"/>
    <x v="0"/>
    <x v="0"/>
  </r>
  <r>
    <x v="0"/>
    <x v="12"/>
    <x v="15"/>
    <x v="0"/>
    <x v="0"/>
    <x v="0"/>
    <x v="0"/>
    <x v="0"/>
  </r>
  <r>
    <x v="0"/>
    <x v="3"/>
    <x v="2"/>
    <x v="0"/>
    <x v="0"/>
    <x v="0"/>
    <x v="0"/>
    <x v="0"/>
  </r>
  <r>
    <x v="0"/>
    <x v="5"/>
    <x v="6"/>
    <x v="0"/>
    <x v="0"/>
    <x v="0"/>
    <x v="0"/>
    <x v="0"/>
  </r>
  <r>
    <x v="0"/>
    <x v="8"/>
    <x v="10"/>
    <x v="0"/>
    <x v="0"/>
    <x v="0"/>
    <x v="0"/>
    <x v="0"/>
  </r>
  <r>
    <x v="0"/>
    <x v="8"/>
    <x v="1"/>
    <x v="0"/>
    <x v="0"/>
    <x v="0"/>
    <x v="0"/>
    <x v="0"/>
  </r>
  <r>
    <x v="0"/>
    <x v="5"/>
    <x v="6"/>
    <x v="0"/>
    <x v="0"/>
    <x v="0"/>
    <x v="0"/>
    <x v="0"/>
  </r>
  <r>
    <x v="0"/>
    <x v="8"/>
    <x v="1"/>
    <x v="0"/>
    <x v="0"/>
    <x v="0"/>
    <x v="0"/>
    <x v="0"/>
  </r>
  <r>
    <x v="0"/>
    <x v="12"/>
    <x v="4"/>
    <x v="0"/>
    <x v="0"/>
    <x v="0"/>
    <x v="0"/>
    <x v="0"/>
  </r>
  <r>
    <x v="0"/>
    <x v="12"/>
    <x v="4"/>
    <x v="0"/>
    <x v="0"/>
    <x v="0"/>
    <x v="0"/>
    <x v="0"/>
  </r>
  <r>
    <x v="0"/>
    <x v="21"/>
    <x v="9"/>
    <x v="0"/>
    <x v="0"/>
    <x v="0"/>
    <x v="0"/>
    <x v="0"/>
  </r>
  <r>
    <x v="0"/>
    <x v="5"/>
    <x v="6"/>
    <x v="0"/>
    <x v="0"/>
    <x v="0"/>
    <x v="0"/>
    <x v="0"/>
  </r>
  <r>
    <x v="0"/>
    <x v="5"/>
    <x v="6"/>
    <x v="0"/>
    <x v="0"/>
    <x v="0"/>
    <x v="0"/>
    <x v="0"/>
  </r>
  <r>
    <x v="0"/>
    <x v="5"/>
    <x v="2"/>
    <x v="0"/>
    <x v="0"/>
    <x v="0"/>
    <x v="0"/>
    <x v="0"/>
  </r>
  <r>
    <x v="0"/>
    <x v="13"/>
    <x v="10"/>
    <x v="0"/>
    <x v="0"/>
    <x v="0"/>
    <x v="0"/>
    <x v="0"/>
  </r>
  <r>
    <x v="0"/>
    <x v="7"/>
    <x v="11"/>
    <x v="0"/>
    <x v="0"/>
    <x v="0"/>
    <x v="0"/>
    <x v="0"/>
  </r>
  <r>
    <x v="0"/>
    <x v="8"/>
    <x v="11"/>
    <x v="0"/>
    <x v="0"/>
    <x v="0"/>
    <x v="0"/>
    <x v="0"/>
  </r>
  <r>
    <x v="0"/>
    <x v="8"/>
    <x v="10"/>
    <x v="0"/>
    <x v="0"/>
    <x v="0"/>
    <x v="0"/>
    <x v="0"/>
  </r>
  <r>
    <x v="0"/>
    <x v="8"/>
    <x v="10"/>
    <x v="0"/>
    <x v="0"/>
    <x v="0"/>
    <x v="0"/>
    <x v="0"/>
  </r>
  <r>
    <x v="0"/>
    <x v="5"/>
    <x v="2"/>
    <x v="0"/>
    <x v="0"/>
    <x v="0"/>
    <x v="0"/>
    <x v="0"/>
  </r>
  <r>
    <x v="0"/>
    <x v="8"/>
    <x v="10"/>
    <x v="0"/>
    <x v="0"/>
    <x v="0"/>
    <x v="0"/>
    <x v="0"/>
  </r>
  <r>
    <x v="0"/>
    <x v="8"/>
    <x v="10"/>
    <x v="0"/>
    <x v="0"/>
    <x v="0"/>
    <x v="0"/>
    <x v="0"/>
  </r>
  <r>
    <x v="0"/>
    <x v="0"/>
    <x v="11"/>
    <x v="0"/>
    <x v="0"/>
    <x v="0"/>
    <x v="0"/>
    <x v="0"/>
  </r>
  <r>
    <x v="0"/>
    <x v="14"/>
    <x v="2"/>
    <x v="0"/>
    <x v="0"/>
    <x v="0"/>
    <x v="0"/>
    <x v="0"/>
  </r>
  <r>
    <x v="0"/>
    <x v="14"/>
    <x v="1"/>
    <x v="0"/>
    <x v="0"/>
    <x v="0"/>
    <x v="0"/>
    <x v="0"/>
  </r>
  <r>
    <x v="0"/>
    <x v="12"/>
    <x v="11"/>
    <x v="0"/>
    <x v="0"/>
    <x v="0"/>
    <x v="0"/>
    <x v="0"/>
  </r>
  <r>
    <x v="0"/>
    <x v="0"/>
    <x v="1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14"/>
    <x v="1"/>
    <x v="0"/>
    <x v="0"/>
    <x v="0"/>
    <x v="0"/>
    <x v="0"/>
  </r>
  <r>
    <x v="0"/>
    <x v="8"/>
    <x v="1"/>
    <x v="0"/>
    <x v="0"/>
    <x v="0"/>
    <x v="0"/>
    <x v="0"/>
  </r>
  <r>
    <x v="0"/>
    <x v="13"/>
    <x v="10"/>
    <x v="0"/>
    <x v="0"/>
    <x v="0"/>
    <x v="0"/>
    <x v="0"/>
  </r>
  <r>
    <x v="0"/>
    <x v="8"/>
    <x v="11"/>
    <x v="0"/>
    <x v="0"/>
    <x v="0"/>
    <x v="0"/>
    <x v="0"/>
  </r>
  <r>
    <x v="0"/>
    <x v="5"/>
    <x v="2"/>
    <x v="0"/>
    <x v="0"/>
    <x v="0"/>
    <x v="0"/>
    <x v="0"/>
  </r>
  <r>
    <x v="0"/>
    <x v="12"/>
    <x v="4"/>
    <x v="0"/>
    <x v="0"/>
    <x v="0"/>
    <x v="0"/>
    <x v="0"/>
  </r>
  <r>
    <x v="0"/>
    <x v="12"/>
    <x v="1"/>
    <x v="0"/>
    <x v="0"/>
    <x v="0"/>
    <x v="0"/>
    <x v="0"/>
  </r>
  <r>
    <x v="0"/>
    <x v="8"/>
    <x v="10"/>
    <x v="0"/>
    <x v="0"/>
    <x v="0"/>
    <x v="0"/>
    <x v="0"/>
  </r>
  <r>
    <x v="0"/>
    <x v="3"/>
    <x v="2"/>
    <x v="0"/>
    <x v="0"/>
    <x v="0"/>
    <x v="0"/>
    <x v="0"/>
  </r>
  <r>
    <x v="0"/>
    <x v="8"/>
    <x v="11"/>
    <x v="0"/>
    <x v="0"/>
    <x v="0"/>
    <x v="0"/>
    <x v="0"/>
  </r>
  <r>
    <x v="0"/>
    <x v="13"/>
    <x v="10"/>
    <x v="0"/>
    <x v="0"/>
    <x v="0"/>
    <x v="0"/>
    <x v="0"/>
  </r>
  <r>
    <x v="0"/>
    <x v="8"/>
    <x v="1"/>
    <x v="0"/>
    <x v="0"/>
    <x v="0"/>
    <x v="0"/>
    <x v="0"/>
  </r>
  <r>
    <x v="0"/>
    <x v="14"/>
    <x v="10"/>
    <x v="0"/>
    <x v="0"/>
    <x v="0"/>
    <x v="0"/>
    <x v="0"/>
  </r>
  <r>
    <x v="0"/>
    <x v="5"/>
    <x v="2"/>
    <x v="0"/>
    <x v="0"/>
    <x v="0"/>
    <x v="0"/>
    <x v="0"/>
  </r>
  <r>
    <x v="0"/>
    <x v="12"/>
    <x v="15"/>
    <x v="0"/>
    <x v="0"/>
    <x v="0"/>
    <x v="0"/>
    <x v="0"/>
  </r>
  <r>
    <x v="0"/>
    <x v="3"/>
    <x v="15"/>
    <x v="0"/>
    <x v="0"/>
    <x v="0"/>
    <x v="0"/>
    <x v="0"/>
  </r>
  <r>
    <x v="0"/>
    <x v="2"/>
    <x v="15"/>
    <x v="0"/>
    <x v="0"/>
    <x v="0"/>
    <x v="0"/>
    <x v="0"/>
  </r>
  <r>
    <x v="0"/>
    <x v="17"/>
    <x v="1"/>
    <x v="0"/>
    <x v="0"/>
    <x v="0"/>
    <x v="0"/>
    <x v="0"/>
  </r>
  <r>
    <x v="0"/>
    <x v="1"/>
    <x v="4"/>
    <x v="0"/>
    <x v="0"/>
    <x v="0"/>
    <x v="0"/>
    <x v="0"/>
  </r>
  <r>
    <x v="0"/>
    <x v="3"/>
    <x v="2"/>
    <x v="0"/>
    <x v="0"/>
    <x v="0"/>
    <x v="0"/>
    <x v="0"/>
  </r>
  <r>
    <x v="0"/>
    <x v="8"/>
    <x v="11"/>
    <x v="0"/>
    <x v="0"/>
    <x v="0"/>
    <x v="0"/>
    <x v="0"/>
  </r>
  <r>
    <x v="0"/>
    <x v="8"/>
    <x v="10"/>
    <x v="0"/>
    <x v="0"/>
    <x v="0"/>
    <x v="0"/>
    <x v="0"/>
  </r>
  <r>
    <x v="0"/>
    <x v="12"/>
    <x v="11"/>
    <x v="0"/>
    <x v="0"/>
    <x v="0"/>
    <x v="0"/>
    <x v="0"/>
  </r>
  <r>
    <x v="0"/>
    <x v="5"/>
    <x v="2"/>
    <x v="0"/>
    <x v="0"/>
    <x v="0"/>
    <x v="0"/>
    <x v="0"/>
  </r>
  <r>
    <x v="0"/>
    <x v="9"/>
    <x v="15"/>
    <x v="0"/>
    <x v="0"/>
    <x v="0"/>
    <x v="0"/>
    <x v="0"/>
  </r>
  <r>
    <x v="0"/>
    <x v="9"/>
    <x v="15"/>
    <x v="0"/>
    <x v="0"/>
    <x v="0"/>
    <x v="0"/>
    <x v="0"/>
  </r>
  <r>
    <x v="0"/>
    <x v="8"/>
    <x v="10"/>
    <x v="0"/>
    <x v="0"/>
    <x v="0"/>
    <x v="0"/>
    <x v="0"/>
  </r>
  <r>
    <x v="0"/>
    <x v="0"/>
    <x v="10"/>
    <x v="0"/>
    <x v="0"/>
    <x v="0"/>
    <x v="0"/>
    <x v="0"/>
  </r>
  <r>
    <x v="0"/>
    <x v="3"/>
    <x v="2"/>
    <x v="0"/>
    <x v="0"/>
    <x v="0"/>
    <x v="0"/>
    <x v="0"/>
  </r>
  <r>
    <x v="0"/>
    <x v="13"/>
    <x v="15"/>
    <x v="0"/>
    <x v="0"/>
    <x v="0"/>
    <x v="0"/>
    <x v="0"/>
  </r>
  <r>
    <x v="0"/>
    <x v="8"/>
    <x v="11"/>
    <x v="0"/>
    <x v="0"/>
    <x v="0"/>
    <x v="0"/>
    <x v="0"/>
  </r>
  <r>
    <x v="0"/>
    <x v="13"/>
    <x v="10"/>
    <x v="0"/>
    <x v="0"/>
    <x v="0"/>
    <x v="0"/>
    <x v="0"/>
  </r>
  <r>
    <x v="0"/>
    <x v="3"/>
    <x v="2"/>
    <x v="0"/>
    <x v="0"/>
    <x v="0"/>
    <x v="0"/>
    <x v="0"/>
  </r>
  <r>
    <x v="0"/>
    <x v="2"/>
    <x v="15"/>
    <x v="0"/>
    <x v="0"/>
    <x v="0"/>
    <x v="0"/>
    <x v="0"/>
  </r>
  <r>
    <x v="0"/>
    <x v="8"/>
    <x v="10"/>
    <x v="0"/>
    <x v="0"/>
    <x v="0"/>
    <x v="0"/>
    <x v="0"/>
  </r>
  <r>
    <x v="0"/>
    <x v="13"/>
    <x v="11"/>
    <x v="0"/>
    <x v="0"/>
    <x v="0"/>
    <x v="0"/>
    <x v="0"/>
  </r>
  <r>
    <x v="0"/>
    <x v="17"/>
    <x v="1"/>
    <x v="0"/>
    <x v="0"/>
    <x v="0"/>
    <x v="0"/>
    <x v="0"/>
  </r>
  <r>
    <x v="0"/>
    <x v="14"/>
    <x v="1"/>
    <x v="0"/>
    <x v="0"/>
    <x v="0"/>
    <x v="0"/>
    <x v="0"/>
  </r>
  <r>
    <x v="0"/>
    <x v="8"/>
    <x v="11"/>
    <x v="0"/>
    <x v="0"/>
    <x v="0"/>
    <x v="0"/>
    <x v="0"/>
  </r>
  <r>
    <x v="0"/>
    <x v="18"/>
    <x v="10"/>
    <x v="0"/>
    <x v="0"/>
    <x v="0"/>
    <x v="0"/>
    <x v="0"/>
  </r>
  <r>
    <x v="0"/>
    <x v="15"/>
    <x v="11"/>
    <x v="0"/>
    <x v="0"/>
    <x v="0"/>
    <x v="0"/>
    <x v="0"/>
  </r>
  <r>
    <x v="0"/>
    <x v="18"/>
    <x v="2"/>
    <x v="0"/>
    <x v="0"/>
    <x v="0"/>
    <x v="0"/>
    <x v="0"/>
  </r>
  <r>
    <x v="0"/>
    <x v="5"/>
    <x v="4"/>
    <x v="0"/>
    <x v="0"/>
    <x v="0"/>
    <x v="0"/>
    <x v="0"/>
  </r>
  <r>
    <x v="0"/>
    <x v="5"/>
    <x v="5"/>
    <x v="0"/>
    <x v="0"/>
    <x v="0"/>
    <x v="0"/>
    <x v="0"/>
  </r>
  <r>
    <x v="0"/>
    <x v="8"/>
    <x v="10"/>
    <x v="0"/>
    <x v="0"/>
    <x v="0"/>
    <x v="0"/>
    <x v="0"/>
  </r>
  <r>
    <x v="0"/>
    <x v="8"/>
    <x v="11"/>
    <x v="0"/>
    <x v="0"/>
    <x v="0"/>
    <x v="0"/>
    <x v="0"/>
  </r>
  <r>
    <x v="0"/>
    <x v="10"/>
    <x v="8"/>
    <x v="0"/>
    <x v="0"/>
    <x v="0"/>
    <x v="0"/>
    <x v="0"/>
  </r>
  <r>
    <x v="0"/>
    <x v="15"/>
    <x v="15"/>
    <x v="0"/>
    <x v="0"/>
    <x v="0"/>
    <x v="0"/>
    <x v="0"/>
  </r>
  <r>
    <x v="0"/>
    <x v="0"/>
    <x v="10"/>
    <x v="0"/>
    <x v="0"/>
    <x v="0"/>
    <x v="0"/>
    <x v="0"/>
  </r>
  <r>
    <x v="0"/>
    <x v="9"/>
    <x v="15"/>
    <x v="0"/>
    <x v="0"/>
    <x v="0"/>
    <x v="0"/>
    <x v="0"/>
  </r>
  <r>
    <x v="0"/>
    <x v="8"/>
    <x v="11"/>
    <x v="0"/>
    <x v="0"/>
    <x v="0"/>
    <x v="0"/>
    <x v="0"/>
  </r>
  <r>
    <x v="0"/>
    <x v="20"/>
    <x v="10"/>
    <x v="0"/>
    <x v="0"/>
    <x v="0"/>
    <x v="0"/>
    <x v="0"/>
  </r>
  <r>
    <x v="0"/>
    <x v="8"/>
    <x v="11"/>
    <x v="0"/>
    <x v="0"/>
    <x v="0"/>
    <x v="0"/>
    <x v="0"/>
  </r>
  <r>
    <x v="0"/>
    <x v="1"/>
    <x v="3"/>
    <x v="0"/>
    <x v="0"/>
    <x v="0"/>
    <x v="0"/>
    <x v="0"/>
  </r>
  <r>
    <x v="0"/>
    <x v="9"/>
    <x v="15"/>
    <x v="0"/>
    <x v="0"/>
    <x v="0"/>
    <x v="0"/>
    <x v="0"/>
  </r>
  <r>
    <x v="0"/>
    <x v="8"/>
    <x v="10"/>
    <x v="0"/>
    <x v="0"/>
    <x v="0"/>
    <x v="0"/>
    <x v="0"/>
  </r>
  <r>
    <x v="0"/>
    <x v="19"/>
    <x v="1"/>
    <x v="0"/>
    <x v="0"/>
    <x v="0"/>
    <x v="0"/>
    <x v="0"/>
  </r>
  <r>
    <x v="0"/>
    <x v="8"/>
    <x v="1"/>
    <x v="0"/>
    <x v="0"/>
    <x v="0"/>
    <x v="0"/>
    <x v="0"/>
  </r>
  <r>
    <x v="0"/>
    <x v="19"/>
    <x v="11"/>
    <x v="0"/>
    <x v="0"/>
    <x v="0"/>
    <x v="0"/>
    <x v="0"/>
  </r>
  <r>
    <x v="0"/>
    <x v="15"/>
    <x v="11"/>
    <x v="0"/>
    <x v="0"/>
    <x v="0"/>
    <x v="0"/>
    <x v="0"/>
  </r>
  <r>
    <x v="0"/>
    <x v="0"/>
    <x v="10"/>
    <x v="0"/>
    <x v="0"/>
    <x v="0"/>
    <x v="0"/>
    <x v="0"/>
  </r>
  <r>
    <x v="0"/>
    <x v="0"/>
    <x v="14"/>
    <x v="0"/>
    <x v="0"/>
    <x v="0"/>
    <x v="0"/>
    <x v="0"/>
  </r>
  <r>
    <x v="0"/>
    <x v="19"/>
    <x v="0"/>
    <x v="0"/>
    <x v="0"/>
    <x v="0"/>
    <x v="0"/>
    <x v="0"/>
  </r>
  <r>
    <x v="0"/>
    <x v="1"/>
    <x v="11"/>
    <x v="0"/>
    <x v="0"/>
    <x v="0"/>
    <x v="0"/>
    <x v="0"/>
  </r>
  <r>
    <x v="0"/>
    <x v="9"/>
    <x v="7"/>
    <x v="0"/>
    <x v="0"/>
    <x v="0"/>
    <x v="0"/>
    <x v="0"/>
  </r>
  <r>
    <x v="0"/>
    <x v="10"/>
    <x v="1"/>
    <x v="0"/>
    <x v="0"/>
    <x v="0"/>
    <x v="0"/>
    <x v="0"/>
  </r>
  <r>
    <x v="0"/>
    <x v="8"/>
    <x v="11"/>
    <x v="0"/>
    <x v="0"/>
    <x v="0"/>
    <x v="0"/>
    <x v="0"/>
  </r>
  <r>
    <x v="0"/>
    <x v="10"/>
    <x v="11"/>
    <x v="0"/>
    <x v="0"/>
    <x v="0"/>
    <x v="0"/>
    <x v="0"/>
  </r>
  <r>
    <x v="0"/>
    <x v="10"/>
    <x v="1"/>
    <x v="0"/>
    <x v="0"/>
    <x v="0"/>
    <x v="0"/>
    <x v="0"/>
  </r>
  <r>
    <x v="0"/>
    <x v="10"/>
    <x v="12"/>
    <x v="0"/>
    <x v="0"/>
    <x v="0"/>
    <x v="0"/>
    <x v="0"/>
  </r>
  <r>
    <x v="0"/>
    <x v="10"/>
    <x v="0"/>
    <x v="0"/>
    <x v="0"/>
    <x v="0"/>
    <x v="0"/>
    <x v="0"/>
  </r>
  <r>
    <x v="0"/>
    <x v="13"/>
    <x v="11"/>
    <x v="0"/>
    <x v="0"/>
    <x v="0"/>
    <x v="0"/>
    <x v="0"/>
  </r>
  <r>
    <x v="0"/>
    <x v="9"/>
    <x v="7"/>
    <x v="0"/>
    <x v="0"/>
    <x v="0"/>
    <x v="0"/>
    <x v="0"/>
  </r>
  <r>
    <x v="0"/>
    <x v="18"/>
    <x v="11"/>
    <x v="0"/>
    <x v="0"/>
    <x v="0"/>
    <x v="0"/>
    <x v="0"/>
  </r>
  <r>
    <x v="0"/>
    <x v="5"/>
    <x v="3"/>
    <x v="0"/>
    <x v="0"/>
    <x v="0"/>
    <x v="0"/>
    <x v="0"/>
  </r>
  <r>
    <x v="0"/>
    <x v="3"/>
    <x v="3"/>
    <x v="0"/>
    <x v="0"/>
    <x v="0"/>
    <x v="0"/>
    <x v="0"/>
  </r>
  <r>
    <x v="0"/>
    <x v="8"/>
    <x v="10"/>
    <x v="0"/>
    <x v="0"/>
    <x v="0"/>
    <x v="0"/>
    <x v="0"/>
  </r>
  <r>
    <x v="0"/>
    <x v="20"/>
    <x v="3"/>
    <x v="0"/>
    <x v="0"/>
    <x v="0"/>
    <x v="0"/>
    <x v="0"/>
  </r>
  <r>
    <x v="0"/>
    <x v="8"/>
    <x v="10"/>
    <x v="0"/>
    <x v="0"/>
    <x v="0"/>
    <x v="0"/>
    <x v="0"/>
  </r>
  <r>
    <x v="0"/>
    <x v="8"/>
    <x v="11"/>
    <x v="0"/>
    <x v="0"/>
    <x v="0"/>
    <x v="0"/>
    <x v="0"/>
  </r>
  <r>
    <x v="0"/>
    <x v="18"/>
    <x v="1"/>
    <x v="0"/>
    <x v="0"/>
    <x v="0"/>
    <x v="0"/>
    <x v="0"/>
  </r>
  <r>
    <x v="0"/>
    <x v="9"/>
    <x v="3"/>
    <x v="0"/>
    <x v="0"/>
    <x v="0"/>
    <x v="0"/>
    <x v="0"/>
  </r>
  <r>
    <x v="0"/>
    <x v="8"/>
    <x v="10"/>
    <x v="0"/>
    <x v="0"/>
    <x v="0"/>
    <x v="0"/>
    <x v="0"/>
  </r>
  <r>
    <x v="0"/>
    <x v="5"/>
    <x v="3"/>
    <x v="0"/>
    <x v="0"/>
    <x v="0"/>
    <x v="0"/>
    <x v="0"/>
  </r>
  <r>
    <x v="0"/>
    <x v="0"/>
    <x v="8"/>
    <x v="0"/>
    <x v="0"/>
    <x v="0"/>
    <x v="0"/>
    <x v="0"/>
  </r>
  <r>
    <x v="0"/>
    <x v="12"/>
    <x v="3"/>
    <x v="0"/>
    <x v="0"/>
    <x v="0"/>
    <x v="0"/>
    <x v="0"/>
  </r>
  <r>
    <x v="0"/>
    <x v="12"/>
    <x v="15"/>
    <x v="0"/>
    <x v="0"/>
    <x v="0"/>
    <x v="0"/>
    <x v="0"/>
  </r>
  <r>
    <x v="0"/>
    <x v="15"/>
    <x v="15"/>
    <x v="0"/>
    <x v="0"/>
    <x v="0"/>
    <x v="0"/>
    <x v="0"/>
  </r>
  <r>
    <x v="0"/>
    <x v="3"/>
    <x v="11"/>
    <x v="0"/>
    <x v="0"/>
    <x v="0"/>
    <x v="0"/>
    <x v="0"/>
  </r>
  <r>
    <x v="0"/>
    <x v="13"/>
    <x v="10"/>
    <x v="0"/>
    <x v="0"/>
    <x v="0"/>
    <x v="0"/>
    <x v="0"/>
  </r>
  <r>
    <x v="0"/>
    <x v="0"/>
    <x v="0"/>
    <x v="0"/>
    <x v="0"/>
    <x v="0"/>
    <x v="0"/>
    <x v="0"/>
  </r>
  <r>
    <x v="0"/>
    <x v="0"/>
    <x v="1"/>
    <x v="0"/>
    <x v="0"/>
    <x v="0"/>
    <x v="0"/>
    <x v="0"/>
  </r>
  <r>
    <x v="0"/>
    <x v="18"/>
    <x v="3"/>
    <x v="0"/>
    <x v="0"/>
    <x v="0"/>
    <x v="0"/>
    <x v="0"/>
  </r>
  <r>
    <x v="0"/>
    <x v="18"/>
    <x v="10"/>
    <x v="0"/>
    <x v="0"/>
    <x v="0"/>
    <x v="0"/>
    <x v="0"/>
  </r>
  <r>
    <x v="0"/>
    <x v="14"/>
    <x v="1"/>
    <x v="0"/>
    <x v="0"/>
    <x v="0"/>
    <x v="0"/>
    <x v="0"/>
  </r>
  <r>
    <x v="0"/>
    <x v="12"/>
    <x v="15"/>
    <x v="0"/>
    <x v="0"/>
    <x v="0"/>
    <x v="0"/>
    <x v="0"/>
  </r>
  <r>
    <x v="0"/>
    <x v="13"/>
    <x v="10"/>
    <x v="0"/>
    <x v="0"/>
    <x v="0"/>
    <x v="0"/>
    <x v="0"/>
  </r>
  <r>
    <x v="0"/>
    <x v="0"/>
    <x v="10"/>
    <x v="0"/>
    <x v="0"/>
    <x v="0"/>
    <x v="0"/>
    <x v="0"/>
  </r>
  <r>
    <x v="0"/>
    <x v="11"/>
    <x v="11"/>
    <x v="0"/>
    <x v="0"/>
    <x v="0"/>
    <x v="0"/>
    <x v="0"/>
  </r>
  <r>
    <x v="0"/>
    <x v="12"/>
    <x v="15"/>
    <x v="0"/>
    <x v="0"/>
    <x v="0"/>
    <x v="0"/>
    <x v="0"/>
  </r>
  <r>
    <x v="0"/>
    <x v="16"/>
    <x v="15"/>
    <x v="0"/>
    <x v="0"/>
    <x v="0"/>
    <x v="0"/>
    <x v="0"/>
  </r>
  <r>
    <x v="0"/>
    <x v="4"/>
    <x v="1"/>
    <x v="0"/>
    <x v="0"/>
    <x v="0"/>
    <x v="0"/>
    <x v="0"/>
  </r>
  <r>
    <x v="0"/>
    <x v="11"/>
    <x v="13"/>
    <x v="0"/>
    <x v="0"/>
    <x v="0"/>
    <x v="0"/>
    <x v="0"/>
  </r>
  <r>
    <x v="0"/>
    <x v="13"/>
    <x v="10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0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2"/>
    <x v="16"/>
    <x v="0"/>
    <x v="0"/>
    <x v="0"/>
    <x v="0"/>
    <x v="0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  <r>
    <x v="1"/>
    <x v="23"/>
    <x v="17"/>
    <x v="0"/>
    <x v="0"/>
    <x v="0"/>
    <x v="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954">
  <r>
    <x v="0"/>
    <x v="4"/>
    <x v="12"/>
    <x v="0"/>
    <x v="1"/>
  </r>
  <r>
    <x v="0"/>
    <x v="4"/>
    <x v="12"/>
    <x v="0"/>
    <x v="1"/>
  </r>
  <r>
    <x v="0"/>
    <x v="15"/>
    <x v="12"/>
    <x v="0"/>
    <x v="1"/>
  </r>
  <r>
    <x v="0"/>
    <x v="4"/>
    <x v="10"/>
    <x v="0"/>
    <x v="1"/>
  </r>
  <r>
    <x v="0"/>
    <x v="4"/>
    <x v="11"/>
    <x v="0"/>
    <x v="1"/>
  </r>
  <r>
    <x v="0"/>
    <x v="14"/>
    <x v="3"/>
    <x v="0"/>
    <x v="1"/>
  </r>
  <r>
    <x v="0"/>
    <x v="14"/>
    <x v="3"/>
    <x v="0"/>
    <x v="1"/>
  </r>
  <r>
    <x v="0"/>
    <x v="15"/>
    <x v="11"/>
    <x v="0"/>
    <x v="1"/>
  </r>
  <r>
    <x v="0"/>
    <x v="22"/>
    <x v="2"/>
    <x v="0"/>
    <x v="1"/>
  </r>
  <r>
    <x v="0"/>
    <x v="23"/>
    <x v="12"/>
    <x v="0"/>
    <x v="1"/>
  </r>
  <r>
    <x v="0"/>
    <x v="11"/>
    <x v="12"/>
    <x v="0"/>
    <x v="1"/>
  </r>
  <r>
    <x v="0"/>
    <x v="17"/>
    <x v="7"/>
    <x v="0"/>
    <x v="1"/>
  </r>
  <r>
    <x v="0"/>
    <x v="11"/>
    <x v="11"/>
    <x v="0"/>
    <x v="1"/>
  </r>
  <r>
    <x v="0"/>
    <x v="11"/>
    <x v="2"/>
    <x v="0"/>
    <x v="1"/>
  </r>
  <r>
    <x v="0"/>
    <x v="20"/>
    <x v="2"/>
    <x v="0"/>
    <x v="1"/>
  </r>
  <r>
    <x v="0"/>
    <x v="20"/>
    <x v="12"/>
    <x v="0"/>
    <x v="1"/>
  </r>
  <r>
    <x v="0"/>
    <x v="28"/>
    <x v="7"/>
    <x v="0"/>
    <x v="1"/>
  </r>
  <r>
    <x v="0"/>
    <x v="17"/>
    <x v="7"/>
    <x v="0"/>
    <x v="1"/>
  </r>
  <r>
    <x v="0"/>
    <x v="23"/>
    <x v="2"/>
    <x v="0"/>
    <x v="1"/>
  </r>
  <r>
    <x v="0"/>
    <x v="17"/>
    <x v="2"/>
    <x v="0"/>
    <x v="1"/>
  </r>
  <r>
    <x v="0"/>
    <x v="5"/>
    <x v="7"/>
    <x v="0"/>
    <x v="1"/>
  </r>
  <r>
    <x v="0"/>
    <x v="20"/>
    <x v="11"/>
    <x v="0"/>
    <x v="1"/>
  </r>
  <r>
    <x v="0"/>
    <x v="19"/>
    <x v="11"/>
    <x v="0"/>
    <x v="1"/>
  </r>
  <r>
    <x v="0"/>
    <x v="19"/>
    <x v="2"/>
    <x v="0"/>
    <x v="1"/>
  </r>
  <r>
    <x v="0"/>
    <x v="10"/>
    <x v="12"/>
    <x v="0"/>
    <x v="1"/>
  </r>
  <r>
    <x v="0"/>
    <x v="10"/>
    <x v="2"/>
    <x v="0"/>
    <x v="1"/>
  </r>
  <r>
    <x v="0"/>
    <x v="14"/>
    <x v="7"/>
    <x v="0"/>
    <x v="1"/>
  </r>
  <r>
    <x v="0"/>
    <x v="2"/>
    <x v="7"/>
    <x v="0"/>
    <x v="1"/>
  </r>
  <r>
    <x v="0"/>
    <x v="17"/>
    <x v="15"/>
    <x v="0"/>
    <x v="1"/>
  </r>
  <r>
    <x v="0"/>
    <x v="28"/>
    <x v="15"/>
    <x v="0"/>
    <x v="1"/>
  </r>
  <r>
    <x v="0"/>
    <x v="5"/>
    <x v="15"/>
    <x v="0"/>
    <x v="1"/>
  </r>
  <r>
    <x v="0"/>
    <x v="7"/>
    <x v="15"/>
    <x v="0"/>
    <x v="1"/>
  </r>
  <r>
    <x v="0"/>
    <x v="18"/>
    <x v="13"/>
    <x v="0"/>
    <x v="1"/>
  </r>
  <r>
    <x v="0"/>
    <x v="7"/>
    <x v="13"/>
    <x v="0"/>
    <x v="1"/>
  </r>
  <r>
    <x v="0"/>
    <x v="2"/>
    <x v="12"/>
    <x v="0"/>
    <x v="1"/>
  </r>
  <r>
    <x v="0"/>
    <x v="7"/>
    <x v="12"/>
    <x v="0"/>
    <x v="1"/>
  </r>
  <r>
    <x v="0"/>
    <x v="2"/>
    <x v="11"/>
    <x v="0"/>
    <x v="1"/>
  </r>
  <r>
    <x v="0"/>
    <x v="2"/>
    <x v="1"/>
    <x v="0"/>
    <x v="1"/>
  </r>
  <r>
    <x v="0"/>
    <x v="2"/>
    <x v="2"/>
    <x v="0"/>
    <x v="1"/>
  </r>
  <r>
    <x v="0"/>
    <x v="7"/>
    <x v="3"/>
    <x v="0"/>
    <x v="1"/>
  </r>
  <r>
    <x v="0"/>
    <x v="14"/>
    <x v="7"/>
    <x v="0"/>
    <x v="1"/>
  </r>
  <r>
    <x v="0"/>
    <x v="19"/>
    <x v="11"/>
    <x v="0"/>
    <x v="1"/>
  </r>
  <r>
    <x v="0"/>
    <x v="16"/>
    <x v="12"/>
    <x v="0"/>
    <x v="1"/>
  </r>
  <r>
    <x v="0"/>
    <x v="16"/>
    <x v="11"/>
    <x v="0"/>
    <x v="1"/>
  </r>
  <r>
    <x v="0"/>
    <x v="16"/>
    <x v="1"/>
    <x v="0"/>
    <x v="1"/>
  </r>
  <r>
    <x v="0"/>
    <x v="6"/>
    <x v="15"/>
    <x v="0"/>
    <x v="1"/>
  </r>
  <r>
    <x v="0"/>
    <x v="6"/>
    <x v="3"/>
    <x v="0"/>
    <x v="1"/>
  </r>
  <r>
    <x v="0"/>
    <x v="6"/>
    <x v="3"/>
    <x v="0"/>
    <x v="1"/>
  </r>
  <r>
    <x v="0"/>
    <x v="6"/>
    <x v="12"/>
    <x v="0"/>
    <x v="1"/>
  </r>
  <r>
    <x v="0"/>
    <x v="12"/>
    <x v="3"/>
    <x v="0"/>
    <x v="1"/>
  </r>
  <r>
    <x v="0"/>
    <x v="12"/>
    <x v="15"/>
    <x v="0"/>
    <x v="1"/>
  </r>
  <r>
    <x v="0"/>
    <x v="2"/>
    <x v="15"/>
    <x v="0"/>
    <x v="1"/>
  </r>
  <r>
    <x v="0"/>
    <x v="2"/>
    <x v="3"/>
    <x v="0"/>
    <x v="1"/>
  </r>
  <r>
    <x v="0"/>
    <x v="9"/>
    <x v="2"/>
    <x v="0"/>
    <x v="1"/>
  </r>
  <r>
    <x v="0"/>
    <x v="0"/>
    <x v="12"/>
    <x v="0"/>
    <x v="1"/>
  </r>
  <r>
    <x v="0"/>
    <x v="0"/>
    <x v="14"/>
    <x v="0"/>
    <x v="1"/>
  </r>
  <r>
    <x v="0"/>
    <x v="0"/>
    <x v="1"/>
    <x v="0"/>
    <x v="1"/>
  </r>
  <r>
    <x v="0"/>
    <x v="0"/>
    <x v="2"/>
    <x v="0"/>
    <x v="1"/>
  </r>
  <r>
    <x v="0"/>
    <x v="14"/>
    <x v="5"/>
    <x v="0"/>
    <x v="1"/>
  </r>
  <r>
    <x v="0"/>
    <x v="3"/>
    <x v="5"/>
    <x v="0"/>
    <x v="1"/>
  </r>
  <r>
    <x v="0"/>
    <x v="1"/>
    <x v="0"/>
    <x v="0"/>
    <x v="1"/>
  </r>
  <r>
    <x v="0"/>
    <x v="14"/>
    <x v="5"/>
    <x v="0"/>
    <x v="1"/>
  </r>
  <r>
    <x v="0"/>
    <x v="14"/>
    <x v="7"/>
    <x v="0"/>
    <x v="1"/>
  </r>
  <r>
    <x v="0"/>
    <x v="20"/>
    <x v="3"/>
    <x v="0"/>
    <x v="1"/>
  </r>
  <r>
    <x v="0"/>
    <x v="3"/>
    <x v="15"/>
    <x v="0"/>
    <x v="1"/>
  </r>
  <r>
    <x v="0"/>
    <x v="0"/>
    <x v="11"/>
    <x v="0"/>
    <x v="1"/>
  </r>
  <r>
    <x v="0"/>
    <x v="27"/>
    <x v="6"/>
    <x v="0"/>
    <x v="1"/>
  </r>
  <r>
    <x v="0"/>
    <x v="27"/>
    <x v="15"/>
    <x v="0"/>
    <x v="1"/>
  </r>
  <r>
    <x v="0"/>
    <x v="27"/>
    <x v="11"/>
    <x v="0"/>
    <x v="1"/>
  </r>
  <r>
    <x v="0"/>
    <x v="9"/>
    <x v="6"/>
    <x v="0"/>
    <x v="1"/>
  </r>
  <r>
    <x v="0"/>
    <x v="21"/>
    <x v="12"/>
    <x v="0"/>
    <x v="1"/>
  </r>
  <r>
    <x v="0"/>
    <x v="14"/>
    <x v="7"/>
    <x v="0"/>
    <x v="1"/>
  </r>
  <r>
    <x v="0"/>
    <x v="14"/>
    <x v="6"/>
    <x v="0"/>
    <x v="1"/>
  </r>
  <r>
    <x v="0"/>
    <x v="1"/>
    <x v="7"/>
    <x v="0"/>
    <x v="1"/>
  </r>
  <r>
    <x v="0"/>
    <x v="1"/>
    <x v="6"/>
    <x v="0"/>
    <x v="1"/>
  </r>
  <r>
    <x v="0"/>
    <x v="27"/>
    <x v="11"/>
    <x v="0"/>
    <x v="1"/>
  </r>
  <r>
    <x v="0"/>
    <x v="14"/>
    <x v="3"/>
    <x v="0"/>
    <x v="1"/>
  </r>
  <r>
    <x v="0"/>
    <x v="11"/>
    <x v="16"/>
    <x v="0"/>
    <x v="1"/>
  </r>
  <r>
    <x v="0"/>
    <x v="24"/>
    <x v="2"/>
    <x v="0"/>
    <x v="1"/>
  </r>
  <r>
    <x v="0"/>
    <x v="24"/>
    <x v="12"/>
    <x v="0"/>
    <x v="1"/>
  </r>
  <r>
    <x v="0"/>
    <x v="14"/>
    <x v="7"/>
    <x v="0"/>
    <x v="1"/>
  </r>
  <r>
    <x v="0"/>
    <x v="14"/>
    <x v="15"/>
    <x v="0"/>
    <x v="1"/>
  </r>
  <r>
    <x v="0"/>
    <x v="3"/>
    <x v="2"/>
    <x v="0"/>
    <x v="1"/>
  </r>
  <r>
    <x v="0"/>
    <x v="25"/>
    <x v="11"/>
    <x v="0"/>
    <x v="1"/>
  </r>
  <r>
    <x v="0"/>
    <x v="26"/>
    <x v="11"/>
    <x v="0"/>
    <x v="1"/>
  </r>
  <r>
    <x v="0"/>
    <x v="26"/>
    <x v="14"/>
    <x v="0"/>
    <x v="1"/>
  </r>
  <r>
    <x v="0"/>
    <x v="0"/>
    <x v="9"/>
    <x v="0"/>
    <x v="1"/>
  </r>
  <r>
    <x v="0"/>
    <x v="12"/>
    <x v="9"/>
    <x v="0"/>
    <x v="1"/>
  </r>
  <r>
    <x v="0"/>
    <x v="12"/>
    <x v="9"/>
    <x v="0"/>
    <x v="1"/>
  </r>
  <r>
    <x v="0"/>
    <x v="21"/>
    <x v="4"/>
    <x v="0"/>
    <x v="1"/>
  </r>
  <r>
    <x v="0"/>
    <x v="21"/>
    <x v="7"/>
    <x v="0"/>
    <x v="1"/>
  </r>
  <r>
    <x v="0"/>
    <x v="15"/>
    <x v="12"/>
    <x v="0"/>
    <x v="1"/>
  </r>
  <r>
    <x v="0"/>
    <x v="15"/>
    <x v="16"/>
    <x v="0"/>
    <x v="1"/>
  </r>
  <r>
    <x v="0"/>
    <x v="15"/>
    <x v="16"/>
    <x v="0"/>
    <x v="1"/>
  </r>
  <r>
    <x v="0"/>
    <x v="15"/>
    <x v="16"/>
    <x v="0"/>
    <x v="1"/>
  </r>
  <r>
    <x v="0"/>
    <x v="15"/>
    <x v="16"/>
    <x v="0"/>
    <x v="1"/>
  </r>
  <r>
    <x v="0"/>
    <x v="14"/>
    <x v="15"/>
    <x v="0"/>
    <x v="1"/>
  </r>
  <r>
    <x v="0"/>
    <x v="14"/>
    <x v="11"/>
    <x v="0"/>
    <x v="1"/>
  </r>
  <r>
    <x v="0"/>
    <x v="14"/>
    <x v="7"/>
    <x v="0"/>
    <x v="1"/>
  </r>
  <r>
    <x v="0"/>
    <x v="14"/>
    <x v="12"/>
    <x v="0"/>
    <x v="1"/>
  </r>
  <r>
    <x v="0"/>
    <x v="7"/>
    <x v="2"/>
    <x v="0"/>
    <x v="1"/>
  </r>
  <r>
    <x v="0"/>
    <x v="14"/>
    <x v="2"/>
    <x v="0"/>
    <x v="1"/>
  </r>
  <r>
    <x v="0"/>
    <x v="14"/>
    <x v="15"/>
    <x v="0"/>
    <x v="1"/>
  </r>
  <r>
    <x v="0"/>
    <x v="14"/>
    <x v="1"/>
    <x v="0"/>
    <x v="1"/>
  </r>
  <r>
    <x v="0"/>
    <x v="14"/>
    <x v="13"/>
    <x v="0"/>
    <x v="1"/>
  </r>
  <r>
    <x v="0"/>
    <x v="14"/>
    <x v="14"/>
    <x v="0"/>
    <x v="1"/>
  </r>
  <r>
    <x v="0"/>
    <x v="14"/>
    <x v="4"/>
    <x v="0"/>
    <x v="1"/>
  </r>
  <r>
    <x v="0"/>
    <x v="14"/>
    <x v="8"/>
    <x v="0"/>
    <x v="0"/>
  </r>
  <r>
    <x v="0"/>
    <x v="17"/>
    <x v="8"/>
    <x v="0"/>
    <x v="1"/>
  </r>
  <r>
    <x v="0"/>
    <x v="26"/>
    <x v="14"/>
    <x v="0"/>
    <x v="1"/>
  </r>
  <r>
    <x v="0"/>
    <x v="13"/>
    <x v="12"/>
    <x v="0"/>
    <x v="1"/>
  </r>
  <r>
    <x v="0"/>
    <x v="13"/>
    <x v="1"/>
    <x v="0"/>
    <x v="1"/>
  </r>
  <r>
    <x v="0"/>
    <x v="13"/>
    <x v="4"/>
    <x v="0"/>
    <x v="1"/>
  </r>
  <r>
    <x v="0"/>
    <x v="8"/>
    <x v="4"/>
    <x v="0"/>
    <x v="1"/>
  </r>
  <r>
    <x v="0"/>
    <x v="8"/>
    <x v="15"/>
    <x v="0"/>
    <x v="1"/>
  </r>
  <r>
    <x v="0"/>
    <x v="8"/>
    <x v="12"/>
    <x v="0"/>
    <x v="1"/>
  </r>
  <r>
    <x v="0"/>
    <x v="20"/>
    <x v="14"/>
    <x v="0"/>
    <x v="1"/>
  </r>
  <r>
    <x v="0"/>
    <x v="29"/>
    <x v="16"/>
    <x v="0"/>
    <x v="1"/>
  </r>
  <r>
    <x v="0"/>
    <x v="29"/>
    <x v="16"/>
    <x v="0"/>
    <x v="1"/>
  </r>
  <r>
    <x v="0"/>
    <x v="29"/>
    <x v="16"/>
    <x v="0"/>
    <x v="1"/>
  </r>
  <r>
    <x v="0"/>
    <x v="29"/>
    <x v="16"/>
    <x v="0"/>
    <x v="1"/>
  </r>
  <r>
    <x v="0"/>
    <x v="29"/>
    <x v="16"/>
    <x v="0"/>
    <x v="1"/>
  </r>
  <r>
    <x v="0"/>
    <x v="29"/>
    <x v="16"/>
    <x v="0"/>
    <x v="1"/>
  </r>
  <r>
    <x v="0"/>
    <x v="29"/>
    <x v="16"/>
    <x v="0"/>
    <x v="1"/>
  </r>
  <r>
    <x v="0"/>
    <x v="29"/>
    <x v="16"/>
    <x v="0"/>
    <x v="1"/>
  </r>
  <r>
    <x v="0"/>
    <x v="29"/>
    <x v="16"/>
    <x v="0"/>
    <x v="1"/>
  </r>
  <r>
    <x v="0"/>
    <x v="29"/>
    <x v="16"/>
    <x v="0"/>
    <x v="1"/>
  </r>
  <r>
    <x v="0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1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29"/>
    <x v="16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  <r>
    <x v="1"/>
    <x v="30"/>
    <x v="17"/>
    <x v="0"/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913">
  <r>
    <x v="14"/>
    <x v="19"/>
    <x v="15"/>
    <x v="210"/>
  </r>
  <r>
    <x v="14"/>
    <x v="19"/>
    <x v="15"/>
    <x v="210"/>
  </r>
  <r>
    <x v="14"/>
    <x v="19"/>
    <x v="15"/>
    <x v="210"/>
  </r>
  <r>
    <x v="1"/>
    <x v="3"/>
    <x v="3"/>
    <x v="199"/>
  </r>
  <r>
    <x v="2"/>
    <x v="11"/>
    <x v="8"/>
    <x v="85"/>
  </r>
  <r>
    <x v="2"/>
    <x v="12"/>
    <x v="9"/>
    <x v="81"/>
  </r>
  <r>
    <x v="14"/>
    <x v="19"/>
    <x v="15"/>
    <x v="210"/>
  </r>
  <r>
    <x v="14"/>
    <x v="19"/>
    <x v="15"/>
    <x v="210"/>
  </r>
  <r>
    <x v="2"/>
    <x v="12"/>
    <x v="9"/>
    <x v="64"/>
  </r>
  <r>
    <x v="2"/>
    <x v="8"/>
    <x v="5"/>
    <x v="114"/>
  </r>
  <r>
    <x v="2"/>
    <x v="2"/>
    <x v="2"/>
    <x v="75"/>
  </r>
  <r>
    <x v="2"/>
    <x v="2"/>
    <x v="2"/>
    <x v="75"/>
  </r>
  <r>
    <x v="2"/>
    <x v="2"/>
    <x v="2"/>
    <x v="128"/>
  </r>
  <r>
    <x v="3"/>
    <x v="3"/>
    <x v="3"/>
    <x v="202"/>
  </r>
  <r>
    <x v="3"/>
    <x v="8"/>
    <x v="5"/>
    <x v="141"/>
  </r>
  <r>
    <x v="3"/>
    <x v="13"/>
    <x v="10"/>
    <x v="68"/>
  </r>
  <r>
    <x v="3"/>
    <x v="13"/>
    <x v="10"/>
    <x v="58"/>
  </r>
  <r>
    <x v="3"/>
    <x v="8"/>
    <x v="5"/>
    <x v="66"/>
  </r>
  <r>
    <x v="3"/>
    <x v="2"/>
    <x v="2"/>
    <x v="77"/>
  </r>
  <r>
    <x v="4"/>
    <x v="3"/>
    <x v="3"/>
    <x v="205"/>
  </r>
  <r>
    <x v="4"/>
    <x v="1"/>
    <x v="1"/>
    <x v="78"/>
  </r>
  <r>
    <x v="4"/>
    <x v="12"/>
    <x v="9"/>
    <x v="65"/>
  </r>
  <r>
    <x v="4"/>
    <x v="2"/>
    <x v="2"/>
    <x v="69"/>
  </r>
  <r>
    <x v="4"/>
    <x v="3"/>
    <x v="3"/>
    <x v="196"/>
  </r>
  <r>
    <x v="4"/>
    <x v="8"/>
    <x v="5"/>
    <x v="141"/>
  </r>
  <r>
    <x v="4"/>
    <x v="8"/>
    <x v="5"/>
    <x v="155"/>
  </r>
  <r>
    <x v="4"/>
    <x v="13"/>
    <x v="10"/>
    <x v="125"/>
  </r>
  <r>
    <x v="4"/>
    <x v="8"/>
    <x v="5"/>
    <x v="194"/>
  </r>
  <r>
    <x v="4"/>
    <x v="8"/>
    <x v="5"/>
    <x v="126"/>
  </r>
  <r>
    <x v="4"/>
    <x v="3"/>
    <x v="3"/>
    <x v="183"/>
  </r>
  <r>
    <x v="4"/>
    <x v="2"/>
    <x v="2"/>
    <x v="84"/>
  </r>
  <r>
    <x v="4"/>
    <x v="12"/>
    <x v="9"/>
    <x v="124"/>
  </r>
  <r>
    <x v="4"/>
    <x v="1"/>
    <x v="1"/>
    <x v="76"/>
  </r>
  <r>
    <x v="5"/>
    <x v="2"/>
    <x v="2"/>
    <x v="71"/>
  </r>
  <r>
    <x v="5"/>
    <x v="13"/>
    <x v="10"/>
    <x v="80"/>
  </r>
  <r>
    <x v="5"/>
    <x v="8"/>
    <x v="5"/>
    <x v="59"/>
  </r>
  <r>
    <x v="5"/>
    <x v="13"/>
    <x v="10"/>
    <x v="119"/>
  </r>
  <r>
    <x v="5"/>
    <x v="12"/>
    <x v="9"/>
    <x v="121"/>
  </r>
  <r>
    <x v="5"/>
    <x v="8"/>
    <x v="5"/>
    <x v="53"/>
  </r>
  <r>
    <x v="5"/>
    <x v="2"/>
    <x v="2"/>
    <x v="57"/>
  </r>
  <r>
    <x v="5"/>
    <x v="2"/>
    <x v="2"/>
    <x v="44"/>
  </r>
  <r>
    <x v="5"/>
    <x v="8"/>
    <x v="5"/>
    <x v="49"/>
  </r>
  <r>
    <x v="5"/>
    <x v="12"/>
    <x v="9"/>
    <x v="73"/>
  </r>
  <r>
    <x v="5"/>
    <x v="3"/>
    <x v="3"/>
    <x v="165"/>
  </r>
  <r>
    <x v="5"/>
    <x v="8"/>
    <x v="5"/>
    <x v="141"/>
  </r>
  <r>
    <x v="5"/>
    <x v="13"/>
    <x v="10"/>
    <x v="141"/>
  </r>
  <r>
    <x v="5"/>
    <x v="12"/>
    <x v="9"/>
    <x v="55"/>
  </r>
  <r>
    <x v="5"/>
    <x v="2"/>
    <x v="2"/>
    <x v="54"/>
  </r>
  <r>
    <x v="5"/>
    <x v="3"/>
    <x v="3"/>
    <x v="180"/>
  </r>
  <r>
    <x v="5"/>
    <x v="8"/>
    <x v="5"/>
    <x v="173"/>
  </r>
  <r>
    <x v="6"/>
    <x v="2"/>
    <x v="2"/>
    <x v="151"/>
  </r>
  <r>
    <x v="6"/>
    <x v="13"/>
    <x v="10"/>
    <x v="113"/>
  </r>
  <r>
    <x v="6"/>
    <x v="13"/>
    <x v="10"/>
    <x v="96"/>
  </r>
  <r>
    <x v="6"/>
    <x v="12"/>
    <x v="9"/>
    <x v="117"/>
  </r>
  <r>
    <x v="6"/>
    <x v="2"/>
    <x v="2"/>
    <x v="60"/>
  </r>
  <r>
    <x v="6"/>
    <x v="8"/>
    <x v="5"/>
    <x v="188"/>
  </r>
  <r>
    <x v="6"/>
    <x v="13"/>
    <x v="10"/>
    <x v="67"/>
  </r>
  <r>
    <x v="6"/>
    <x v="2"/>
    <x v="2"/>
    <x v="61"/>
  </r>
  <r>
    <x v="6"/>
    <x v="13"/>
    <x v="10"/>
    <x v="93"/>
  </r>
  <r>
    <x v="6"/>
    <x v="2"/>
    <x v="2"/>
    <x v="89"/>
  </r>
  <r>
    <x v="6"/>
    <x v="8"/>
    <x v="5"/>
    <x v="142"/>
  </r>
  <r>
    <x v="14"/>
    <x v="19"/>
    <x v="15"/>
    <x v="210"/>
  </r>
  <r>
    <x v="6"/>
    <x v="12"/>
    <x v="9"/>
    <x v="123"/>
  </r>
  <r>
    <x v="6"/>
    <x v="2"/>
    <x v="2"/>
    <x v="156"/>
  </r>
  <r>
    <x v="6"/>
    <x v="2"/>
    <x v="2"/>
    <x v="179"/>
  </r>
  <r>
    <x v="6"/>
    <x v="8"/>
    <x v="5"/>
    <x v="172"/>
  </r>
  <r>
    <x v="6"/>
    <x v="2"/>
    <x v="2"/>
    <x v="130"/>
  </r>
  <r>
    <x v="6"/>
    <x v="7"/>
    <x v="4"/>
    <x v="195"/>
  </r>
  <r>
    <x v="7"/>
    <x v="8"/>
    <x v="5"/>
    <x v="48"/>
  </r>
  <r>
    <x v="7"/>
    <x v="17"/>
    <x v="13"/>
    <x v="34"/>
  </r>
  <r>
    <x v="7"/>
    <x v="17"/>
    <x v="13"/>
    <x v="34"/>
  </r>
  <r>
    <x v="7"/>
    <x v="17"/>
    <x v="13"/>
    <x v="34"/>
  </r>
  <r>
    <x v="7"/>
    <x v="17"/>
    <x v="13"/>
    <x v="34"/>
  </r>
  <r>
    <x v="7"/>
    <x v="14"/>
    <x v="11"/>
    <x v="38"/>
  </r>
  <r>
    <x v="7"/>
    <x v="14"/>
    <x v="11"/>
    <x v="38"/>
  </r>
  <r>
    <x v="7"/>
    <x v="13"/>
    <x v="10"/>
    <x v="24"/>
  </r>
  <r>
    <x v="7"/>
    <x v="13"/>
    <x v="10"/>
    <x v="24"/>
  </r>
  <r>
    <x v="7"/>
    <x v="12"/>
    <x v="9"/>
    <x v="15"/>
  </r>
  <r>
    <x v="7"/>
    <x v="1"/>
    <x v="1"/>
    <x v="31"/>
  </r>
  <r>
    <x v="7"/>
    <x v="2"/>
    <x v="2"/>
    <x v="20"/>
  </r>
  <r>
    <x v="7"/>
    <x v="3"/>
    <x v="3"/>
    <x v="22"/>
  </r>
  <r>
    <x v="7"/>
    <x v="12"/>
    <x v="9"/>
    <x v="107"/>
  </r>
  <r>
    <x v="7"/>
    <x v="8"/>
    <x v="5"/>
    <x v="161"/>
  </r>
  <r>
    <x v="7"/>
    <x v="1"/>
    <x v="1"/>
    <x v="131"/>
  </r>
  <r>
    <x v="7"/>
    <x v="12"/>
    <x v="9"/>
    <x v="100"/>
  </r>
  <r>
    <x v="14"/>
    <x v="19"/>
    <x v="15"/>
    <x v="210"/>
  </r>
  <r>
    <x v="7"/>
    <x v="12"/>
    <x v="9"/>
    <x v="189"/>
  </r>
  <r>
    <x v="7"/>
    <x v="12"/>
    <x v="9"/>
    <x v="72"/>
  </r>
  <r>
    <x v="7"/>
    <x v="13"/>
    <x v="10"/>
    <x v="103"/>
  </r>
  <r>
    <x v="7"/>
    <x v="13"/>
    <x v="10"/>
    <x v="40"/>
  </r>
  <r>
    <x v="7"/>
    <x v="12"/>
    <x v="9"/>
    <x v="43"/>
  </r>
  <r>
    <x v="7"/>
    <x v="1"/>
    <x v="1"/>
    <x v="51"/>
  </r>
  <r>
    <x v="7"/>
    <x v="17"/>
    <x v="13"/>
    <x v="74"/>
  </r>
  <r>
    <x v="7"/>
    <x v="3"/>
    <x v="3"/>
    <x v="82"/>
  </r>
  <r>
    <x v="7"/>
    <x v="7"/>
    <x v="4"/>
    <x v="200"/>
  </r>
  <r>
    <x v="7"/>
    <x v="17"/>
    <x v="13"/>
    <x v="192"/>
  </r>
  <r>
    <x v="7"/>
    <x v="3"/>
    <x v="3"/>
    <x v="79"/>
  </r>
  <r>
    <x v="7"/>
    <x v="13"/>
    <x v="10"/>
    <x v="63"/>
  </r>
  <r>
    <x v="7"/>
    <x v="3"/>
    <x v="3"/>
    <x v="41"/>
  </r>
  <r>
    <x v="7"/>
    <x v="17"/>
    <x v="13"/>
    <x v="42"/>
  </r>
  <r>
    <x v="7"/>
    <x v="17"/>
    <x v="13"/>
    <x v="19"/>
  </r>
  <r>
    <x v="7"/>
    <x v="3"/>
    <x v="3"/>
    <x v="159"/>
  </r>
  <r>
    <x v="7"/>
    <x v="7"/>
    <x v="4"/>
    <x v="198"/>
  </r>
  <r>
    <x v="7"/>
    <x v="3"/>
    <x v="3"/>
    <x v="14"/>
  </r>
  <r>
    <x v="7"/>
    <x v="12"/>
    <x v="9"/>
    <x v="88"/>
  </r>
  <r>
    <x v="7"/>
    <x v="2"/>
    <x v="2"/>
    <x v="163"/>
  </r>
  <r>
    <x v="7"/>
    <x v="7"/>
    <x v="4"/>
    <x v="197"/>
  </r>
  <r>
    <x v="7"/>
    <x v="2"/>
    <x v="2"/>
    <x v="111"/>
  </r>
  <r>
    <x v="7"/>
    <x v="13"/>
    <x v="10"/>
    <x v="86"/>
  </r>
  <r>
    <x v="7"/>
    <x v="16"/>
    <x v="12"/>
    <x v="70"/>
  </r>
  <r>
    <x v="7"/>
    <x v="1"/>
    <x v="1"/>
    <x v="50"/>
  </r>
  <r>
    <x v="7"/>
    <x v="2"/>
    <x v="2"/>
    <x v="32"/>
  </r>
  <r>
    <x v="7"/>
    <x v="2"/>
    <x v="2"/>
    <x v="163"/>
  </r>
  <r>
    <x v="14"/>
    <x v="19"/>
    <x v="15"/>
    <x v="210"/>
  </r>
  <r>
    <x v="8"/>
    <x v="5"/>
    <x v="3"/>
    <x v="150"/>
  </r>
  <r>
    <x v="8"/>
    <x v="5"/>
    <x v="3"/>
    <x v="99"/>
  </r>
  <r>
    <x v="8"/>
    <x v="5"/>
    <x v="3"/>
    <x v="21"/>
  </r>
  <r>
    <x v="14"/>
    <x v="19"/>
    <x v="15"/>
    <x v="210"/>
  </r>
  <r>
    <x v="14"/>
    <x v="19"/>
    <x v="15"/>
    <x v="210"/>
  </r>
  <r>
    <x v="14"/>
    <x v="19"/>
    <x v="15"/>
    <x v="210"/>
  </r>
  <r>
    <x v="14"/>
    <x v="19"/>
    <x v="15"/>
    <x v="210"/>
  </r>
  <r>
    <x v="8"/>
    <x v="3"/>
    <x v="3"/>
    <x v="41"/>
  </r>
  <r>
    <x v="8"/>
    <x v="7"/>
    <x v="4"/>
    <x v="187"/>
  </r>
  <r>
    <x v="8"/>
    <x v="7"/>
    <x v="4"/>
    <x v="190"/>
  </r>
  <r>
    <x v="8"/>
    <x v="3"/>
    <x v="3"/>
    <x v="184"/>
  </r>
  <r>
    <x v="8"/>
    <x v="12"/>
    <x v="9"/>
    <x v="154"/>
  </r>
  <r>
    <x v="8"/>
    <x v="13"/>
    <x v="10"/>
    <x v="109"/>
  </r>
  <r>
    <x v="8"/>
    <x v="13"/>
    <x v="10"/>
    <x v="162"/>
  </r>
  <r>
    <x v="8"/>
    <x v="12"/>
    <x v="9"/>
    <x v="105"/>
  </r>
  <r>
    <x v="8"/>
    <x v="12"/>
    <x v="9"/>
    <x v="94"/>
  </r>
  <r>
    <x v="8"/>
    <x v="3"/>
    <x v="3"/>
    <x v="203"/>
  </r>
  <r>
    <x v="8"/>
    <x v="12"/>
    <x v="9"/>
    <x v="120"/>
  </r>
  <r>
    <x v="8"/>
    <x v="17"/>
    <x v="13"/>
    <x v="8"/>
  </r>
  <r>
    <x v="8"/>
    <x v="12"/>
    <x v="9"/>
    <x v="137"/>
  </r>
  <r>
    <x v="8"/>
    <x v="13"/>
    <x v="10"/>
    <x v="141"/>
  </r>
  <r>
    <x v="8"/>
    <x v="3"/>
    <x v="3"/>
    <x v="83"/>
  </r>
  <r>
    <x v="8"/>
    <x v="2"/>
    <x v="2"/>
    <x v="176"/>
  </r>
  <r>
    <x v="8"/>
    <x v="13"/>
    <x v="10"/>
    <x v="115"/>
  </r>
  <r>
    <x v="8"/>
    <x v="2"/>
    <x v="2"/>
    <x v="147"/>
  </r>
  <r>
    <x v="8"/>
    <x v="1"/>
    <x v="1"/>
    <x v="169"/>
  </r>
  <r>
    <x v="8"/>
    <x v="1"/>
    <x v="1"/>
    <x v="153"/>
  </r>
  <r>
    <x v="8"/>
    <x v="12"/>
    <x v="9"/>
    <x v="47"/>
  </r>
  <r>
    <x v="8"/>
    <x v="2"/>
    <x v="2"/>
    <x v="157"/>
  </r>
  <r>
    <x v="8"/>
    <x v="2"/>
    <x v="2"/>
    <x v="118"/>
  </r>
  <r>
    <x v="8"/>
    <x v="6"/>
    <x v="3"/>
    <x v="52"/>
  </r>
  <r>
    <x v="8"/>
    <x v="17"/>
    <x v="13"/>
    <x v="26"/>
  </r>
  <r>
    <x v="8"/>
    <x v="12"/>
    <x v="9"/>
    <x v="25"/>
  </r>
  <r>
    <x v="9"/>
    <x v="12"/>
    <x v="9"/>
    <x v="182"/>
  </r>
  <r>
    <x v="9"/>
    <x v="6"/>
    <x v="3"/>
    <x v="129"/>
  </r>
  <r>
    <x v="9"/>
    <x v="13"/>
    <x v="10"/>
    <x v="62"/>
  </r>
  <r>
    <x v="9"/>
    <x v="13"/>
    <x v="10"/>
    <x v="94"/>
  </r>
  <r>
    <x v="9"/>
    <x v="3"/>
    <x v="3"/>
    <x v="133"/>
  </r>
  <r>
    <x v="9"/>
    <x v="5"/>
    <x v="3"/>
    <x v="169"/>
  </r>
  <r>
    <x v="9"/>
    <x v="2"/>
    <x v="2"/>
    <x v="23"/>
  </r>
  <r>
    <x v="9"/>
    <x v="12"/>
    <x v="9"/>
    <x v="112"/>
  </r>
  <r>
    <x v="9"/>
    <x v="3"/>
    <x v="3"/>
    <x v="159"/>
  </r>
  <r>
    <x v="9"/>
    <x v="13"/>
    <x v="10"/>
    <x v="90"/>
  </r>
  <r>
    <x v="9"/>
    <x v="12"/>
    <x v="9"/>
    <x v="147"/>
  </r>
  <r>
    <x v="9"/>
    <x v="2"/>
    <x v="2"/>
    <x v="97"/>
  </r>
  <r>
    <x v="9"/>
    <x v="12"/>
    <x v="9"/>
    <x v="175"/>
  </r>
  <r>
    <x v="14"/>
    <x v="19"/>
    <x v="15"/>
    <x v="210"/>
  </r>
  <r>
    <x v="14"/>
    <x v="19"/>
    <x v="15"/>
    <x v="210"/>
  </r>
  <r>
    <x v="14"/>
    <x v="19"/>
    <x v="15"/>
    <x v="210"/>
  </r>
  <r>
    <x v="14"/>
    <x v="19"/>
    <x v="15"/>
    <x v="210"/>
  </r>
  <r>
    <x v="9"/>
    <x v="3"/>
    <x v="3"/>
    <x v="209"/>
  </r>
  <r>
    <x v="10"/>
    <x v="17"/>
    <x v="13"/>
    <x v="206"/>
  </r>
  <r>
    <x v="10"/>
    <x v="17"/>
    <x v="13"/>
    <x v="191"/>
  </r>
  <r>
    <x v="10"/>
    <x v="17"/>
    <x v="13"/>
    <x v="160"/>
  </r>
  <r>
    <x v="9"/>
    <x v="2"/>
    <x v="2"/>
    <x v="92"/>
  </r>
  <r>
    <x v="9"/>
    <x v="5"/>
    <x v="3"/>
    <x v="166"/>
  </r>
  <r>
    <x v="10"/>
    <x v="3"/>
    <x v="3"/>
    <x v="159"/>
  </r>
  <r>
    <x v="10"/>
    <x v="13"/>
    <x v="10"/>
    <x v="171"/>
  </r>
  <r>
    <x v="10"/>
    <x v="12"/>
    <x v="9"/>
    <x v="122"/>
  </r>
  <r>
    <x v="10"/>
    <x v="13"/>
    <x v="10"/>
    <x v="103"/>
  </r>
  <r>
    <x v="10"/>
    <x v="12"/>
    <x v="9"/>
    <x v="37"/>
  </r>
  <r>
    <x v="10"/>
    <x v="3"/>
    <x v="3"/>
    <x v="203"/>
  </r>
  <r>
    <x v="10"/>
    <x v="17"/>
    <x v="13"/>
    <x v="160"/>
  </r>
  <r>
    <x v="10"/>
    <x v="17"/>
    <x v="13"/>
    <x v="160"/>
  </r>
  <r>
    <x v="10"/>
    <x v="12"/>
    <x v="9"/>
    <x v="108"/>
  </r>
  <r>
    <x v="10"/>
    <x v="12"/>
    <x v="9"/>
    <x v="135"/>
  </r>
  <r>
    <x v="10"/>
    <x v="3"/>
    <x v="3"/>
    <x v="1"/>
  </r>
  <r>
    <x v="10"/>
    <x v="3"/>
    <x v="3"/>
    <x v="159"/>
  </r>
  <r>
    <x v="10"/>
    <x v="17"/>
    <x v="13"/>
    <x v="160"/>
  </r>
  <r>
    <x v="10"/>
    <x v="13"/>
    <x v="10"/>
    <x v="141"/>
  </r>
  <r>
    <x v="10"/>
    <x v="12"/>
    <x v="9"/>
    <x v="174"/>
  </r>
  <r>
    <x v="10"/>
    <x v="3"/>
    <x v="3"/>
    <x v="159"/>
  </r>
  <r>
    <x v="10"/>
    <x v="17"/>
    <x v="13"/>
    <x v="160"/>
  </r>
  <r>
    <x v="10"/>
    <x v="12"/>
    <x v="9"/>
    <x v="111"/>
  </r>
  <r>
    <x v="14"/>
    <x v="19"/>
    <x v="15"/>
    <x v="210"/>
  </r>
  <r>
    <x v="10"/>
    <x v="13"/>
    <x v="10"/>
    <x v="171"/>
  </r>
  <r>
    <x v="10"/>
    <x v="2"/>
    <x v="2"/>
    <x v="111"/>
  </r>
  <r>
    <x v="10"/>
    <x v="2"/>
    <x v="2"/>
    <x v="169"/>
  </r>
  <r>
    <x v="10"/>
    <x v="13"/>
    <x v="10"/>
    <x v="168"/>
  </r>
  <r>
    <x v="14"/>
    <x v="19"/>
    <x v="15"/>
    <x v="210"/>
  </r>
  <r>
    <x v="10"/>
    <x v="2"/>
    <x v="2"/>
    <x v="12"/>
  </r>
  <r>
    <x v="10"/>
    <x v="13"/>
    <x v="10"/>
    <x v="141"/>
  </r>
  <r>
    <x v="10"/>
    <x v="3"/>
    <x v="3"/>
    <x v="164"/>
  </r>
  <r>
    <x v="10"/>
    <x v="5"/>
    <x v="3"/>
    <x v="208"/>
  </r>
  <r>
    <x v="10"/>
    <x v="6"/>
    <x v="3"/>
    <x v="201"/>
  </r>
  <r>
    <x v="10"/>
    <x v="13"/>
    <x v="10"/>
    <x v="11"/>
  </r>
  <r>
    <x v="10"/>
    <x v="12"/>
    <x v="9"/>
    <x v="181"/>
  </r>
  <r>
    <x v="10"/>
    <x v="13"/>
    <x v="10"/>
    <x v="100"/>
  </r>
  <r>
    <x v="11"/>
    <x v="10"/>
    <x v="7"/>
    <x v="132"/>
  </r>
  <r>
    <x v="10"/>
    <x v="17"/>
    <x v="13"/>
    <x v="178"/>
  </r>
  <r>
    <x v="10"/>
    <x v="12"/>
    <x v="9"/>
    <x v="146"/>
  </r>
  <r>
    <x v="10"/>
    <x v="17"/>
    <x v="13"/>
    <x v="160"/>
  </r>
  <r>
    <x v="10"/>
    <x v="13"/>
    <x v="10"/>
    <x v="141"/>
  </r>
  <r>
    <x v="10"/>
    <x v="12"/>
    <x v="9"/>
    <x v="116"/>
  </r>
  <r>
    <x v="10"/>
    <x v="13"/>
    <x v="10"/>
    <x v="171"/>
  </r>
  <r>
    <x v="10"/>
    <x v="4"/>
    <x v="3"/>
    <x v="178"/>
  </r>
  <r>
    <x v="14"/>
    <x v="19"/>
    <x v="15"/>
    <x v="210"/>
  </r>
  <r>
    <x v="11"/>
    <x v="17"/>
    <x v="13"/>
    <x v="160"/>
  </r>
  <r>
    <x v="14"/>
    <x v="19"/>
    <x v="15"/>
    <x v="210"/>
  </r>
  <r>
    <x v="11"/>
    <x v="12"/>
    <x v="9"/>
    <x v="148"/>
  </r>
  <r>
    <x v="11"/>
    <x v="2"/>
    <x v="2"/>
    <x v="13"/>
  </r>
  <r>
    <x v="14"/>
    <x v="19"/>
    <x v="15"/>
    <x v="210"/>
  </r>
  <r>
    <x v="11"/>
    <x v="2"/>
    <x v="2"/>
    <x v="106"/>
  </r>
  <r>
    <x v="11"/>
    <x v="13"/>
    <x v="10"/>
    <x v="30"/>
  </r>
  <r>
    <x v="11"/>
    <x v="13"/>
    <x v="10"/>
    <x v="141"/>
  </r>
  <r>
    <x v="11"/>
    <x v="12"/>
    <x v="9"/>
    <x v="136"/>
  </r>
  <r>
    <x v="11"/>
    <x v="16"/>
    <x v="12"/>
    <x v="149"/>
  </r>
  <r>
    <x v="11"/>
    <x v="12"/>
    <x v="9"/>
    <x v="27"/>
  </r>
  <r>
    <x v="14"/>
    <x v="19"/>
    <x v="15"/>
    <x v="210"/>
  </r>
  <r>
    <x v="11"/>
    <x v="1"/>
    <x v="1"/>
    <x v="33"/>
  </r>
  <r>
    <x v="11"/>
    <x v="16"/>
    <x v="12"/>
    <x v="29"/>
  </r>
  <r>
    <x v="10"/>
    <x v="13"/>
    <x v="10"/>
    <x v="91"/>
  </r>
  <r>
    <x v="10"/>
    <x v="10"/>
    <x v="7"/>
    <x v="28"/>
  </r>
  <r>
    <x v="14"/>
    <x v="19"/>
    <x v="15"/>
    <x v="210"/>
  </r>
  <r>
    <x v="14"/>
    <x v="19"/>
    <x v="15"/>
    <x v="210"/>
  </r>
  <r>
    <x v="10"/>
    <x v="8"/>
    <x v="5"/>
    <x v="141"/>
  </r>
  <r>
    <x v="11"/>
    <x v="4"/>
    <x v="3"/>
    <x v="6"/>
  </r>
  <r>
    <x v="11"/>
    <x v="8"/>
    <x v="5"/>
    <x v="16"/>
  </r>
  <r>
    <x v="11"/>
    <x v="2"/>
    <x v="2"/>
    <x v="56"/>
  </r>
  <r>
    <x v="14"/>
    <x v="19"/>
    <x v="15"/>
    <x v="210"/>
  </r>
  <r>
    <x v="11"/>
    <x v="13"/>
    <x v="10"/>
    <x v="101"/>
  </r>
  <r>
    <x v="11"/>
    <x v="13"/>
    <x v="10"/>
    <x v="102"/>
  </r>
  <r>
    <x v="11"/>
    <x v="2"/>
    <x v="2"/>
    <x v="87"/>
  </r>
  <r>
    <x v="14"/>
    <x v="19"/>
    <x v="15"/>
    <x v="210"/>
  </r>
  <r>
    <x v="14"/>
    <x v="19"/>
    <x v="15"/>
    <x v="210"/>
  </r>
  <r>
    <x v="14"/>
    <x v="19"/>
    <x v="15"/>
    <x v="210"/>
  </r>
  <r>
    <x v="11"/>
    <x v="14"/>
    <x v="11"/>
    <x v="98"/>
  </r>
  <r>
    <x v="14"/>
    <x v="19"/>
    <x v="15"/>
    <x v="210"/>
  </r>
  <r>
    <x v="11"/>
    <x v="1"/>
    <x v="1"/>
    <x v="95"/>
  </r>
  <r>
    <x v="11"/>
    <x v="13"/>
    <x v="10"/>
    <x v="170"/>
  </r>
  <r>
    <x v="11"/>
    <x v="8"/>
    <x v="5"/>
    <x v="170"/>
  </r>
  <r>
    <x v="11"/>
    <x v="13"/>
    <x v="10"/>
    <x v="110"/>
  </r>
  <r>
    <x v="14"/>
    <x v="19"/>
    <x v="15"/>
    <x v="210"/>
  </r>
  <r>
    <x v="14"/>
    <x v="19"/>
    <x v="15"/>
    <x v="210"/>
  </r>
  <r>
    <x v="14"/>
    <x v="19"/>
    <x v="15"/>
    <x v="210"/>
  </r>
  <r>
    <x v="14"/>
    <x v="19"/>
    <x v="15"/>
    <x v="210"/>
  </r>
  <r>
    <x v="11"/>
    <x v="4"/>
    <x v="3"/>
    <x v="204"/>
  </r>
  <r>
    <x v="11"/>
    <x v="4"/>
    <x v="3"/>
    <x v="160"/>
  </r>
  <r>
    <x v="11"/>
    <x v="12"/>
    <x v="9"/>
    <x v="104"/>
  </r>
  <r>
    <x v="11"/>
    <x v="4"/>
    <x v="3"/>
    <x v="160"/>
  </r>
  <r>
    <x v="11"/>
    <x v="2"/>
    <x v="2"/>
    <x v="9"/>
  </r>
  <r>
    <x v="14"/>
    <x v="19"/>
    <x v="15"/>
    <x v="210"/>
  </r>
  <r>
    <x v="11"/>
    <x v="12"/>
    <x v="9"/>
    <x v="145"/>
  </r>
  <r>
    <x v="11"/>
    <x v="13"/>
    <x v="10"/>
    <x v="102"/>
  </r>
  <r>
    <x v="11"/>
    <x v="17"/>
    <x v="13"/>
    <x v="18"/>
  </r>
  <r>
    <x v="11"/>
    <x v="2"/>
    <x v="2"/>
    <x v="144"/>
  </r>
  <r>
    <x v="11"/>
    <x v="1"/>
    <x v="1"/>
    <x v="7"/>
  </r>
  <r>
    <x v="11"/>
    <x v="14"/>
    <x v="11"/>
    <x v="5"/>
  </r>
  <r>
    <x v="11"/>
    <x v="16"/>
    <x v="12"/>
    <x v="4"/>
  </r>
  <r>
    <x v="11"/>
    <x v="4"/>
    <x v="3"/>
    <x v="2"/>
  </r>
  <r>
    <x v="11"/>
    <x v="9"/>
    <x v="6"/>
    <x v="36"/>
  </r>
  <r>
    <x v="11"/>
    <x v="4"/>
    <x v="3"/>
    <x v="158"/>
  </r>
  <r>
    <x v="11"/>
    <x v="12"/>
    <x v="9"/>
    <x v="122"/>
  </r>
  <r>
    <x v="11"/>
    <x v="4"/>
    <x v="3"/>
    <x v="207"/>
  </r>
  <r>
    <x v="11"/>
    <x v="10"/>
    <x v="7"/>
    <x v="138"/>
  </r>
  <r>
    <x v="11"/>
    <x v="4"/>
    <x v="3"/>
    <x v="193"/>
  </r>
  <r>
    <x v="11"/>
    <x v="17"/>
    <x v="13"/>
    <x v="186"/>
  </r>
  <r>
    <x v="11"/>
    <x v="17"/>
    <x v="13"/>
    <x v="191"/>
  </r>
  <r>
    <x v="12"/>
    <x v="13"/>
    <x v="10"/>
    <x v="140"/>
  </r>
  <r>
    <x v="12"/>
    <x v="12"/>
    <x v="9"/>
    <x v="139"/>
  </r>
  <r>
    <x v="12"/>
    <x v="1"/>
    <x v="1"/>
    <x v="175"/>
  </r>
  <r>
    <x v="12"/>
    <x v="2"/>
    <x v="2"/>
    <x v="136"/>
  </r>
  <r>
    <x v="12"/>
    <x v="9"/>
    <x v="6"/>
    <x v="3"/>
  </r>
  <r>
    <x v="12"/>
    <x v="4"/>
    <x v="3"/>
    <x v="127"/>
  </r>
  <r>
    <x v="12"/>
    <x v="12"/>
    <x v="9"/>
    <x v="99"/>
  </r>
  <r>
    <x v="12"/>
    <x v="2"/>
    <x v="2"/>
    <x v="167"/>
  </r>
  <r>
    <x v="12"/>
    <x v="17"/>
    <x v="13"/>
    <x v="177"/>
  </r>
  <r>
    <x v="12"/>
    <x v="12"/>
    <x v="9"/>
    <x v="144"/>
  </r>
  <r>
    <x v="12"/>
    <x v="16"/>
    <x v="12"/>
    <x v="10"/>
  </r>
  <r>
    <x v="12"/>
    <x v="12"/>
    <x v="9"/>
    <x v="136"/>
  </r>
  <r>
    <x v="12"/>
    <x v="13"/>
    <x v="10"/>
    <x v="143"/>
  </r>
  <r>
    <x v="12"/>
    <x v="17"/>
    <x v="13"/>
    <x v="185"/>
  </r>
  <r>
    <x v="12"/>
    <x v="13"/>
    <x v="10"/>
    <x v="39"/>
  </r>
  <r>
    <x v="12"/>
    <x v="1"/>
    <x v="1"/>
    <x v="46"/>
  </r>
  <r>
    <x v="12"/>
    <x v="4"/>
    <x v="3"/>
    <x v="45"/>
  </r>
  <r>
    <x v="12"/>
    <x v="4"/>
    <x v="3"/>
    <x v="45"/>
  </r>
  <r>
    <x v="12"/>
    <x v="17"/>
    <x v="13"/>
    <x v="35"/>
  </r>
  <r>
    <x v="12"/>
    <x v="13"/>
    <x v="10"/>
    <x v="39"/>
  </r>
  <r>
    <x v="12"/>
    <x v="16"/>
    <x v="12"/>
    <x v="17"/>
  </r>
  <r>
    <x v="12"/>
    <x v="17"/>
    <x v="13"/>
    <x v="178"/>
  </r>
  <r>
    <x v="12"/>
    <x v="2"/>
    <x v="2"/>
    <x v="134"/>
  </r>
  <r>
    <x v="12"/>
    <x v="15"/>
    <x v="11"/>
    <x v="0"/>
  </r>
  <r>
    <x v="12"/>
    <x v="12"/>
    <x v="9"/>
    <x v="152"/>
  </r>
  <r>
    <x v="13"/>
    <x v="18"/>
    <x v="14"/>
    <x v="0"/>
  </r>
  <r>
    <x v="13"/>
    <x v="18"/>
    <x v="14"/>
    <x v="0"/>
  </r>
  <r>
    <x v="13"/>
    <x v="18"/>
    <x v="14"/>
    <x v="0"/>
  </r>
  <r>
    <x v="13"/>
    <x v="18"/>
    <x v="14"/>
    <x v="0"/>
  </r>
  <r>
    <x v="13"/>
    <x v="18"/>
    <x v="14"/>
    <x v="0"/>
  </r>
  <r>
    <x v="13"/>
    <x v="18"/>
    <x v="14"/>
    <x v="0"/>
  </r>
  <r>
    <x v="13"/>
    <x v="18"/>
    <x v="14"/>
    <x v="0"/>
  </r>
  <r>
    <x v="13"/>
    <x v="18"/>
    <x v="14"/>
    <x v="0"/>
  </r>
  <r>
    <x v="13"/>
    <x v="18"/>
    <x v="14"/>
    <x v="0"/>
  </r>
  <r>
    <x v="13"/>
    <x v="18"/>
    <x v="14"/>
    <x v="0"/>
  </r>
  <r>
    <x v="13"/>
    <x v="18"/>
    <x v="14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  <r>
    <x v="0"/>
    <x v="0"/>
    <x v="0"/>
    <x v="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_rels/pivotTable3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3.xml"/>
</Relationships>
</file>

<file path=xl/pivotTables/_rels/pivotTable4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3.xml"/>
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0" dataCaption="Values" showDrill="1" useAutoFormatting="0" itemPrintTitles="1" indent="0" outline="1" outlineData="1" compact="1" compactData="1">
  <location ref="AW2:BB94" firstHeaderRow="1" firstDataRow="2" firstDataCol="1"/>
  <pivotFields count="8">
    <pivotField showAll="0"/>
    <pivotField axis="axisRow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h="1" x="23"/>
        <item t="default"/>
      </items>
    </pivotField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</pivotFields>
  <rowFields count="2">
    <field x="1"/>
    <field x="2"/>
  </rowFields>
  <colFields count="1">
    <field x="-2"/>
  </colFields>
  <dataFields count="5">
    <dataField name="Total MSI vendus" fld="3" subtotal="sum" numFmtId="164"/>
    <dataField name="Ventes Total CAD" fld="6" subtotal="sum" numFmtId="164"/>
    <dataField name="Coût MP total" fld="4" subtotal="sum" numFmtId="164"/>
    <dataField name="Total Ship" fld="5" subtotal="sum" numFmtId="164"/>
    <dataField name="Profit total  CAD" fld="7" subtotal="sum" numFmtId="16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0" dataCaption="Values" showDrill="1" useAutoFormatting="0" itemPrintTitles="1" indent="0" outline="1" outlineData="1" compact="1" compactData="1">
  <location ref="BM2:BO101" firstHeaderRow="1" firstDataRow="2" firstDataCol="1"/>
  <pivotFields count="5">
    <pivotField showAll="0"/>
    <pivotField axis="axisRow" showAll="0">
      <items count="32">
        <item x="0"/>
        <item h="1" x="1"/>
        <item x="2"/>
        <item x="3"/>
        <item x="4"/>
        <item x="5"/>
        <item x="6"/>
        <item x="7"/>
        <item h="1" x="8"/>
        <item x="9"/>
        <item x="10"/>
        <item x="11"/>
        <item x="12"/>
        <item h="1" x="13"/>
        <item h="1"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Row" showAll="0">
      <items count="19">
        <item x="1"/>
        <item x="3"/>
        <item x="7"/>
        <item x="10"/>
        <item x="2"/>
        <item x="11"/>
        <item x="13"/>
        <item x="12"/>
        <item x="14"/>
        <item x="5"/>
        <item h="1" x="0"/>
        <item x="6"/>
        <item x="15"/>
        <item h="1" x="4"/>
        <item h="1" x="9"/>
        <item h="1" x="17"/>
        <item h="1" x="8"/>
        <item x="16"/>
        <item t="default"/>
      </items>
    </pivotField>
    <pivotField dataField="1" showAll="0"/>
    <pivotField dataField="1" showAll="0"/>
  </pivotFields>
  <rowFields count="2">
    <field x="1"/>
    <field x="2"/>
  </rowFields>
  <colFields count="1">
    <field x="-2"/>
  </colFields>
  <dataFields count="2">
    <dataField name="Total msi livrés" fld="3" subtotal="sum" numFmtId="164"/>
    <dataField name="Coût total échantillons" fld="4" subtotal="sum" numFmtId="175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4" cacheId="3" applyNumberFormats="0" applyBorderFormats="0" applyFontFormats="0" applyPatternFormats="0" applyAlignmentFormats="0" applyWidthHeightFormats="0" dataCaption="Values" showDrill="1" useAutoFormatting="0" itemPrintTitles="1" indent="0" outline="1" outlineData="1" compact="1" compactData="1">
  <location ref="BV2:CN17" firstHeaderRow="1" firstDataRow="2" firstDataCol="1"/>
  <pivotFields count="4">
    <pivotField axis="axisRow" showAll="0">
      <items count="16">
        <item x="14"/>
        <item x="7"/>
        <item x="8"/>
        <item x="9"/>
        <item x="1"/>
        <item x="2"/>
        <item x="3"/>
        <item x="4"/>
        <item x="5"/>
        <item x="6"/>
        <item x="10"/>
        <item x="11"/>
        <item x="0"/>
        <item x="12"/>
        <item x="13"/>
        <item t="default"/>
      </items>
    </pivotField>
    <pivotField axis="axisCol" showAll="0">
      <items count="21">
        <item h="1" x="0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6"/>
        <item x="17"/>
        <item h="1" x="19"/>
        <item h="1" x="9"/>
        <item x="15"/>
        <item x="18"/>
        <item t="default"/>
      </items>
    </pivotField>
    <pivotField showAll="0"/>
    <pivotField dataField="1" showAll="0"/>
  </pivotFields>
  <rowFields count="1">
    <field x="0"/>
  </rowFields>
  <colFields count="1">
    <field x="1"/>
  </colFields>
  <dataFields count="1">
    <dataField name="Matière par mois (msi) (incluant échantillons)" fld="3" subtotal="sum" numFmtId="182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0" dataCaption="Values" showDrill="1" useAutoFormatting="0" itemPrintTitles="1" indent="0" outline="1" outlineData="1" compact="1" compactData="1">
  <location ref="CP2:DD17" firstHeaderRow="1" firstDataRow="2" firstDataCol="1"/>
  <pivotFields count="4">
    <pivotField axis="axisRow" showAll="0">
      <items count="16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axis="axisCol" showAll="0">
      <items count="17">
        <item h="1" x="0"/>
        <item x="1"/>
        <item x="2"/>
        <item x="3"/>
        <item x="4"/>
        <item x="5"/>
        <item x="7"/>
        <item x="8"/>
        <item x="9"/>
        <item x="10"/>
        <item x="11"/>
        <item x="12"/>
        <item x="13"/>
        <item h="1" x="15"/>
        <item h="1" x="6"/>
        <item x="14"/>
        <item t="default"/>
      </items>
    </pivotField>
    <pivotField dataField="1" showAll="0"/>
  </pivotFields>
  <rowFields count="1">
    <field x="0"/>
  </rowFields>
  <colFields count="1">
    <field x="2"/>
  </colFields>
  <dataFields count="1">
    <dataField name="Matière par mois (msi) (incluant échantillons)" fld="3" subtotal="sum" numFmtId="182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hyperlink" Target="mailto:order@labeledge.com" TargetMode="External"/><Relationship Id="rId2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vmlDrawing" Target="../drawings/vmlDrawing2.v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comments" Target="../comments6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3.vml"/><Relationship Id="rId4" Type="http://schemas.openxmlformats.org/officeDocument/2006/relationships/pivotTable" Target="../pivotTables/pivotTable1.xml"/><Relationship Id="rId5" Type="http://schemas.openxmlformats.org/officeDocument/2006/relationships/pivotTable" Target="../pivotTables/pivotTable2.xml"/><Relationship Id="rId6" Type="http://schemas.openxmlformats.org/officeDocument/2006/relationships/pivotTable" Target="../pivotTables/pivotTable3.xml"/><Relationship Id="rId7" Type="http://schemas.openxmlformats.org/officeDocument/2006/relationships/pivotTable" Target="../pivotTables/pivotTable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true">
    <pageSetUpPr fitToPage="false"/>
  </sheetPr>
  <dimension ref="A1:BE256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8" ySplit="1" topLeftCell="I2" activePane="bottomRight" state="frozen"/>
      <selection pane="topLeft" activeCell="A1" activeCellId="0" sqref="A1"/>
      <selection pane="topRight" activeCell="I1" activeCellId="0" sqref="I1"/>
      <selection pane="bottomLeft" activeCell="A2" activeCellId="0" sqref="A2"/>
      <selection pane="bottomRight" activeCell="O205" activeCellId="0" sqref="O205"/>
    </sheetView>
  </sheetViews>
  <sheetFormatPr defaultColWidth="9.2890625" defaultRowHeight="15" zeroHeight="false" outlineLevelRow="0" outlineLevelCol="0"/>
  <cols>
    <col collapsed="false" customWidth="true" hidden="false" outlineLevel="0" max="1" min="1" style="1" width="9"/>
    <col collapsed="false" customWidth="true" hidden="false" outlineLevel="0" max="2" min="2" style="2" width="19.72"/>
    <col collapsed="false" customWidth="true" hidden="false" outlineLevel="0" max="3" min="3" style="2" width="9.43"/>
    <col collapsed="false" customWidth="true" hidden="false" outlineLevel="0" max="4" min="4" style="2" width="34.57"/>
    <col collapsed="false" customWidth="true" hidden="false" outlineLevel="0" max="5" min="5" style="2" width="9.57"/>
    <col collapsed="false" customWidth="true" hidden="false" outlineLevel="0" max="6" min="6" style="2" width="12.57"/>
    <col collapsed="false" customWidth="true" hidden="false" outlineLevel="0" max="7" min="7" style="3" width="7.86"/>
    <col collapsed="false" customWidth="true" hidden="false" outlineLevel="0" max="8" min="8" style="2" width="16.57"/>
    <col collapsed="false" customWidth="true" hidden="false" outlineLevel="0" max="9" min="9" style="2" width="17.71"/>
    <col collapsed="false" customWidth="true" hidden="false" outlineLevel="0" max="10" min="10" style="4" width="12.14"/>
    <col collapsed="false" customWidth="true" hidden="false" outlineLevel="0" max="11" min="11" style="2" width="16.14"/>
    <col collapsed="false" customWidth="true" hidden="false" outlineLevel="0" max="12" min="12" style="2" width="16.86"/>
    <col collapsed="false" customWidth="true" hidden="false" outlineLevel="0" max="13" min="13" style="2" width="11.15"/>
    <col collapsed="false" customWidth="true" hidden="false" outlineLevel="0" max="14" min="14" style="2" width="15.72"/>
    <col collapsed="false" customWidth="true" hidden="false" outlineLevel="0" max="15" min="15" style="5" width="17"/>
    <col collapsed="false" customWidth="true" hidden="true" outlineLevel="0" max="16" min="16" style="3" width="8.57"/>
    <col collapsed="false" customWidth="true" hidden="true" outlineLevel="0" max="17" min="17" style="3" width="10.57"/>
    <col collapsed="false" customWidth="true" hidden="true" outlineLevel="0" max="18" min="18" style="3" width="9.71"/>
    <col collapsed="false" customWidth="true" hidden="true" outlineLevel="0" max="19" min="19" style="3" width="11.43"/>
    <col collapsed="false" customWidth="true" hidden="true" outlineLevel="0" max="20" min="20" style="3" width="9.71"/>
    <col collapsed="false" customWidth="true" hidden="true" outlineLevel="0" max="21" min="21" style="3" width="8.57"/>
    <col collapsed="false" customWidth="true" hidden="true" outlineLevel="0" max="22" min="22" style="3" width="9.71"/>
    <col collapsed="false" customWidth="true" hidden="true" outlineLevel="0" max="23" min="23" style="3" width="9.86"/>
    <col collapsed="false" customWidth="true" hidden="true" outlineLevel="0" max="24" min="24" style="3" width="9.71"/>
    <col collapsed="false" customWidth="true" hidden="true" outlineLevel="0" max="25" min="25" style="3" width="8.86"/>
    <col collapsed="false" customWidth="true" hidden="true" outlineLevel="0" max="26" min="26" style="3" width="9.71"/>
    <col collapsed="false" customWidth="true" hidden="true" outlineLevel="0" max="27" min="27" style="3" width="10.43"/>
    <col collapsed="false" customWidth="true" hidden="true" outlineLevel="0" max="28" min="28" style="3" width="9.71"/>
    <col collapsed="false" customWidth="true" hidden="true" outlineLevel="0" max="29" min="29" style="3" width="8.57"/>
    <col collapsed="false" customWidth="true" hidden="true" outlineLevel="0" max="30" min="30" style="3" width="9.71"/>
    <col collapsed="false" customWidth="true" hidden="true" outlineLevel="0" max="31" min="31" style="3" width="8.57"/>
    <col collapsed="false" customWidth="true" hidden="true" outlineLevel="0" max="32" min="32" style="3" width="9.71"/>
    <col collapsed="false" customWidth="true" hidden="true" outlineLevel="0" max="33" min="33" style="3" width="8.86"/>
    <col collapsed="false" customWidth="true" hidden="true" outlineLevel="0" max="34" min="34" style="3" width="9.71"/>
    <col collapsed="false" customWidth="true" hidden="true" outlineLevel="0" max="35" min="35" style="3" width="10.43"/>
    <col collapsed="false" customWidth="true" hidden="true" outlineLevel="0" max="36" min="36" style="3" width="9.71"/>
    <col collapsed="false" customWidth="true" hidden="true" outlineLevel="0" max="37" min="37" style="3" width="8.57"/>
    <col collapsed="false" customWidth="true" hidden="true" outlineLevel="0" max="38" min="38" style="3" width="9.71"/>
    <col collapsed="false" customWidth="true" hidden="true" outlineLevel="0" max="39" min="39" style="3" width="8.57"/>
    <col collapsed="false" customWidth="true" hidden="true" outlineLevel="0" max="40" min="40" style="3" width="9.71"/>
    <col collapsed="false" customWidth="true" hidden="true" outlineLevel="0" max="41" min="41" style="3" width="8.86"/>
    <col collapsed="false" customWidth="true" hidden="true" outlineLevel="0" max="42" min="42" style="3" width="9.71"/>
    <col collapsed="false" customWidth="true" hidden="true" outlineLevel="0" max="43" min="43" style="3" width="10.43"/>
    <col collapsed="false" customWidth="true" hidden="true" outlineLevel="0" max="44" min="44" style="3" width="9.71"/>
    <col collapsed="false" customWidth="true" hidden="true" outlineLevel="0" max="45" min="45" style="3" width="8.57"/>
    <col collapsed="false" customWidth="true" hidden="true" outlineLevel="0" max="46" min="46" style="3" width="9.71"/>
    <col collapsed="false" customWidth="true" hidden="true" outlineLevel="0" max="47" min="47" style="3" width="8.57"/>
    <col collapsed="false" customWidth="true" hidden="true" outlineLevel="0" max="48" min="48" style="3" width="9.71"/>
    <col collapsed="false" customWidth="true" hidden="true" outlineLevel="0" max="49" min="49" style="3" width="8.86"/>
    <col collapsed="false" customWidth="true" hidden="true" outlineLevel="0" max="50" min="50" style="3" width="9.71"/>
    <col collapsed="false" customWidth="true" hidden="true" outlineLevel="0" max="51" min="51" style="3" width="10.43"/>
    <col collapsed="false" customWidth="true" hidden="true" outlineLevel="0" max="52" min="52" style="3" width="9.71"/>
    <col collapsed="false" customWidth="true" hidden="true" outlineLevel="0" max="53" min="53" style="3" width="8.57"/>
    <col collapsed="false" customWidth="true" hidden="true" outlineLevel="0" max="54" min="54" style="3" width="9.71"/>
    <col collapsed="false" customWidth="true" hidden="true" outlineLevel="0" max="55" min="55" style="3" width="8.57"/>
    <col collapsed="false" customWidth="true" hidden="true" outlineLevel="0" max="56" min="56" style="3" width="9.71"/>
    <col collapsed="false" customWidth="true" hidden="true" outlineLevel="0" max="57" min="57" style="3" width="8.86"/>
    <col collapsed="false" customWidth="false" hidden="false" outlineLevel="0" max="16384" min="58" style="2" width="9.29"/>
  </cols>
  <sheetData>
    <row r="1" s="16" customFormat="true" ht="46.25" hidden="false" customHeight="false" outlineLevel="0" collapsed="false">
      <c r="A1" s="6" t="s">
        <v>0</v>
      </c>
      <c r="B1" s="7" t="s">
        <v>1</v>
      </c>
      <c r="C1" s="7" t="s">
        <v>2</v>
      </c>
      <c r="D1" s="7" t="s">
        <v>3</v>
      </c>
      <c r="E1" s="8" t="s">
        <v>4</v>
      </c>
      <c r="F1" s="7" t="s">
        <v>5</v>
      </c>
      <c r="G1" s="9" t="s">
        <v>6</v>
      </c>
      <c r="H1" s="7" t="s">
        <v>7</v>
      </c>
      <c r="I1" s="7" t="s">
        <v>8</v>
      </c>
      <c r="J1" s="10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11" t="s">
        <v>14</v>
      </c>
      <c r="P1" s="9" t="s">
        <v>15</v>
      </c>
      <c r="Q1" s="9" t="s">
        <v>16</v>
      </c>
      <c r="R1" s="12" t="s">
        <v>17</v>
      </c>
      <c r="S1" s="13" t="s">
        <v>18</v>
      </c>
      <c r="T1" s="13" t="s">
        <v>19</v>
      </c>
      <c r="U1" s="13" t="s">
        <v>20</v>
      </c>
      <c r="V1" s="14" t="s">
        <v>21</v>
      </c>
      <c r="W1" s="14" t="s">
        <v>22</v>
      </c>
      <c r="X1" s="14" t="s">
        <v>23</v>
      </c>
      <c r="Y1" s="14" t="s">
        <v>24</v>
      </c>
      <c r="Z1" s="13" t="s">
        <v>25</v>
      </c>
      <c r="AA1" s="13" t="s">
        <v>26</v>
      </c>
      <c r="AB1" s="13" t="s">
        <v>27</v>
      </c>
      <c r="AC1" s="13" t="s">
        <v>28</v>
      </c>
      <c r="AD1" s="14" t="s">
        <v>29</v>
      </c>
      <c r="AE1" s="14" t="s">
        <v>30</v>
      </c>
      <c r="AF1" s="14" t="s">
        <v>31</v>
      </c>
      <c r="AG1" s="14" t="s">
        <v>32</v>
      </c>
      <c r="AH1" s="13" t="s">
        <v>33</v>
      </c>
      <c r="AI1" s="13" t="s">
        <v>34</v>
      </c>
      <c r="AJ1" s="13" t="s">
        <v>35</v>
      </c>
      <c r="AK1" s="13" t="s">
        <v>36</v>
      </c>
      <c r="AL1" s="14" t="s">
        <v>37</v>
      </c>
      <c r="AM1" s="14" t="s">
        <v>38</v>
      </c>
      <c r="AN1" s="14" t="s">
        <v>39</v>
      </c>
      <c r="AO1" s="14" t="s">
        <v>40</v>
      </c>
      <c r="AP1" s="13" t="s">
        <v>41</v>
      </c>
      <c r="AQ1" s="13" t="s">
        <v>42</v>
      </c>
      <c r="AR1" s="13" t="s">
        <v>43</v>
      </c>
      <c r="AS1" s="13" t="s">
        <v>44</v>
      </c>
      <c r="AT1" s="14" t="s">
        <v>45</v>
      </c>
      <c r="AU1" s="14" t="s">
        <v>46</v>
      </c>
      <c r="AV1" s="14" t="s">
        <v>47</v>
      </c>
      <c r="AW1" s="14" t="s">
        <v>48</v>
      </c>
      <c r="AX1" s="13" t="s">
        <v>49</v>
      </c>
      <c r="AY1" s="13" t="s">
        <v>50</v>
      </c>
      <c r="AZ1" s="13" t="s">
        <v>51</v>
      </c>
      <c r="BA1" s="13" t="s">
        <v>52</v>
      </c>
      <c r="BB1" s="14" t="s">
        <v>53</v>
      </c>
      <c r="BC1" s="14" t="s">
        <v>54</v>
      </c>
      <c r="BD1" s="14" t="s">
        <v>55</v>
      </c>
      <c r="BE1" s="15" t="s">
        <v>56</v>
      </c>
    </row>
    <row r="2" customFormat="false" ht="15" hidden="false" customHeight="false" outlineLevel="0" collapsed="false">
      <c r="A2" s="17" t="n">
        <v>150</v>
      </c>
      <c r="B2" s="18" t="s">
        <v>57</v>
      </c>
      <c r="C2" s="19" t="str">
        <f aca="false">_xlfn.xlookup(B2,[1]Clients!B$1:B$1048576,[1]Clients!C$1:C$1048576)</f>
        <v>BLS</v>
      </c>
      <c r="D2" s="18" t="s">
        <v>57</v>
      </c>
      <c r="E2" s="19" t="str">
        <f aca="false">_xlfn.xlookup(D2,[1]Clients!B$1:B$1048576,[1]Clients!C$1:C$1048576)</f>
        <v>BLS</v>
      </c>
      <c r="F2" s="20" t="n">
        <v>45261</v>
      </c>
      <c r="G2" s="21" t="s">
        <v>58</v>
      </c>
      <c r="H2" s="19" t="s">
        <v>59</v>
      </c>
      <c r="I2" s="19" t="s">
        <v>60</v>
      </c>
      <c r="J2" s="21"/>
      <c r="K2" s="19"/>
      <c r="L2" s="19"/>
      <c r="M2" s="19" t="s">
        <v>61</v>
      </c>
      <c r="N2" s="19" t="s">
        <v>62</v>
      </c>
      <c r="O2" s="22" t="n">
        <v>0</v>
      </c>
      <c r="P2" s="23"/>
      <c r="Q2" s="23"/>
      <c r="R2" s="24" t="n">
        <v>40021</v>
      </c>
      <c r="S2" s="25"/>
      <c r="T2" s="25" t="n">
        <v>24</v>
      </c>
      <c r="U2" s="25"/>
      <c r="V2" s="26"/>
      <c r="W2" s="26"/>
      <c r="X2" s="26"/>
      <c r="Y2" s="26"/>
      <c r="Z2" s="25"/>
      <c r="AA2" s="25"/>
      <c r="AB2" s="25"/>
      <c r="AC2" s="25"/>
      <c r="AD2" s="1"/>
      <c r="AE2" s="1"/>
      <c r="AF2" s="1"/>
      <c r="AG2" s="26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8"/>
    </row>
    <row r="3" customFormat="false" ht="15" hidden="true" customHeight="false" outlineLevel="0" collapsed="false">
      <c r="A3" s="17" t="n">
        <v>151</v>
      </c>
      <c r="B3" s="18" t="s">
        <v>63</v>
      </c>
      <c r="C3" s="19" t="str">
        <f aca="false">_xlfn.xlookup(B3,[1]Clients!B$1:B$1048576,[1]Clients!C$1:C$1048576)</f>
        <v>Digi</v>
      </c>
      <c r="D3" s="18" t="s">
        <v>63</v>
      </c>
      <c r="E3" s="19" t="str">
        <f aca="false">_xlfn.xlookup(D3,[1]Clients!B$1:B$1048576,[1]Clients!C$1:C$1048576)</f>
        <v>Digi</v>
      </c>
      <c r="F3" s="20" t="n">
        <v>45288</v>
      </c>
      <c r="G3" s="21" t="s">
        <v>58</v>
      </c>
      <c r="H3" s="19" t="n">
        <v>50007541</v>
      </c>
      <c r="I3" s="19" t="s">
        <v>64</v>
      </c>
      <c r="J3" s="21"/>
      <c r="K3" s="19"/>
      <c r="L3" s="19"/>
      <c r="M3" s="19" t="s">
        <v>61</v>
      </c>
      <c r="N3" s="19" t="s">
        <v>65</v>
      </c>
      <c r="O3" s="22" t="n">
        <v>0</v>
      </c>
      <c r="P3" s="23"/>
      <c r="Q3" s="23"/>
      <c r="R3" s="24" t="n">
        <v>40020</v>
      </c>
      <c r="S3" s="25"/>
      <c r="T3" s="25" t="n">
        <v>12</v>
      </c>
      <c r="U3" s="25"/>
      <c r="V3" s="26"/>
      <c r="W3" s="26"/>
      <c r="X3" s="26"/>
      <c r="Y3" s="26"/>
      <c r="Z3" s="25"/>
      <c r="AA3" s="25"/>
      <c r="AB3" s="25"/>
      <c r="AC3" s="25"/>
      <c r="AD3" s="26"/>
      <c r="AE3" s="26"/>
      <c r="AF3" s="26"/>
      <c r="AG3" s="26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30"/>
    </row>
    <row r="4" customFormat="false" ht="15" hidden="true" customHeight="false" outlineLevel="0" collapsed="false">
      <c r="A4" s="17" t="n">
        <v>152</v>
      </c>
      <c r="B4" s="18" t="s">
        <v>63</v>
      </c>
      <c r="C4" s="19" t="str">
        <f aca="false">_xlfn.xlookup(B4,[1]Clients!B$1:B$1048576,[1]Clients!C$1:C$1048576)</f>
        <v>Digi</v>
      </c>
      <c r="D4" s="18" t="s">
        <v>63</v>
      </c>
      <c r="E4" s="19" t="str">
        <f aca="false">_xlfn.xlookup(D4,[1]Clients!B$1:B$1048576,[1]Clients!C$1:C$1048576)</f>
        <v>Digi</v>
      </c>
      <c r="F4" s="20" t="n">
        <v>45292</v>
      </c>
      <c r="G4" s="21" t="s">
        <v>58</v>
      </c>
      <c r="H4" s="19" t="s">
        <v>66</v>
      </c>
      <c r="I4" s="19"/>
      <c r="J4" s="21"/>
      <c r="K4" s="19"/>
      <c r="L4" s="26"/>
      <c r="M4" s="19"/>
      <c r="N4" s="19" t="s">
        <v>67</v>
      </c>
      <c r="O4" s="22" t="n">
        <v>0</v>
      </c>
      <c r="P4" s="23"/>
      <c r="Q4" s="23"/>
      <c r="R4" s="25" t="n">
        <v>40010</v>
      </c>
      <c r="S4" s="25"/>
      <c r="T4" s="25" t="n">
        <v>1</v>
      </c>
      <c r="U4" s="25"/>
      <c r="V4" s="26"/>
      <c r="W4" s="26"/>
      <c r="X4" s="26"/>
      <c r="Y4" s="26"/>
      <c r="Z4" s="25"/>
      <c r="AA4" s="25"/>
      <c r="AB4" s="25"/>
      <c r="AC4" s="25"/>
      <c r="AD4" s="26"/>
      <c r="AE4" s="26"/>
      <c r="AF4" s="26"/>
      <c r="AG4" s="26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30"/>
    </row>
    <row r="5" customFormat="false" ht="15" hidden="true" customHeight="false" outlineLevel="0" collapsed="false">
      <c r="A5" s="17" t="n">
        <v>153</v>
      </c>
      <c r="B5" s="18" t="s">
        <v>68</v>
      </c>
      <c r="C5" s="19" t="str">
        <f aca="false">_xlfn.xlookup(B5,[1]Clients!B$1:B$1048576,[1]Clients!C$1:C$1048576)</f>
        <v>Lelys</v>
      </c>
      <c r="D5" s="18" t="s">
        <v>68</v>
      </c>
      <c r="E5" s="19" t="str">
        <f aca="false">_xlfn.xlookup(D5,[1]Clients!B$1:B$1048576,[1]Clients!C$1:C$1048576)</f>
        <v>Lelys</v>
      </c>
      <c r="F5" s="20" t="n">
        <v>45292</v>
      </c>
      <c r="G5" s="21" t="s">
        <v>58</v>
      </c>
      <c r="H5" s="19" t="s">
        <v>69</v>
      </c>
      <c r="I5" s="19"/>
      <c r="J5" s="21"/>
      <c r="K5" s="19"/>
      <c r="L5" s="19"/>
      <c r="M5" s="19"/>
      <c r="N5" s="19" t="s">
        <v>70</v>
      </c>
      <c r="O5" s="22" t="n">
        <v>0</v>
      </c>
      <c r="P5" s="23"/>
      <c r="Q5" s="23"/>
      <c r="R5" s="25" t="n">
        <v>40011</v>
      </c>
      <c r="S5" s="25"/>
      <c r="T5" s="25" t="n">
        <v>1</v>
      </c>
      <c r="U5" s="25"/>
      <c r="V5" s="26"/>
      <c r="W5" s="26"/>
      <c r="X5" s="26"/>
      <c r="Y5" s="26"/>
      <c r="Z5" s="25"/>
      <c r="AA5" s="25"/>
      <c r="AB5" s="25"/>
      <c r="AC5" s="25"/>
      <c r="AD5" s="26"/>
      <c r="AE5" s="26"/>
      <c r="AF5" s="26"/>
      <c r="AG5" s="26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30"/>
    </row>
    <row r="6" customFormat="false" ht="15" hidden="true" customHeight="false" outlineLevel="0" collapsed="false">
      <c r="A6" s="17" t="n">
        <v>154</v>
      </c>
      <c r="B6" s="18" t="s">
        <v>57</v>
      </c>
      <c r="C6" s="19" t="str">
        <f aca="false">_xlfn.xlookup(B6,[1]Clients!B$1:B$1048576,[1]Clients!C$1:C$1048576)</f>
        <v>BLS</v>
      </c>
      <c r="D6" s="18" t="s">
        <v>57</v>
      </c>
      <c r="E6" s="19" t="str">
        <f aca="false">_xlfn.xlookup(D6,[1]Clients!B$1:B$1048576,[1]Clients!C$1:C$1048576)</f>
        <v>BLS</v>
      </c>
      <c r="F6" s="20" t="n">
        <v>45275</v>
      </c>
      <c r="G6" s="21" t="s">
        <v>58</v>
      </c>
      <c r="H6" s="19" t="n">
        <v>113350</v>
      </c>
      <c r="I6" s="19" t="s">
        <v>60</v>
      </c>
      <c r="J6" s="21"/>
      <c r="K6" s="19"/>
      <c r="L6" s="19"/>
      <c r="M6" s="19" t="s">
        <v>61</v>
      </c>
      <c r="N6" s="19" t="s">
        <v>62</v>
      </c>
      <c r="O6" s="22" t="n">
        <v>0</v>
      </c>
      <c r="P6" s="23"/>
      <c r="Q6" s="23"/>
      <c r="R6" s="25" t="n">
        <v>40022</v>
      </c>
      <c r="S6" s="25"/>
      <c r="T6" s="25" t="n">
        <v>105</v>
      </c>
      <c r="U6" s="25"/>
      <c r="V6" s="26" t="n">
        <v>40023</v>
      </c>
      <c r="W6" s="26"/>
      <c r="X6" s="26" t="n">
        <v>35</v>
      </c>
      <c r="Y6" s="26"/>
      <c r="Z6" s="25"/>
      <c r="AA6" s="25"/>
      <c r="AB6" s="25"/>
      <c r="AC6" s="25"/>
      <c r="AD6" s="26"/>
      <c r="AE6" s="26"/>
      <c r="AF6" s="26"/>
      <c r="AG6" s="26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30"/>
    </row>
    <row r="7" customFormat="false" ht="15" hidden="true" customHeight="false" outlineLevel="0" collapsed="false">
      <c r="A7" s="17" t="n">
        <v>155</v>
      </c>
      <c r="B7" s="18" t="s">
        <v>57</v>
      </c>
      <c r="C7" s="19" t="str">
        <f aca="false">_xlfn.xlookup(B7,[1]Clients!B$1:B$1048576,[1]Clients!C$1:C$1048576)</f>
        <v>BLS</v>
      </c>
      <c r="D7" s="18" t="s">
        <v>57</v>
      </c>
      <c r="E7" s="19" t="str">
        <f aca="false">_xlfn.xlookup(D7,[1]Clients!B$1:B$1048576,[1]Clients!C$1:C$1048576)</f>
        <v>BLS</v>
      </c>
      <c r="F7" s="20" t="n">
        <v>45295</v>
      </c>
      <c r="G7" s="21" t="s">
        <v>58</v>
      </c>
      <c r="H7" s="19" t="n">
        <v>113350</v>
      </c>
      <c r="I7" s="19" t="s">
        <v>60</v>
      </c>
      <c r="J7" s="21" t="n">
        <v>45380</v>
      </c>
      <c r="K7" s="19"/>
      <c r="L7" s="19"/>
      <c r="M7" s="19" t="s">
        <v>61</v>
      </c>
      <c r="N7" s="19" t="s">
        <v>62</v>
      </c>
      <c r="O7" s="22" t="n">
        <v>0</v>
      </c>
      <c r="P7" s="23"/>
      <c r="Q7" s="23"/>
      <c r="R7" s="25" t="n">
        <v>40024</v>
      </c>
      <c r="S7" s="25"/>
      <c r="T7" s="25" t="n">
        <v>105</v>
      </c>
      <c r="U7" s="25"/>
      <c r="V7" s="26" t="n">
        <v>40025</v>
      </c>
      <c r="W7" s="26"/>
      <c r="X7" s="26" t="n">
        <v>35</v>
      </c>
      <c r="Y7" s="26"/>
      <c r="Z7" s="25"/>
      <c r="AA7" s="25"/>
      <c r="AB7" s="25"/>
      <c r="AC7" s="25"/>
      <c r="AD7" s="26"/>
      <c r="AE7" s="26"/>
      <c r="AF7" s="26"/>
      <c r="AG7" s="26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30"/>
    </row>
    <row r="8" customFormat="false" ht="15" hidden="true" customHeight="false" outlineLevel="0" collapsed="false">
      <c r="A8" s="17" t="n">
        <v>156</v>
      </c>
      <c r="B8" s="18" t="s">
        <v>71</v>
      </c>
      <c r="C8" s="19" t="str">
        <f aca="false">_xlfn.xlookup(B8,[1]Clients!B$1:B$1048576,[1]Clients!C$1:C$1048576)</f>
        <v>ALMEDIF</v>
      </c>
      <c r="D8" s="18" t="s">
        <v>71</v>
      </c>
      <c r="E8" s="19" t="str">
        <f aca="false">_xlfn.xlookup(D8,[1]Clients!B$1:B$1048576,[1]Clients!C$1:C$1048576)</f>
        <v>ALMEDIF</v>
      </c>
      <c r="F8" s="20" t="n">
        <v>45405</v>
      </c>
      <c r="G8" s="21" t="s">
        <v>58</v>
      </c>
      <c r="H8" s="31" t="s">
        <v>72</v>
      </c>
      <c r="I8" s="19" t="s">
        <v>73</v>
      </c>
      <c r="J8" s="21"/>
      <c r="K8" s="19"/>
      <c r="L8" s="19"/>
      <c r="M8" s="19" t="s">
        <v>74</v>
      </c>
      <c r="N8" s="19" t="s">
        <v>75</v>
      </c>
      <c r="O8" s="22" t="n">
        <v>0</v>
      </c>
      <c r="P8" s="23"/>
      <c r="Q8" s="23"/>
      <c r="R8" s="25" t="n">
        <v>40029</v>
      </c>
      <c r="S8" s="25"/>
      <c r="T8" s="25" t="n">
        <v>1</v>
      </c>
      <c r="U8" s="25"/>
      <c r="V8" s="26" t="n">
        <v>40030</v>
      </c>
      <c r="W8" s="26"/>
      <c r="X8" s="26" t="n">
        <v>1</v>
      </c>
      <c r="Y8" s="26"/>
      <c r="Z8" s="25"/>
      <c r="AA8" s="25"/>
      <c r="AB8" s="25"/>
      <c r="AC8" s="25"/>
      <c r="AD8" s="26"/>
      <c r="AE8" s="26"/>
      <c r="AF8" s="26"/>
      <c r="AG8" s="26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30"/>
    </row>
    <row r="9" customFormat="false" ht="15" hidden="true" customHeight="false" outlineLevel="0" collapsed="false">
      <c r="A9" s="17" t="n">
        <v>157</v>
      </c>
      <c r="B9" s="18" t="s">
        <v>63</v>
      </c>
      <c r="C9" s="19" t="str">
        <f aca="false">_xlfn.xlookup(B9,[1]Clients!B$1:B$1048576,[1]Clients!C$1:C$1048576)</f>
        <v>Digi</v>
      </c>
      <c r="D9" s="18" t="s">
        <v>63</v>
      </c>
      <c r="E9" s="19" t="str">
        <f aca="false">_xlfn.xlookup(D9,[1]Clients!B$1:B$1048576,[1]Clients!C$1:C$1048576)</f>
        <v>Digi</v>
      </c>
      <c r="F9" s="20" t="n">
        <v>45405</v>
      </c>
      <c r="G9" s="21" t="s">
        <v>58</v>
      </c>
      <c r="H9" s="19" t="n">
        <v>50007975</v>
      </c>
      <c r="I9" s="19" t="s">
        <v>76</v>
      </c>
      <c r="J9" s="21" t="n">
        <v>45412</v>
      </c>
      <c r="K9" s="19"/>
      <c r="L9" s="19"/>
      <c r="M9" s="19" t="s">
        <v>61</v>
      </c>
      <c r="N9" s="19" t="s">
        <v>65</v>
      </c>
      <c r="O9" s="22" t="n">
        <v>0</v>
      </c>
      <c r="P9" s="23" t="s">
        <v>77</v>
      </c>
      <c r="Q9" s="23" t="s">
        <v>77</v>
      </c>
      <c r="R9" s="25" t="n">
        <v>40032</v>
      </c>
      <c r="S9" s="25"/>
      <c r="T9" s="25" t="n">
        <v>72</v>
      </c>
      <c r="U9" s="25"/>
      <c r="V9" s="26"/>
      <c r="W9" s="26"/>
      <c r="X9" s="26"/>
      <c r="Y9" s="26"/>
      <c r="Z9" s="25"/>
      <c r="AA9" s="25"/>
      <c r="AB9" s="25"/>
      <c r="AC9" s="25"/>
      <c r="AD9" s="26"/>
      <c r="AE9" s="26"/>
      <c r="AF9" s="26"/>
      <c r="AG9" s="26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30"/>
    </row>
    <row r="10" customFormat="false" ht="15" hidden="true" customHeight="false" outlineLevel="0" collapsed="false">
      <c r="A10" s="17" t="n">
        <v>158</v>
      </c>
      <c r="B10" s="18" t="s">
        <v>78</v>
      </c>
      <c r="C10" s="19" t="str">
        <f aca="false">_xlfn.xlookup(B10,[1]Clients!B$1:B$1048576,[1]Clients!C$1:C$1048576)</f>
        <v>Labelink</v>
      </c>
      <c r="D10" s="18" t="s">
        <v>78</v>
      </c>
      <c r="E10" s="19" t="str">
        <f aca="false">_xlfn.xlookup(D10,[1]Clients!B$1:B$1048576,[1]Clients!C$1:C$1048576)</f>
        <v>Labelink</v>
      </c>
      <c r="F10" s="20" t="n">
        <v>45406</v>
      </c>
      <c r="G10" s="21" t="s">
        <v>58</v>
      </c>
      <c r="H10" s="19" t="s">
        <v>79</v>
      </c>
      <c r="I10" s="19" t="s">
        <v>80</v>
      </c>
      <c r="J10" s="21"/>
      <c r="K10" s="19"/>
      <c r="L10" s="19"/>
      <c r="M10" s="19"/>
      <c r="N10" s="19" t="s">
        <v>70</v>
      </c>
      <c r="O10" s="22" t="n">
        <v>0</v>
      </c>
      <c r="P10" s="23"/>
      <c r="Q10" s="23"/>
      <c r="R10" s="25" t="n">
        <v>40031</v>
      </c>
      <c r="S10" s="25"/>
      <c r="T10" s="25" t="n">
        <v>1</v>
      </c>
      <c r="U10" s="25"/>
      <c r="V10" s="26"/>
      <c r="W10" s="26"/>
      <c r="X10" s="26"/>
      <c r="Y10" s="26"/>
      <c r="Z10" s="25"/>
      <c r="AA10" s="25"/>
      <c r="AB10" s="25"/>
      <c r="AC10" s="25"/>
      <c r="AD10" s="26"/>
      <c r="AE10" s="26"/>
      <c r="AF10" s="26"/>
      <c r="AG10" s="26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30"/>
    </row>
    <row r="11" customFormat="false" ht="15" hidden="true" customHeight="false" outlineLevel="0" collapsed="false">
      <c r="A11" s="17" t="n">
        <v>159</v>
      </c>
      <c r="B11" s="18" t="s">
        <v>81</v>
      </c>
      <c r="C11" s="19" t="str">
        <f aca="false">_xlfn.xlookup(B11,[1]Clients!B$1:B$1048576,[1]Clients!C$1:C$1048576)</f>
        <v>AKO</v>
      </c>
      <c r="D11" s="18" t="s">
        <v>81</v>
      </c>
      <c r="E11" s="19" t="str">
        <f aca="false">_xlfn.xlookup(D11,[1]Clients!B$1:B$1048576,[1]Clients!C$1:C$1048576)</f>
        <v>AKO</v>
      </c>
      <c r="F11" s="20" t="n">
        <v>45406</v>
      </c>
      <c r="G11" s="21" t="s">
        <v>58</v>
      </c>
      <c r="H11" s="19" t="s">
        <v>82</v>
      </c>
      <c r="I11" s="19"/>
      <c r="J11" s="21"/>
      <c r="K11" s="19"/>
      <c r="L11" s="19"/>
      <c r="M11" s="19"/>
      <c r="N11" s="19"/>
      <c r="O11" s="22" t="n">
        <v>0</v>
      </c>
      <c r="P11" s="23"/>
      <c r="Q11" s="23"/>
      <c r="R11" s="25" t="n">
        <v>40034</v>
      </c>
      <c r="S11" s="25"/>
      <c r="T11" s="25" t="n">
        <v>40</v>
      </c>
      <c r="U11" s="25"/>
      <c r="V11" s="26" t="n">
        <v>40035</v>
      </c>
      <c r="W11" s="26"/>
      <c r="X11" s="26" t="n">
        <v>1</v>
      </c>
      <c r="Y11" s="26"/>
      <c r="Z11" s="25"/>
      <c r="AA11" s="25"/>
      <c r="AB11" s="25"/>
      <c r="AC11" s="25"/>
      <c r="AD11" s="26"/>
      <c r="AE11" s="26"/>
      <c r="AF11" s="26"/>
      <c r="AG11" s="26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30"/>
    </row>
    <row r="12" customFormat="false" ht="15" hidden="true" customHeight="false" outlineLevel="0" collapsed="false">
      <c r="A12" s="17" t="n">
        <v>160</v>
      </c>
      <c r="B12" s="18" t="s">
        <v>57</v>
      </c>
      <c r="C12" s="19" t="str">
        <f aca="false">_xlfn.xlookup(B12,[1]Clients!B$1:B$1048576,[1]Clients!C$1:C$1048576)</f>
        <v>BLS</v>
      </c>
      <c r="D12" s="18" t="s">
        <v>57</v>
      </c>
      <c r="E12" s="19" t="str">
        <f aca="false">_xlfn.xlookup(D12,[1]Clients!B$1:B$1048576,[1]Clients!C$1:C$1048576)</f>
        <v>BLS</v>
      </c>
      <c r="F12" s="20" t="n">
        <v>45425</v>
      </c>
      <c r="G12" s="21" t="s">
        <v>58</v>
      </c>
      <c r="H12" s="19" t="s">
        <v>83</v>
      </c>
      <c r="I12" s="19" t="s">
        <v>60</v>
      </c>
      <c r="J12" s="21"/>
      <c r="K12" s="19"/>
      <c r="L12" s="19"/>
      <c r="M12" s="19" t="s">
        <v>61</v>
      </c>
      <c r="N12" s="19" t="s">
        <v>62</v>
      </c>
      <c r="O12" s="22" t="n">
        <v>0</v>
      </c>
      <c r="P12" s="23"/>
      <c r="Q12" s="23"/>
      <c r="R12" s="25" t="n">
        <v>40036</v>
      </c>
      <c r="S12" s="25"/>
      <c r="T12" s="25" t="n">
        <v>2</v>
      </c>
      <c r="U12" s="25"/>
      <c r="V12" s="26" t="n">
        <v>40037</v>
      </c>
      <c r="W12" s="26"/>
      <c r="X12" s="26" t="n">
        <v>2</v>
      </c>
      <c r="Y12" s="26"/>
      <c r="Z12" s="25"/>
      <c r="AA12" s="25"/>
      <c r="AB12" s="25"/>
      <c r="AC12" s="25"/>
      <c r="AD12" s="26"/>
      <c r="AE12" s="26"/>
      <c r="AF12" s="26"/>
      <c r="AG12" s="26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30"/>
    </row>
    <row r="13" customFormat="false" ht="15" hidden="true" customHeight="false" outlineLevel="0" collapsed="false">
      <c r="A13" s="17" t="n">
        <v>161</v>
      </c>
      <c r="B13" s="18" t="s">
        <v>78</v>
      </c>
      <c r="C13" s="19" t="str">
        <f aca="false">_xlfn.xlookup(B13,[1]Clients!B$1:B$1048576,[1]Clients!C$1:C$1048576)</f>
        <v>Labelink</v>
      </c>
      <c r="D13" s="18" t="s">
        <v>78</v>
      </c>
      <c r="E13" s="19" t="str">
        <f aca="false">_xlfn.xlookup(D13,[1]Clients!B$1:B$1048576,[1]Clients!C$1:C$1048576)</f>
        <v>Labelink</v>
      </c>
      <c r="F13" s="20" t="n">
        <v>45428</v>
      </c>
      <c r="G13" s="21" t="s">
        <v>58</v>
      </c>
      <c r="H13" s="19" t="s">
        <v>84</v>
      </c>
      <c r="I13" s="19" t="s">
        <v>80</v>
      </c>
      <c r="J13" s="21"/>
      <c r="K13" s="19"/>
      <c r="L13" s="19"/>
      <c r="M13" s="19"/>
      <c r="N13" s="19" t="s">
        <v>70</v>
      </c>
      <c r="O13" s="22" t="n">
        <v>0</v>
      </c>
      <c r="P13" s="23"/>
      <c r="Q13" s="23"/>
      <c r="R13" s="25" t="n">
        <v>40038</v>
      </c>
      <c r="S13" s="25"/>
      <c r="T13" s="25" t="n">
        <v>1</v>
      </c>
      <c r="U13" s="25"/>
      <c r="V13" s="26"/>
      <c r="W13" s="26"/>
      <c r="X13" s="26"/>
      <c r="Y13" s="26"/>
      <c r="Z13" s="25"/>
      <c r="AA13" s="25"/>
      <c r="AB13" s="25"/>
      <c r="AC13" s="25"/>
      <c r="AD13" s="26"/>
      <c r="AE13" s="26"/>
      <c r="AF13" s="26"/>
      <c r="AG13" s="26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30"/>
    </row>
    <row r="14" customFormat="false" ht="15" hidden="true" customHeight="false" outlineLevel="0" collapsed="false">
      <c r="A14" s="17" t="n">
        <v>162</v>
      </c>
      <c r="B14" s="18" t="s">
        <v>85</v>
      </c>
      <c r="C14" s="19" t="str">
        <f aca="false">_xlfn.xlookup(B14,[1]Clients!B$1:B$1048576,[1]Clients!C$1:C$1048576)</f>
        <v>Étiquettes Rive-Sud</v>
      </c>
      <c r="D14" s="18" t="s">
        <v>85</v>
      </c>
      <c r="E14" s="19" t="str">
        <f aca="false">_xlfn.xlookup(D14,[1]Clients!B$1:B$1048576,[1]Clients!C$1:C$1048576)</f>
        <v>Étiquettes Rive-Sud</v>
      </c>
      <c r="F14" s="20" t="n">
        <v>45436</v>
      </c>
      <c r="G14" s="21" t="s">
        <v>58</v>
      </c>
      <c r="H14" s="19" t="n">
        <v>240524</v>
      </c>
      <c r="I14" s="19" t="s">
        <v>86</v>
      </c>
      <c r="J14" s="21" t="n">
        <v>45440</v>
      </c>
      <c r="K14" s="19" t="s">
        <v>87</v>
      </c>
      <c r="L14" s="19"/>
      <c r="M14" s="19" t="s">
        <v>74</v>
      </c>
      <c r="N14" s="19" t="s">
        <v>65</v>
      </c>
      <c r="O14" s="22" t="n">
        <v>0</v>
      </c>
      <c r="P14" s="23" t="s">
        <v>77</v>
      </c>
      <c r="Q14" s="23" t="s">
        <v>88</v>
      </c>
      <c r="R14" s="25" t="n">
        <v>40039</v>
      </c>
      <c r="S14" s="25"/>
      <c r="T14" s="25" t="n">
        <v>7</v>
      </c>
      <c r="U14" s="25"/>
      <c r="V14" s="26"/>
      <c r="W14" s="26"/>
      <c r="X14" s="26"/>
      <c r="Y14" s="26"/>
      <c r="Z14" s="25"/>
      <c r="AA14" s="25"/>
      <c r="AB14" s="25"/>
      <c r="AC14" s="25"/>
      <c r="AD14" s="26"/>
      <c r="AE14" s="26"/>
      <c r="AF14" s="26"/>
      <c r="AG14" s="26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30"/>
    </row>
    <row r="15" customFormat="false" ht="15" hidden="true" customHeight="false" outlineLevel="0" collapsed="false">
      <c r="A15" s="17" t="n">
        <v>163</v>
      </c>
      <c r="B15" s="18" t="s">
        <v>85</v>
      </c>
      <c r="C15" s="19" t="str">
        <f aca="false">_xlfn.xlookup(B15,[1]Clients!B$1:B$1048576,[1]Clients!C$1:C$1048576)</f>
        <v>Étiquettes Rive-Sud</v>
      </c>
      <c r="D15" s="18" t="s">
        <v>85</v>
      </c>
      <c r="E15" s="19" t="str">
        <f aca="false">_xlfn.xlookup(D15,[1]Clients!B$1:B$1048576,[1]Clients!C$1:C$1048576)</f>
        <v>Étiquettes Rive-Sud</v>
      </c>
      <c r="F15" s="20" t="n">
        <v>45440</v>
      </c>
      <c r="G15" s="21" t="s">
        <v>58</v>
      </c>
      <c r="H15" s="19" t="n">
        <v>270524</v>
      </c>
      <c r="I15" s="19" t="s">
        <v>86</v>
      </c>
      <c r="J15" s="21" t="n">
        <v>45443</v>
      </c>
      <c r="K15" s="19" t="s">
        <v>87</v>
      </c>
      <c r="L15" s="19"/>
      <c r="M15" s="19" t="s">
        <v>74</v>
      </c>
      <c r="N15" s="19" t="s">
        <v>65</v>
      </c>
      <c r="O15" s="22" t="n">
        <v>0</v>
      </c>
      <c r="P15" s="23" t="s">
        <v>77</v>
      </c>
      <c r="Q15" s="23" t="s">
        <v>88</v>
      </c>
      <c r="R15" s="25" t="n">
        <v>40044</v>
      </c>
      <c r="S15" s="25"/>
      <c r="T15" s="25" t="n">
        <v>7</v>
      </c>
      <c r="U15" s="25"/>
      <c r="V15" s="26"/>
      <c r="W15" s="26"/>
      <c r="X15" s="26"/>
      <c r="Y15" s="26"/>
      <c r="Z15" s="25"/>
      <c r="AA15" s="25"/>
      <c r="AB15" s="25"/>
      <c r="AC15" s="25"/>
      <c r="AD15" s="26"/>
      <c r="AE15" s="26"/>
      <c r="AF15" s="26"/>
      <c r="AG15" s="26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30"/>
    </row>
    <row r="16" customFormat="false" ht="15" hidden="true" customHeight="false" outlineLevel="0" collapsed="false">
      <c r="A16" s="17" t="n">
        <v>164</v>
      </c>
      <c r="B16" s="18" t="s">
        <v>89</v>
      </c>
      <c r="C16" s="19" t="str">
        <f aca="false">_xlfn.xlookup(B16,[1]Clients!B$1:B$1048576,[1]Clients!C$1:C$1048576)</f>
        <v>Produlith</v>
      </c>
      <c r="D16" s="18" t="s">
        <v>89</v>
      </c>
      <c r="E16" s="19" t="str">
        <f aca="false">_xlfn.xlookup(D16,[1]Clients!B$1:B$1048576,[1]Clients!C$1:C$1048576)</f>
        <v>Produlith</v>
      </c>
      <c r="F16" s="20" t="n">
        <v>45440</v>
      </c>
      <c r="G16" s="21" t="s">
        <v>58</v>
      </c>
      <c r="H16" s="19" t="n">
        <v>30552</v>
      </c>
      <c r="I16" s="19" t="s">
        <v>90</v>
      </c>
      <c r="J16" s="21" t="n">
        <v>45442</v>
      </c>
      <c r="K16" s="19"/>
      <c r="L16" s="19"/>
      <c r="M16" s="19" t="s">
        <v>74</v>
      </c>
      <c r="N16" s="19" t="s">
        <v>65</v>
      </c>
      <c r="O16" s="22" t="n">
        <v>0</v>
      </c>
      <c r="P16" s="23" t="s">
        <v>77</v>
      </c>
      <c r="Q16" s="23" t="s">
        <v>77</v>
      </c>
      <c r="R16" s="25" t="n">
        <v>40045</v>
      </c>
      <c r="S16" s="25"/>
      <c r="T16" s="25" t="n">
        <v>4</v>
      </c>
      <c r="U16" s="25"/>
      <c r="V16" s="26" t="n">
        <v>40046</v>
      </c>
      <c r="W16" s="26"/>
      <c r="X16" s="26" t="n">
        <v>-2</v>
      </c>
      <c r="Y16" s="26"/>
      <c r="Z16" s="25"/>
      <c r="AA16" s="25"/>
      <c r="AB16" s="25"/>
      <c r="AC16" s="25"/>
      <c r="AD16" s="26"/>
      <c r="AE16" s="26"/>
      <c r="AF16" s="26"/>
      <c r="AG16" s="26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30"/>
    </row>
    <row r="17" customFormat="false" ht="15" hidden="true" customHeight="false" outlineLevel="0" collapsed="false">
      <c r="A17" s="17" t="n">
        <v>165</v>
      </c>
      <c r="B17" s="18" t="s">
        <v>63</v>
      </c>
      <c r="C17" s="19" t="str">
        <f aca="false">_xlfn.xlookup(B17,[1]Clients!B$1:B$1048576,[1]Clients!C$1:C$1048576)</f>
        <v>Digi</v>
      </c>
      <c r="D17" s="18" t="s">
        <v>63</v>
      </c>
      <c r="E17" s="19" t="str">
        <f aca="false">_xlfn.xlookup(D17,[1]Clients!B$1:B$1048576,[1]Clients!C$1:C$1048576)</f>
        <v>Digi</v>
      </c>
      <c r="F17" s="20" t="n">
        <v>45443</v>
      </c>
      <c r="G17" s="21" t="s">
        <v>58</v>
      </c>
      <c r="H17" s="19" t="n">
        <v>50008126</v>
      </c>
      <c r="I17" s="19" t="s">
        <v>76</v>
      </c>
      <c r="J17" s="21" t="n">
        <v>45449</v>
      </c>
      <c r="K17" s="19"/>
      <c r="L17" s="19"/>
      <c r="M17" s="19" t="s">
        <v>61</v>
      </c>
      <c r="N17" s="19" t="s">
        <v>65</v>
      </c>
      <c r="O17" s="22" t="n">
        <v>0</v>
      </c>
      <c r="P17" s="23" t="s">
        <v>77</v>
      </c>
      <c r="Q17" s="23" t="s">
        <v>77</v>
      </c>
      <c r="R17" s="25" t="n">
        <v>40032</v>
      </c>
      <c r="S17" s="25"/>
      <c r="T17" s="25" t="n">
        <v>72</v>
      </c>
      <c r="U17" s="25"/>
      <c r="V17" s="26"/>
      <c r="W17" s="26"/>
      <c r="X17" s="26"/>
      <c r="Y17" s="26"/>
      <c r="Z17" s="25"/>
      <c r="AA17" s="25"/>
      <c r="AB17" s="25"/>
      <c r="AC17" s="25"/>
      <c r="AD17" s="26"/>
      <c r="AE17" s="26"/>
      <c r="AF17" s="26"/>
      <c r="AG17" s="26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30"/>
    </row>
    <row r="18" customFormat="false" ht="15" hidden="true" customHeight="false" outlineLevel="0" collapsed="false">
      <c r="A18" s="17" t="n">
        <v>166</v>
      </c>
      <c r="B18" s="18" t="s">
        <v>85</v>
      </c>
      <c r="C18" s="19" t="str">
        <f aca="false">_xlfn.xlookup(B18,[1]Clients!B$1:B$1048576,[1]Clients!C$1:C$1048576)</f>
        <v>Étiquettes Rive-Sud</v>
      </c>
      <c r="D18" s="18" t="s">
        <v>85</v>
      </c>
      <c r="E18" s="19" t="str">
        <f aca="false">_xlfn.xlookup(D18,[1]Clients!B$1:B$1048576,[1]Clients!C$1:C$1048576)</f>
        <v>Étiquettes Rive-Sud</v>
      </c>
      <c r="F18" s="20" t="n">
        <v>45443</v>
      </c>
      <c r="G18" s="21" t="s">
        <v>58</v>
      </c>
      <c r="H18" s="19" t="n">
        <v>310524</v>
      </c>
      <c r="I18" s="19" t="s">
        <v>86</v>
      </c>
      <c r="J18" s="21" t="n">
        <v>45448</v>
      </c>
      <c r="K18" s="19" t="s">
        <v>87</v>
      </c>
      <c r="L18" s="19"/>
      <c r="M18" s="19" t="s">
        <v>74</v>
      </c>
      <c r="N18" s="19" t="s">
        <v>65</v>
      </c>
      <c r="O18" s="22" t="n">
        <v>0</v>
      </c>
      <c r="P18" s="23" t="s">
        <v>88</v>
      </c>
      <c r="Q18" s="23" t="s">
        <v>88</v>
      </c>
      <c r="R18" s="25" t="n">
        <v>40039</v>
      </c>
      <c r="S18" s="25"/>
      <c r="T18" s="25" t="n">
        <v>14</v>
      </c>
      <c r="U18" s="25"/>
      <c r="V18" s="26"/>
      <c r="W18" s="26"/>
      <c r="X18" s="26"/>
      <c r="Y18" s="26"/>
      <c r="Z18" s="25"/>
      <c r="AA18" s="25"/>
      <c r="AB18" s="25"/>
      <c r="AC18" s="25"/>
      <c r="AD18" s="26"/>
      <c r="AE18" s="26"/>
      <c r="AF18" s="26"/>
      <c r="AG18" s="26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30"/>
    </row>
    <row r="19" customFormat="false" ht="15" hidden="true" customHeight="false" outlineLevel="0" collapsed="false">
      <c r="A19" s="17" t="n">
        <v>167</v>
      </c>
      <c r="B19" s="18" t="s">
        <v>91</v>
      </c>
      <c r="C19" s="19" t="str">
        <f aca="false">_xlfn.xlookup(B19,[1]Clients!B$1:B$1048576,[1]Clients!C$1:C$1048576)</f>
        <v>Profecta</v>
      </c>
      <c r="D19" s="18" t="s">
        <v>91</v>
      </c>
      <c r="E19" s="19" t="str">
        <f aca="false">_xlfn.xlookup(D19,[1]Clients!B$1:B$1048576,[1]Clients!C$1:C$1048576)</f>
        <v>Profecta</v>
      </c>
      <c r="F19" s="20" t="n">
        <v>45453</v>
      </c>
      <c r="G19" s="21" t="s">
        <v>58</v>
      </c>
      <c r="H19" s="19" t="s">
        <v>92</v>
      </c>
      <c r="I19" s="19" t="s">
        <v>93</v>
      </c>
      <c r="J19" s="21" t="n">
        <v>45453</v>
      </c>
      <c r="K19" s="19"/>
      <c r="L19" s="19"/>
      <c r="M19" s="19"/>
      <c r="N19" s="19" t="s">
        <v>70</v>
      </c>
      <c r="O19" s="22" t="n">
        <v>0</v>
      </c>
      <c r="P19" s="23"/>
      <c r="Q19" s="23" t="s">
        <v>88</v>
      </c>
      <c r="R19" s="25" t="n">
        <v>40047</v>
      </c>
      <c r="S19" s="25"/>
      <c r="T19" s="25" t="n">
        <v>1</v>
      </c>
      <c r="U19" s="25"/>
      <c r="V19" s="26"/>
      <c r="W19" s="26"/>
      <c r="X19" s="26"/>
      <c r="Y19" s="26"/>
      <c r="Z19" s="25"/>
      <c r="AA19" s="25"/>
      <c r="AB19" s="25"/>
      <c r="AC19" s="25"/>
      <c r="AD19" s="26"/>
      <c r="AE19" s="26"/>
      <c r="AF19" s="26"/>
      <c r="AG19" s="26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30"/>
    </row>
    <row r="20" customFormat="false" ht="15" hidden="true" customHeight="false" outlineLevel="0" collapsed="false">
      <c r="A20" s="17" t="n">
        <v>168</v>
      </c>
      <c r="B20" s="18" t="s">
        <v>94</v>
      </c>
      <c r="C20" s="19" t="str">
        <f aca="false">_xlfn.xlookup(B20,[1]Clients!B$1:B$1048576,[1]Clients!C$1:C$1048576)</f>
        <v>IMPSJ</v>
      </c>
      <c r="D20" s="18" t="s">
        <v>94</v>
      </c>
      <c r="E20" s="19" t="str">
        <f aca="false">_xlfn.xlookup(D20,[1]Clients!B$1:B$1048576,[1]Clients!C$1:C$1048576)</f>
        <v>IMPSJ</v>
      </c>
      <c r="F20" s="20" t="n">
        <v>45457</v>
      </c>
      <c r="G20" s="21" t="s">
        <v>58</v>
      </c>
      <c r="H20" s="19" t="s">
        <v>92</v>
      </c>
      <c r="I20" s="19" t="s">
        <v>95</v>
      </c>
      <c r="J20" s="21" t="n">
        <v>45461</v>
      </c>
      <c r="K20" s="19"/>
      <c r="L20" s="19"/>
      <c r="M20" s="19"/>
      <c r="N20" s="19" t="s">
        <v>70</v>
      </c>
      <c r="O20" s="22" t="n">
        <v>0</v>
      </c>
      <c r="P20" s="23"/>
      <c r="Q20" s="23" t="s">
        <v>77</v>
      </c>
      <c r="R20" s="25" t="n">
        <v>40048</v>
      </c>
      <c r="S20" s="25"/>
      <c r="T20" s="25" t="n">
        <v>1</v>
      </c>
      <c r="U20" s="25"/>
      <c r="V20" s="26"/>
      <c r="W20" s="26"/>
      <c r="X20" s="26"/>
      <c r="Y20" s="26"/>
      <c r="Z20" s="25"/>
      <c r="AA20" s="25"/>
      <c r="AB20" s="25"/>
      <c r="AC20" s="25"/>
      <c r="AD20" s="26"/>
      <c r="AE20" s="26"/>
      <c r="AF20" s="26"/>
      <c r="AG20" s="26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30"/>
    </row>
    <row r="21" customFormat="false" ht="15" hidden="true" customHeight="false" outlineLevel="0" collapsed="false">
      <c r="A21" s="17" t="n">
        <v>169</v>
      </c>
      <c r="B21" s="18" t="s">
        <v>96</v>
      </c>
      <c r="C21" s="19" t="str">
        <f aca="false">_xlfn.xlookup(B21,[1]Clients!B$1:B$1048576,[1]Clients!C$1:C$1048576)</f>
        <v>Luso-Flex</v>
      </c>
      <c r="D21" s="18" t="s">
        <v>96</v>
      </c>
      <c r="E21" s="19" t="str">
        <f aca="false">_xlfn.xlookup(D21,[1]Clients!B$1:B$1048576,[1]Clients!C$1:C$1048576)</f>
        <v>Luso-Flex</v>
      </c>
      <c r="F21" s="20" t="n">
        <v>45461</v>
      </c>
      <c r="G21" s="21" t="s">
        <v>58</v>
      </c>
      <c r="H21" s="19" t="s">
        <v>92</v>
      </c>
      <c r="I21" s="19" t="s">
        <v>97</v>
      </c>
      <c r="J21" s="21" t="n">
        <v>45463</v>
      </c>
      <c r="K21" s="19"/>
      <c r="L21" s="19"/>
      <c r="M21" s="19" t="s">
        <v>74</v>
      </c>
      <c r="N21" s="19" t="s">
        <v>70</v>
      </c>
      <c r="O21" s="22" t="n">
        <v>0</v>
      </c>
      <c r="P21" s="23"/>
      <c r="Q21" s="23" t="s">
        <v>88</v>
      </c>
      <c r="R21" s="25" t="n">
        <v>40049</v>
      </c>
      <c r="S21" s="25"/>
      <c r="T21" s="25" t="n">
        <v>1</v>
      </c>
      <c r="U21" s="25"/>
      <c r="V21" s="26"/>
      <c r="W21" s="26"/>
      <c r="X21" s="26"/>
      <c r="Y21" s="26"/>
      <c r="Z21" s="25"/>
      <c r="AA21" s="25"/>
      <c r="AB21" s="25"/>
      <c r="AC21" s="25"/>
      <c r="AD21" s="26"/>
      <c r="AE21" s="26"/>
      <c r="AF21" s="26"/>
      <c r="AG21" s="26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30"/>
    </row>
    <row r="22" customFormat="false" ht="15" hidden="true" customHeight="false" outlineLevel="0" collapsed="false">
      <c r="A22" s="17" t="n">
        <v>170</v>
      </c>
      <c r="B22" s="18" t="s">
        <v>89</v>
      </c>
      <c r="C22" s="19" t="str">
        <f aca="false">_xlfn.xlookup(B22,[1]Clients!B$1:B$1048576,[1]Clients!C$1:C$1048576)</f>
        <v>Produlith</v>
      </c>
      <c r="D22" s="18" t="s">
        <v>89</v>
      </c>
      <c r="E22" s="19" t="str">
        <f aca="false">_xlfn.xlookup(D22,[1]Clients!B$1:B$1048576,[1]Clients!C$1:C$1048576)</f>
        <v>Produlith</v>
      </c>
      <c r="F22" s="20" t="n">
        <v>45468</v>
      </c>
      <c r="G22" s="21" t="s">
        <v>58</v>
      </c>
      <c r="H22" s="19" t="n">
        <v>30878</v>
      </c>
      <c r="I22" s="19" t="s">
        <v>90</v>
      </c>
      <c r="J22" s="21" t="n">
        <v>45475</v>
      </c>
      <c r="K22" s="19" t="s">
        <v>98</v>
      </c>
      <c r="L22" s="19"/>
      <c r="M22" s="19" t="s">
        <v>74</v>
      </c>
      <c r="N22" s="19" t="s">
        <v>65</v>
      </c>
      <c r="O22" s="22" t="n">
        <v>0</v>
      </c>
      <c r="P22" s="23"/>
      <c r="Q22" s="23" t="s">
        <v>77</v>
      </c>
      <c r="R22" s="25" t="n">
        <v>40050</v>
      </c>
      <c r="S22" s="25"/>
      <c r="T22" s="25" t="n">
        <v>4</v>
      </c>
      <c r="U22" s="25"/>
      <c r="V22" s="26"/>
      <c r="W22" s="26"/>
      <c r="X22" s="26"/>
      <c r="Y22" s="26"/>
      <c r="Z22" s="25"/>
      <c r="AA22" s="25"/>
      <c r="AB22" s="25"/>
      <c r="AC22" s="25"/>
      <c r="AD22" s="26"/>
      <c r="AE22" s="26"/>
      <c r="AF22" s="26"/>
      <c r="AG22" s="26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30"/>
    </row>
    <row r="23" customFormat="false" ht="15" hidden="true" customHeight="false" outlineLevel="0" collapsed="false">
      <c r="A23" s="17" t="n">
        <v>171</v>
      </c>
      <c r="B23" s="18" t="s">
        <v>63</v>
      </c>
      <c r="C23" s="19" t="str">
        <f aca="false">_xlfn.xlookup(B23,[1]Clients!B$1:B$1048576,[1]Clients!C$1:C$1048576)</f>
        <v>Digi</v>
      </c>
      <c r="D23" s="18" t="s">
        <v>63</v>
      </c>
      <c r="E23" s="19" t="str">
        <f aca="false">_xlfn.xlookup(D23,[1]Clients!B$1:B$1048576,[1]Clients!C$1:C$1048576)</f>
        <v>Digi</v>
      </c>
      <c r="F23" s="20" t="n">
        <v>45474</v>
      </c>
      <c r="G23" s="21" t="s">
        <v>58</v>
      </c>
      <c r="H23" s="19" t="n">
        <v>50008251</v>
      </c>
      <c r="I23" s="19" t="s">
        <v>76</v>
      </c>
      <c r="J23" s="21" t="n">
        <v>45481</v>
      </c>
      <c r="K23" s="19"/>
      <c r="L23" s="19"/>
      <c r="M23" s="19" t="s">
        <v>61</v>
      </c>
      <c r="N23" s="19" t="s">
        <v>65</v>
      </c>
      <c r="O23" s="22" t="n">
        <v>0</v>
      </c>
      <c r="P23" s="23" t="s">
        <v>77</v>
      </c>
      <c r="Q23" s="23" t="s">
        <v>77</v>
      </c>
      <c r="R23" s="25" t="n">
        <v>40033</v>
      </c>
      <c r="S23" s="25"/>
      <c r="T23" s="25" t="n">
        <v>78</v>
      </c>
      <c r="U23" s="25"/>
      <c r="V23" s="26"/>
      <c r="W23" s="26"/>
      <c r="X23" s="26"/>
      <c r="Y23" s="26"/>
      <c r="Z23" s="25"/>
      <c r="AA23" s="25"/>
      <c r="AB23" s="25"/>
      <c r="AC23" s="25"/>
      <c r="AD23" s="26"/>
      <c r="AE23" s="26"/>
      <c r="AF23" s="26"/>
      <c r="AG23" s="26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30"/>
    </row>
    <row r="24" customFormat="false" ht="15" hidden="true" customHeight="false" outlineLevel="0" collapsed="false">
      <c r="A24" s="17" t="n">
        <v>172</v>
      </c>
      <c r="B24" s="18" t="s">
        <v>89</v>
      </c>
      <c r="C24" s="19" t="str">
        <f aca="false">_xlfn.xlookup(B24,[1]Clients!B$1:B$1048576,[1]Clients!C$1:C$1048576)</f>
        <v>Produlith</v>
      </c>
      <c r="D24" s="18" t="s">
        <v>89</v>
      </c>
      <c r="E24" s="19" t="str">
        <f aca="false">_xlfn.xlookup(D24,[1]Clients!B$1:B$1048576,[1]Clients!C$1:C$1048576)</f>
        <v>Produlith</v>
      </c>
      <c r="F24" s="20" t="n">
        <v>45475</v>
      </c>
      <c r="G24" s="21" t="s">
        <v>58</v>
      </c>
      <c r="H24" s="19" t="n">
        <v>30954</v>
      </c>
      <c r="I24" s="19" t="s">
        <v>90</v>
      </c>
      <c r="J24" s="21" t="n">
        <v>45481</v>
      </c>
      <c r="K24" s="19" t="s">
        <v>98</v>
      </c>
      <c r="L24" s="19"/>
      <c r="M24" s="19" t="s">
        <v>74</v>
      </c>
      <c r="N24" s="19" t="s">
        <v>65</v>
      </c>
      <c r="O24" s="22" t="n">
        <v>0</v>
      </c>
      <c r="P24" s="23" t="s">
        <v>77</v>
      </c>
      <c r="Q24" s="23" t="s">
        <v>77</v>
      </c>
      <c r="R24" s="25" t="n">
        <v>40051</v>
      </c>
      <c r="S24" s="25"/>
      <c r="T24" s="25" t="n">
        <v>4</v>
      </c>
      <c r="U24" s="25"/>
      <c r="V24" s="26"/>
      <c r="W24" s="26"/>
      <c r="X24" s="26"/>
      <c r="Y24" s="26"/>
      <c r="Z24" s="25"/>
      <c r="AA24" s="25"/>
      <c r="AB24" s="25"/>
      <c r="AC24" s="25"/>
      <c r="AD24" s="26"/>
      <c r="AE24" s="26"/>
      <c r="AF24" s="26"/>
      <c r="AG24" s="26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30"/>
    </row>
    <row r="25" customFormat="false" ht="15" hidden="true" customHeight="false" outlineLevel="0" collapsed="false">
      <c r="A25" s="17" t="n">
        <v>173</v>
      </c>
      <c r="B25" s="18" t="s">
        <v>94</v>
      </c>
      <c r="C25" s="19" t="str">
        <f aca="false">_xlfn.xlookup(B25,[1]Clients!B$1:B$1048576,[1]Clients!C$1:C$1048576)</f>
        <v>IMPSJ</v>
      </c>
      <c r="D25" s="18" t="s">
        <v>94</v>
      </c>
      <c r="E25" s="19" t="str">
        <f aca="false">_xlfn.xlookup(D25,[1]Clients!B$1:B$1048576,[1]Clients!C$1:C$1048576)</f>
        <v>IMPSJ</v>
      </c>
      <c r="F25" s="20" t="n">
        <v>45481</v>
      </c>
      <c r="G25" s="21" t="s">
        <v>58</v>
      </c>
      <c r="H25" s="19" t="n">
        <v>102088</v>
      </c>
      <c r="I25" s="19" t="s">
        <v>95</v>
      </c>
      <c r="J25" s="21" t="n">
        <v>45488</v>
      </c>
      <c r="K25" s="19"/>
      <c r="L25" s="19"/>
      <c r="M25" s="19" t="s">
        <v>74</v>
      </c>
      <c r="N25" s="19" t="s">
        <v>65</v>
      </c>
      <c r="O25" s="22" t="n">
        <v>0</v>
      </c>
      <c r="P25" s="23" t="s">
        <v>77</v>
      </c>
      <c r="Q25" s="23" t="s">
        <v>77</v>
      </c>
      <c r="R25" s="25" t="n">
        <v>40048</v>
      </c>
      <c r="S25" s="25"/>
      <c r="T25" s="25" t="n">
        <v>5</v>
      </c>
      <c r="U25" s="25"/>
      <c r="V25" s="26" t="n">
        <v>40052</v>
      </c>
      <c r="W25" s="26"/>
      <c r="X25" s="26" t="n">
        <v>1</v>
      </c>
      <c r="Y25" s="26"/>
      <c r="Z25" s="25" t="n">
        <v>40053</v>
      </c>
      <c r="AA25" s="25"/>
      <c r="AB25" s="25" t="n">
        <v>1</v>
      </c>
      <c r="AC25" s="25"/>
      <c r="AD25" s="26"/>
      <c r="AE25" s="26"/>
      <c r="AF25" s="26"/>
      <c r="AG25" s="26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30"/>
    </row>
    <row r="26" customFormat="false" ht="15" hidden="true" customHeight="false" outlineLevel="0" collapsed="false">
      <c r="A26" s="17" t="n">
        <v>174</v>
      </c>
      <c r="B26" s="18" t="s">
        <v>94</v>
      </c>
      <c r="C26" s="19" t="str">
        <f aca="false">_xlfn.xlookup(B26,[1]Clients!B$1:B$1048576,[1]Clients!C$1:C$1048576)</f>
        <v>IMPSJ</v>
      </c>
      <c r="D26" s="18" t="s">
        <v>94</v>
      </c>
      <c r="E26" s="19" t="str">
        <f aca="false">_xlfn.xlookup(D26,[1]Clients!B$1:B$1048576,[1]Clients!C$1:C$1048576)</f>
        <v>IMPSJ</v>
      </c>
      <c r="F26" s="20" t="n">
        <v>45481</v>
      </c>
      <c r="G26" s="21" t="s">
        <v>58</v>
      </c>
      <c r="H26" s="19" t="s">
        <v>79</v>
      </c>
      <c r="I26" s="19" t="s">
        <v>95</v>
      </c>
      <c r="J26" s="21" t="n">
        <v>45488</v>
      </c>
      <c r="K26" s="19"/>
      <c r="L26" s="19"/>
      <c r="M26" s="19" t="s">
        <v>74</v>
      </c>
      <c r="N26" s="19"/>
      <c r="O26" s="22" t="n">
        <v>0</v>
      </c>
      <c r="P26" s="23" t="s">
        <v>77</v>
      </c>
      <c r="Q26" s="23" t="s">
        <v>77</v>
      </c>
      <c r="R26" s="25" t="n">
        <v>40052</v>
      </c>
      <c r="S26" s="25"/>
      <c r="T26" s="25" t="n">
        <v>1</v>
      </c>
      <c r="U26" s="25"/>
      <c r="V26" s="26"/>
      <c r="W26" s="26"/>
      <c r="X26" s="26"/>
      <c r="Y26" s="26"/>
      <c r="Z26" s="25"/>
      <c r="AA26" s="25"/>
      <c r="AB26" s="25"/>
      <c r="AC26" s="25"/>
      <c r="AD26" s="26"/>
      <c r="AE26" s="26"/>
      <c r="AF26" s="26"/>
      <c r="AG26" s="26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30"/>
    </row>
    <row r="27" customFormat="false" ht="15" hidden="true" customHeight="false" outlineLevel="0" collapsed="false">
      <c r="A27" s="17" t="n">
        <v>175</v>
      </c>
      <c r="B27" s="18" t="s">
        <v>94</v>
      </c>
      <c r="C27" s="19" t="str">
        <f aca="false">_xlfn.xlookup(B27,[1]Clients!B$1:B$1048576,[1]Clients!C$1:C$1048576)</f>
        <v>IMPSJ</v>
      </c>
      <c r="D27" s="18" t="s">
        <v>94</v>
      </c>
      <c r="E27" s="19" t="str">
        <f aca="false">_xlfn.xlookup(D27,[1]Clients!B$1:B$1048576,[1]Clients!C$1:C$1048576)</f>
        <v>IMPSJ</v>
      </c>
      <c r="F27" s="20" t="n">
        <v>45481</v>
      </c>
      <c r="G27" s="21" t="s">
        <v>58</v>
      </c>
      <c r="H27" s="19" t="s">
        <v>84</v>
      </c>
      <c r="I27" s="19" t="s">
        <v>95</v>
      </c>
      <c r="J27" s="21" t="n">
        <v>45488</v>
      </c>
      <c r="K27" s="19"/>
      <c r="L27" s="19"/>
      <c r="M27" s="19" t="s">
        <v>74</v>
      </c>
      <c r="N27" s="19"/>
      <c r="O27" s="22" t="n">
        <v>0</v>
      </c>
      <c r="P27" s="23" t="s">
        <v>77</v>
      </c>
      <c r="Q27" s="23" t="s">
        <v>77</v>
      </c>
      <c r="R27" s="25" t="n">
        <v>40053</v>
      </c>
      <c r="S27" s="25"/>
      <c r="T27" s="25" t="n">
        <v>1</v>
      </c>
      <c r="U27" s="25"/>
      <c r="V27" s="26"/>
      <c r="W27" s="26"/>
      <c r="X27" s="26"/>
      <c r="Y27" s="26"/>
      <c r="Z27" s="25"/>
      <c r="AA27" s="25"/>
      <c r="AB27" s="25"/>
      <c r="AC27" s="25"/>
      <c r="AD27" s="26"/>
      <c r="AE27" s="26"/>
      <c r="AF27" s="26"/>
      <c r="AG27" s="26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30"/>
    </row>
    <row r="28" customFormat="false" ht="15" hidden="true" customHeight="false" outlineLevel="0" collapsed="false">
      <c r="A28" s="17" t="n">
        <v>176</v>
      </c>
      <c r="B28" s="18" t="s">
        <v>63</v>
      </c>
      <c r="C28" s="19" t="str">
        <f aca="false">_xlfn.xlookup(B28,[1]Clients!B$1:B$1048576,[1]Clients!C$1:C$1048576)</f>
        <v>Digi</v>
      </c>
      <c r="D28" s="18" t="s">
        <v>63</v>
      </c>
      <c r="E28" s="19" t="str">
        <f aca="false">_xlfn.xlookup(D28,[1]Clients!B$1:B$1048576,[1]Clients!C$1:C$1048576)</f>
        <v>Digi</v>
      </c>
      <c r="F28" s="20" t="n">
        <v>45482</v>
      </c>
      <c r="G28" s="21" t="s">
        <v>58</v>
      </c>
      <c r="H28" s="19" t="n">
        <v>50008290</v>
      </c>
      <c r="I28" s="19" t="s">
        <v>64</v>
      </c>
      <c r="J28" s="21" t="n">
        <v>45492</v>
      </c>
      <c r="K28" s="19"/>
      <c r="L28" s="19"/>
      <c r="M28" s="19" t="s">
        <v>61</v>
      </c>
      <c r="N28" s="19" t="s">
        <v>65</v>
      </c>
      <c r="O28" s="22" t="n">
        <v>0</v>
      </c>
      <c r="P28" s="23" t="s">
        <v>77</v>
      </c>
      <c r="Q28" s="23" t="s">
        <v>77</v>
      </c>
      <c r="R28" s="25" t="n">
        <v>40054</v>
      </c>
      <c r="S28" s="25"/>
      <c r="T28" s="25" t="n">
        <v>34</v>
      </c>
      <c r="U28" s="25"/>
      <c r="V28" s="26"/>
      <c r="W28" s="26"/>
      <c r="X28" s="26"/>
      <c r="Y28" s="26"/>
      <c r="Z28" s="25"/>
      <c r="AA28" s="25"/>
      <c r="AB28" s="25"/>
      <c r="AC28" s="25"/>
      <c r="AD28" s="26"/>
      <c r="AE28" s="26"/>
      <c r="AF28" s="26"/>
      <c r="AG28" s="26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30"/>
    </row>
    <row r="29" customFormat="false" ht="15" hidden="true" customHeight="false" outlineLevel="0" collapsed="false">
      <c r="A29" s="17" t="n">
        <v>177</v>
      </c>
      <c r="B29" s="18" t="s">
        <v>96</v>
      </c>
      <c r="C29" s="19" t="str">
        <f aca="false">_xlfn.xlookup(B29,[1]Clients!B$1:B$1048576,[1]Clients!C$1:C$1048576)</f>
        <v>Luso-Flex</v>
      </c>
      <c r="D29" s="18" t="s">
        <v>96</v>
      </c>
      <c r="E29" s="19" t="str">
        <f aca="false">_xlfn.xlookup(D29,[1]Clients!B$1:B$1048576,[1]Clients!C$1:C$1048576)</f>
        <v>Luso-Flex</v>
      </c>
      <c r="F29" s="20" t="n">
        <v>45484</v>
      </c>
      <c r="G29" s="21" t="s">
        <v>58</v>
      </c>
      <c r="H29" s="19" t="n">
        <v>1898</v>
      </c>
      <c r="I29" s="19" t="s">
        <v>99</v>
      </c>
      <c r="J29" s="21" t="n">
        <v>45491</v>
      </c>
      <c r="K29" s="19" t="s">
        <v>100</v>
      </c>
      <c r="L29" s="19"/>
      <c r="M29" s="19" t="s">
        <v>74</v>
      </c>
      <c r="N29" s="19" t="s">
        <v>70</v>
      </c>
      <c r="O29" s="22" t="n">
        <v>0</v>
      </c>
      <c r="P29" s="23" t="s">
        <v>88</v>
      </c>
      <c r="Q29" s="23" t="s">
        <v>88</v>
      </c>
      <c r="R29" s="25" t="n">
        <v>40060</v>
      </c>
      <c r="S29" s="25"/>
      <c r="T29" s="25" t="n">
        <v>24</v>
      </c>
      <c r="U29" s="25" t="n">
        <v>25200</v>
      </c>
      <c r="V29" s="26" t="n">
        <v>40061</v>
      </c>
      <c r="W29" s="26"/>
      <c r="X29" s="26" t="n">
        <v>4</v>
      </c>
      <c r="Y29" s="26" t="n">
        <v>3600</v>
      </c>
      <c r="Z29" s="25" t="n">
        <v>40056</v>
      </c>
      <c r="AA29" s="25"/>
      <c r="AB29" s="25" t="n">
        <v>5</v>
      </c>
      <c r="AC29" s="25" t="n">
        <v>7200</v>
      </c>
      <c r="AD29" s="26" t="n">
        <v>40055</v>
      </c>
      <c r="AE29" s="26"/>
      <c r="AF29" s="26" t="n">
        <v>5</v>
      </c>
      <c r="AG29" s="26" t="n">
        <v>3600</v>
      </c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30"/>
    </row>
    <row r="30" customFormat="false" ht="15" hidden="true" customHeight="false" outlineLevel="0" collapsed="false">
      <c r="A30" s="17" t="n">
        <v>178</v>
      </c>
      <c r="B30" s="18" t="s">
        <v>85</v>
      </c>
      <c r="C30" s="19" t="str">
        <f aca="false">_xlfn.xlookup(B30,[1]Clients!B$1:B$1048576,[1]Clients!C$1:C$1048576)</f>
        <v>Étiquettes Rive-Sud</v>
      </c>
      <c r="D30" s="18" t="s">
        <v>85</v>
      </c>
      <c r="E30" s="19" t="str">
        <f aca="false">_xlfn.xlookup(D30,[1]Clients!B$1:B$1048576,[1]Clients!C$1:C$1048576)</f>
        <v>Étiquettes Rive-Sud</v>
      </c>
      <c r="F30" s="20" t="n">
        <v>45483</v>
      </c>
      <c r="G30" s="21" t="s">
        <v>58</v>
      </c>
      <c r="H30" s="19" t="s">
        <v>101</v>
      </c>
      <c r="I30" s="19"/>
      <c r="J30" s="21" t="n">
        <v>45484</v>
      </c>
      <c r="K30" s="19" t="s">
        <v>102</v>
      </c>
      <c r="L30" s="19"/>
      <c r="M30" s="19" t="s">
        <v>74</v>
      </c>
      <c r="N30" s="19" t="s">
        <v>70</v>
      </c>
      <c r="O30" s="22" t="n">
        <v>0</v>
      </c>
      <c r="P30" s="23" t="s">
        <v>77</v>
      </c>
      <c r="Q30" s="23" t="s">
        <v>88</v>
      </c>
      <c r="R30" s="25" t="n">
        <v>40058</v>
      </c>
      <c r="S30" s="25"/>
      <c r="T30" s="25" t="n">
        <v>10</v>
      </c>
      <c r="U30" s="25"/>
      <c r="V30" s="26" t="n">
        <v>40059</v>
      </c>
      <c r="W30" s="26"/>
      <c r="X30" s="26" t="n">
        <v>2</v>
      </c>
      <c r="Y30" s="26"/>
      <c r="Z30" s="25"/>
      <c r="AA30" s="25"/>
      <c r="AB30" s="25"/>
      <c r="AC30" s="25"/>
      <c r="AD30" s="26"/>
      <c r="AE30" s="26"/>
      <c r="AF30" s="26"/>
      <c r="AG30" s="26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30"/>
    </row>
    <row r="31" customFormat="false" ht="15" hidden="true" customHeight="false" outlineLevel="0" collapsed="false">
      <c r="A31" s="17" t="n">
        <v>179</v>
      </c>
      <c r="B31" s="18" t="s">
        <v>89</v>
      </c>
      <c r="C31" s="19" t="str">
        <f aca="false">_xlfn.xlookup(B31,[1]Clients!B$1:B$1048576,[1]Clients!C$1:C$1048576)</f>
        <v>Produlith</v>
      </c>
      <c r="D31" s="18" t="s">
        <v>89</v>
      </c>
      <c r="E31" s="19" t="str">
        <f aca="false">_xlfn.xlookup(D31,[1]Clients!B$1:B$1048576,[1]Clients!C$1:C$1048576)</f>
        <v>Produlith</v>
      </c>
      <c r="F31" s="20" t="n">
        <v>45488</v>
      </c>
      <c r="G31" s="21" t="s">
        <v>58</v>
      </c>
      <c r="H31" s="19" t="n">
        <v>31017</v>
      </c>
      <c r="I31" s="19" t="s">
        <v>90</v>
      </c>
      <c r="J31" s="21" t="n">
        <v>45491</v>
      </c>
      <c r="K31" s="19"/>
      <c r="L31" s="19"/>
      <c r="M31" s="19" t="s">
        <v>74</v>
      </c>
      <c r="N31" s="19" t="s">
        <v>103</v>
      </c>
      <c r="O31" s="22" t="n">
        <v>0</v>
      </c>
      <c r="P31" s="23" t="s">
        <v>77</v>
      </c>
      <c r="Q31" s="23" t="s">
        <v>77</v>
      </c>
      <c r="R31" s="25" t="n">
        <v>40062</v>
      </c>
      <c r="S31" s="25"/>
      <c r="T31" s="25" t="n">
        <v>3</v>
      </c>
      <c r="U31" s="25" t="n">
        <v>2214</v>
      </c>
      <c r="V31" s="26"/>
      <c r="W31" s="26"/>
      <c r="X31" s="26"/>
      <c r="Y31" s="26"/>
      <c r="Z31" s="25"/>
      <c r="AA31" s="25"/>
      <c r="AB31" s="25"/>
      <c r="AC31" s="25"/>
      <c r="AD31" s="26"/>
      <c r="AE31" s="26"/>
      <c r="AF31" s="26"/>
      <c r="AG31" s="26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30"/>
    </row>
    <row r="32" customFormat="false" ht="15" hidden="true" customHeight="false" outlineLevel="0" collapsed="false">
      <c r="A32" s="17" t="n">
        <v>180</v>
      </c>
      <c r="B32" s="18" t="s">
        <v>104</v>
      </c>
      <c r="C32" s="19" t="str">
        <f aca="false">_xlfn.xlookup(B32,[1]Clients!B$1:B$1048576,[1]Clients!C$1:C$1048576)</f>
        <v>Multi-Flex</v>
      </c>
      <c r="D32" s="18" t="s">
        <v>104</v>
      </c>
      <c r="E32" s="19" t="str">
        <f aca="false">_xlfn.xlookup(D32,[1]Clients!B$1:B$1048576,[1]Clients!C$1:C$1048576)</f>
        <v>Multi-Flex</v>
      </c>
      <c r="F32" s="20" t="n">
        <v>45509</v>
      </c>
      <c r="G32" s="21" t="s">
        <v>58</v>
      </c>
      <c r="H32" s="19" t="s">
        <v>105</v>
      </c>
      <c r="I32" s="19"/>
      <c r="J32" s="21" t="n">
        <v>45513</v>
      </c>
      <c r="K32" s="19"/>
      <c r="L32" s="19"/>
      <c r="M32" s="19" t="s">
        <v>74</v>
      </c>
      <c r="N32" s="19" t="s">
        <v>70</v>
      </c>
      <c r="O32" s="22" t="n">
        <v>0</v>
      </c>
      <c r="P32" s="23" t="s">
        <v>88</v>
      </c>
      <c r="Q32" s="23" t="s">
        <v>88</v>
      </c>
      <c r="R32" s="25"/>
      <c r="S32" s="25"/>
      <c r="T32" s="25"/>
      <c r="U32" s="25"/>
      <c r="V32" s="26"/>
      <c r="W32" s="26"/>
      <c r="X32" s="26"/>
      <c r="Y32" s="26"/>
      <c r="Z32" s="25"/>
      <c r="AA32" s="25"/>
      <c r="AB32" s="25"/>
      <c r="AC32" s="25"/>
      <c r="AD32" s="26"/>
      <c r="AE32" s="26"/>
      <c r="AF32" s="26"/>
      <c r="AG32" s="26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30"/>
    </row>
    <row r="33" customFormat="false" ht="15" hidden="true" customHeight="false" outlineLevel="0" collapsed="false">
      <c r="A33" s="17" t="n">
        <v>181</v>
      </c>
      <c r="B33" s="18" t="s">
        <v>94</v>
      </c>
      <c r="C33" s="19" t="str">
        <f aca="false">_xlfn.xlookup(B33,[1]Clients!B$1:B$1048576,[1]Clients!C$1:C$1048576)</f>
        <v>IMPSJ</v>
      </c>
      <c r="D33" s="18" t="s">
        <v>94</v>
      </c>
      <c r="E33" s="19" t="str">
        <f aca="false">_xlfn.xlookup(D33,[1]Clients!B$1:B$1048576,[1]Clients!C$1:C$1048576)</f>
        <v>IMPSJ</v>
      </c>
      <c r="F33" s="20" t="n">
        <v>45490</v>
      </c>
      <c r="G33" s="21" t="s">
        <v>58</v>
      </c>
      <c r="H33" s="19" t="n">
        <v>102376</v>
      </c>
      <c r="I33" s="19" t="s">
        <v>95</v>
      </c>
      <c r="J33" s="21" t="n">
        <v>45491</v>
      </c>
      <c r="K33" s="19" t="s">
        <v>106</v>
      </c>
      <c r="L33" s="19"/>
      <c r="M33" s="19" t="s">
        <v>74</v>
      </c>
      <c r="N33" s="19" t="s">
        <v>107</v>
      </c>
      <c r="O33" s="22" t="n">
        <v>0</v>
      </c>
      <c r="P33" s="23" t="s">
        <v>77</v>
      </c>
      <c r="Q33" s="23" t="s">
        <v>77</v>
      </c>
      <c r="R33" s="25" t="n">
        <v>40067</v>
      </c>
      <c r="S33" s="25"/>
      <c r="T33" s="25" t="n">
        <v>5</v>
      </c>
      <c r="U33" s="25" t="n">
        <v>3600</v>
      </c>
      <c r="V33" s="26"/>
      <c r="W33" s="26"/>
      <c r="X33" s="26"/>
      <c r="Y33" s="26"/>
      <c r="Z33" s="25"/>
      <c r="AA33" s="25"/>
      <c r="AB33" s="25"/>
      <c r="AC33" s="25"/>
      <c r="AD33" s="26"/>
      <c r="AE33" s="26"/>
      <c r="AF33" s="26"/>
      <c r="AG33" s="26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30"/>
    </row>
    <row r="34" customFormat="false" ht="15" hidden="true" customHeight="false" outlineLevel="0" collapsed="false">
      <c r="A34" s="17" t="n">
        <v>182</v>
      </c>
      <c r="B34" s="18" t="s">
        <v>89</v>
      </c>
      <c r="C34" s="19" t="str">
        <f aca="false">_xlfn.xlookup(B34,[1]Clients!B$1:B$1048576,[1]Clients!C$1:C$1048576)</f>
        <v>Produlith</v>
      </c>
      <c r="D34" s="18" t="s">
        <v>89</v>
      </c>
      <c r="E34" s="19" t="str">
        <f aca="false">_xlfn.xlookup(D34,[1]Clients!B$1:B$1048576,[1]Clients!C$1:C$1048576)</f>
        <v>Produlith</v>
      </c>
      <c r="F34" s="20" t="n">
        <v>45498</v>
      </c>
      <c r="G34" s="21" t="s">
        <v>58</v>
      </c>
      <c r="H34" s="19" t="n">
        <v>31105</v>
      </c>
      <c r="I34" s="19" t="s">
        <v>90</v>
      </c>
      <c r="J34" s="21" t="n">
        <v>45505</v>
      </c>
      <c r="K34" s="19"/>
      <c r="L34" s="19"/>
      <c r="M34" s="19" t="s">
        <v>74</v>
      </c>
      <c r="N34" s="19" t="s">
        <v>103</v>
      </c>
      <c r="O34" s="22" t="n">
        <v>0</v>
      </c>
      <c r="P34" s="23" t="s">
        <v>77</v>
      </c>
      <c r="Q34" s="23" t="s">
        <v>77</v>
      </c>
      <c r="R34" s="25" t="n">
        <v>40051</v>
      </c>
      <c r="S34" s="25"/>
      <c r="T34" s="25" t="n">
        <v>4</v>
      </c>
      <c r="U34" s="25" t="n">
        <v>1800</v>
      </c>
      <c r="V34" s="26"/>
      <c r="W34" s="26"/>
      <c r="X34" s="26"/>
      <c r="Y34" s="26"/>
      <c r="Z34" s="25"/>
      <c r="AA34" s="25"/>
      <c r="AB34" s="25"/>
      <c r="AC34" s="25"/>
      <c r="AD34" s="26"/>
      <c r="AE34" s="26"/>
      <c r="AF34" s="26"/>
      <c r="AG34" s="26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30"/>
    </row>
    <row r="35" customFormat="false" ht="15" hidden="true" customHeight="false" outlineLevel="0" collapsed="false">
      <c r="A35" s="17" t="n">
        <v>183</v>
      </c>
      <c r="B35" s="18" t="s">
        <v>104</v>
      </c>
      <c r="C35" s="19" t="str">
        <f aca="false">_xlfn.xlookup(B35,[1]Clients!B$1:B$1048576,[1]Clients!C$1:C$1048576)</f>
        <v>Multi-Flex</v>
      </c>
      <c r="D35" s="18" t="s">
        <v>104</v>
      </c>
      <c r="E35" s="19" t="str">
        <f aca="false">_xlfn.xlookup(D35,[1]Clients!B$1:B$1048576,[1]Clients!C$1:C$1048576)</f>
        <v>Multi-Flex</v>
      </c>
      <c r="F35" s="20" t="n">
        <v>45510</v>
      </c>
      <c r="G35" s="21" t="s">
        <v>58</v>
      </c>
      <c r="H35" s="19" t="s">
        <v>108</v>
      </c>
      <c r="I35" s="19"/>
      <c r="J35" s="21" t="n">
        <v>45511</v>
      </c>
      <c r="K35" s="19"/>
      <c r="L35" s="19"/>
      <c r="M35" s="19" t="s">
        <v>74</v>
      </c>
      <c r="N35" s="19" t="s">
        <v>70</v>
      </c>
      <c r="O35" s="22" t="n">
        <v>0</v>
      </c>
      <c r="P35" s="23" t="s">
        <v>88</v>
      </c>
      <c r="Q35" s="23" t="s">
        <v>88</v>
      </c>
      <c r="R35" s="25" t="n">
        <v>40063</v>
      </c>
      <c r="S35" s="25"/>
      <c r="T35" s="25" t="n">
        <v>1</v>
      </c>
      <c r="U35" s="25" t="n">
        <v>300</v>
      </c>
      <c r="V35" s="26" t="n">
        <v>40064</v>
      </c>
      <c r="W35" s="26"/>
      <c r="X35" s="26" t="n">
        <v>1</v>
      </c>
      <c r="Y35" s="26" t="n">
        <v>390</v>
      </c>
      <c r="Z35" s="25" t="n">
        <v>40065</v>
      </c>
      <c r="AA35" s="25"/>
      <c r="AB35" s="25" t="n">
        <v>1</v>
      </c>
      <c r="AC35" s="25" t="n">
        <v>300</v>
      </c>
      <c r="AD35" s="26" t="n">
        <v>40066</v>
      </c>
      <c r="AE35" s="26"/>
      <c r="AF35" s="26" t="n">
        <v>1</v>
      </c>
      <c r="AG35" s="26" t="n">
        <v>390</v>
      </c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30"/>
    </row>
    <row r="36" customFormat="false" ht="15" hidden="true" customHeight="false" outlineLevel="0" collapsed="false">
      <c r="A36" s="17" t="n">
        <v>184</v>
      </c>
      <c r="B36" s="18" t="s">
        <v>109</v>
      </c>
      <c r="C36" s="19" t="str">
        <f aca="false">_xlfn.xlookup(B36,[1]Clients!B$1:B$1048576,[1]Clients!C$1:C$1048576)</f>
        <v>Visuascan</v>
      </c>
      <c r="D36" s="18" t="s">
        <v>109</v>
      </c>
      <c r="E36" s="19" t="str">
        <f aca="false">_xlfn.xlookup(D36,[1]Clients!B$1:B$1048576,[1]Clients!C$1:C$1048576)</f>
        <v>Visuascan</v>
      </c>
      <c r="F36" s="20" t="n">
        <v>45512</v>
      </c>
      <c r="G36" s="21" t="s">
        <v>58</v>
      </c>
      <c r="H36" s="19" t="s">
        <v>110</v>
      </c>
      <c r="I36" s="19"/>
      <c r="J36" s="21" t="n">
        <v>45513</v>
      </c>
      <c r="K36" s="19"/>
      <c r="L36" s="19"/>
      <c r="M36" s="19" t="s">
        <v>74</v>
      </c>
      <c r="N36" s="19" t="s">
        <v>70</v>
      </c>
      <c r="O36" s="22" t="n">
        <v>0</v>
      </c>
      <c r="P36" s="23" t="s">
        <v>88</v>
      </c>
      <c r="Q36" s="23" t="s">
        <v>88</v>
      </c>
      <c r="R36" s="25" t="n">
        <v>40068</v>
      </c>
      <c r="S36" s="25"/>
      <c r="T36" s="25" t="n">
        <v>1</v>
      </c>
      <c r="U36" s="25" t="n">
        <v>675</v>
      </c>
      <c r="V36" s="26"/>
      <c r="W36" s="26"/>
      <c r="X36" s="26"/>
      <c r="Y36" s="26"/>
      <c r="Z36" s="25"/>
      <c r="AA36" s="25"/>
      <c r="AB36" s="25"/>
      <c r="AC36" s="25"/>
      <c r="AD36" s="26"/>
      <c r="AE36" s="26"/>
      <c r="AF36" s="26"/>
      <c r="AG36" s="26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30"/>
    </row>
    <row r="37" customFormat="false" ht="15" hidden="true" customHeight="false" outlineLevel="0" collapsed="false">
      <c r="A37" s="17" t="n">
        <v>185</v>
      </c>
      <c r="B37" s="18" t="s">
        <v>94</v>
      </c>
      <c r="C37" s="19" t="str">
        <f aca="false">_xlfn.xlookup(B37,[1]Clients!B$1:B$1048576,[1]Clients!C$1:C$1048576)</f>
        <v>IMPSJ</v>
      </c>
      <c r="D37" s="18" t="s">
        <v>94</v>
      </c>
      <c r="E37" s="19" t="str">
        <f aca="false">_xlfn.xlookup(D37,[1]Clients!B$1:B$1048576,[1]Clients!C$1:C$1048576)</f>
        <v>IMPSJ</v>
      </c>
      <c r="F37" s="20" t="n">
        <v>45512</v>
      </c>
      <c r="G37" s="21" t="s">
        <v>58</v>
      </c>
      <c r="H37" s="19" t="n">
        <v>102985</v>
      </c>
      <c r="I37" s="19" t="s">
        <v>111</v>
      </c>
      <c r="J37" s="21" t="n">
        <v>45518</v>
      </c>
      <c r="K37" s="19" t="s">
        <v>106</v>
      </c>
      <c r="L37" s="19"/>
      <c r="M37" s="19" t="s">
        <v>74</v>
      </c>
      <c r="N37" s="19" t="s">
        <v>107</v>
      </c>
      <c r="O37" s="22" t="n">
        <v>0</v>
      </c>
      <c r="P37" s="23" t="s">
        <v>77</v>
      </c>
      <c r="Q37" s="23" t="s">
        <v>77</v>
      </c>
      <c r="R37" s="25" t="n">
        <v>40069</v>
      </c>
      <c r="S37" s="25"/>
      <c r="T37" s="25" t="n">
        <v>5</v>
      </c>
      <c r="U37" s="25" t="n">
        <v>3112.5</v>
      </c>
      <c r="V37" s="26" t="n">
        <v>40070</v>
      </c>
      <c r="W37" s="26"/>
      <c r="X37" s="26" t="n">
        <v>1</v>
      </c>
      <c r="Y37" s="26" t="n">
        <v>487.5</v>
      </c>
      <c r="Z37" s="25"/>
      <c r="AA37" s="25"/>
      <c r="AB37" s="25"/>
      <c r="AC37" s="25"/>
      <c r="AD37" s="26"/>
      <c r="AE37" s="26"/>
      <c r="AF37" s="26"/>
      <c r="AG37" s="26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30"/>
    </row>
    <row r="38" customFormat="false" ht="15" hidden="true" customHeight="false" outlineLevel="0" collapsed="false">
      <c r="A38" s="17" t="n">
        <v>186</v>
      </c>
      <c r="B38" s="18" t="s">
        <v>94</v>
      </c>
      <c r="C38" s="19" t="str">
        <f aca="false">_xlfn.xlookup(B38,[1]Clients!B$1:B$1048576,[1]Clients!C$1:C$1048576)</f>
        <v>IMPSJ</v>
      </c>
      <c r="D38" s="18" t="s">
        <v>94</v>
      </c>
      <c r="E38" s="19" t="str">
        <f aca="false">_xlfn.xlookup(D38,[1]Clients!B$1:B$1048576,[1]Clients!C$1:C$1048576)</f>
        <v>IMPSJ</v>
      </c>
      <c r="F38" s="20" t="n">
        <v>45513</v>
      </c>
      <c r="G38" s="21" t="s">
        <v>58</v>
      </c>
      <c r="H38" s="19" t="n">
        <v>103001</v>
      </c>
      <c r="I38" s="19" t="s">
        <v>111</v>
      </c>
      <c r="J38" s="21" t="n">
        <v>45518</v>
      </c>
      <c r="K38" s="19" t="s">
        <v>106</v>
      </c>
      <c r="L38" s="19"/>
      <c r="M38" s="19" t="s">
        <v>74</v>
      </c>
      <c r="N38" s="19" t="s">
        <v>107</v>
      </c>
      <c r="O38" s="22" t="n">
        <v>0</v>
      </c>
      <c r="P38" s="23" t="s">
        <v>77</v>
      </c>
      <c r="Q38" s="23" t="s">
        <v>77</v>
      </c>
      <c r="R38" s="25" t="n">
        <v>40067</v>
      </c>
      <c r="S38" s="25"/>
      <c r="T38" s="25" t="n">
        <v>5</v>
      </c>
      <c r="U38" s="25" t="n">
        <v>3600</v>
      </c>
      <c r="V38" s="26"/>
      <c r="W38" s="26"/>
      <c r="X38" s="26"/>
      <c r="Y38" s="26"/>
      <c r="Z38" s="25"/>
      <c r="AA38" s="25"/>
      <c r="AB38" s="25"/>
      <c r="AC38" s="25"/>
      <c r="AD38" s="26"/>
      <c r="AE38" s="26"/>
      <c r="AF38" s="26"/>
      <c r="AG38" s="26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30"/>
    </row>
    <row r="39" customFormat="false" ht="15" hidden="true" customHeight="false" outlineLevel="0" collapsed="false">
      <c r="A39" s="17" t="n">
        <v>187</v>
      </c>
      <c r="B39" s="18" t="s">
        <v>96</v>
      </c>
      <c r="C39" s="19" t="str">
        <f aca="false">_xlfn.xlookup(B39,[1]Clients!B$1:B$1048576,[1]Clients!C$1:C$1048576)</f>
        <v>Luso-Flex</v>
      </c>
      <c r="D39" s="18" t="s">
        <v>96</v>
      </c>
      <c r="E39" s="19" t="str">
        <f aca="false">_xlfn.xlookup(D39,[1]Clients!B$1:B$1048576,[1]Clients!C$1:C$1048576)</f>
        <v>Luso-Flex</v>
      </c>
      <c r="F39" s="20" t="n">
        <v>45516</v>
      </c>
      <c r="G39" s="21" t="s">
        <v>58</v>
      </c>
      <c r="H39" s="19" t="s">
        <v>112</v>
      </c>
      <c r="I39" s="19"/>
      <c r="J39" s="21" t="n">
        <v>45517</v>
      </c>
      <c r="K39" s="19"/>
      <c r="L39" s="19"/>
      <c r="M39" s="19" t="s">
        <v>74</v>
      </c>
      <c r="N39" s="19" t="s">
        <v>70</v>
      </c>
      <c r="O39" s="22" t="n">
        <v>0</v>
      </c>
      <c r="P39" s="23" t="s">
        <v>88</v>
      </c>
      <c r="Q39" s="23" t="s">
        <v>88</v>
      </c>
      <c r="R39" s="25" t="n">
        <v>40071</v>
      </c>
      <c r="S39" s="25"/>
      <c r="T39" s="25" t="n">
        <v>1</v>
      </c>
      <c r="U39" s="25" t="n">
        <v>445.308</v>
      </c>
      <c r="V39" s="26"/>
      <c r="W39" s="26"/>
      <c r="X39" s="26"/>
      <c r="Y39" s="26"/>
      <c r="Z39" s="25"/>
      <c r="AA39" s="25"/>
      <c r="AB39" s="25"/>
      <c r="AC39" s="25"/>
      <c r="AD39" s="26"/>
      <c r="AE39" s="26"/>
      <c r="AF39" s="26"/>
      <c r="AG39" s="26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30"/>
    </row>
    <row r="40" customFormat="false" ht="15" hidden="true" customHeight="false" outlineLevel="0" collapsed="false">
      <c r="A40" s="17" t="n">
        <v>188</v>
      </c>
      <c r="B40" s="18" t="s">
        <v>63</v>
      </c>
      <c r="C40" s="19" t="str">
        <f aca="false">_xlfn.xlookup(B40,[1]Clients!B$1:B$1048576,[1]Clients!C$1:C$1048576)</f>
        <v>Digi</v>
      </c>
      <c r="D40" s="18" t="s">
        <v>63</v>
      </c>
      <c r="E40" s="19" t="str">
        <f aca="false">_xlfn.xlookup(D40,[1]Clients!B$1:B$1048576,[1]Clients!C$1:C$1048576)</f>
        <v>Digi</v>
      </c>
      <c r="F40" s="20" t="n">
        <v>45518</v>
      </c>
      <c r="G40" s="21" t="s">
        <v>58</v>
      </c>
      <c r="H40" s="19" t="n">
        <v>50008425</v>
      </c>
      <c r="I40" s="19" t="s">
        <v>64</v>
      </c>
      <c r="J40" s="21" t="n">
        <v>45527</v>
      </c>
      <c r="K40" s="19"/>
      <c r="L40" s="19"/>
      <c r="M40" s="19" t="s">
        <v>61</v>
      </c>
      <c r="N40" s="19" t="s">
        <v>65</v>
      </c>
      <c r="O40" s="22" t="n">
        <v>0</v>
      </c>
      <c r="P40" s="23" t="s">
        <v>77</v>
      </c>
      <c r="Q40" s="23" t="s">
        <v>77</v>
      </c>
      <c r="R40" s="25" t="n">
        <v>40033</v>
      </c>
      <c r="S40" s="25"/>
      <c r="T40" s="25" t="n">
        <v>60</v>
      </c>
      <c r="U40" s="25" t="n">
        <v>36000</v>
      </c>
      <c r="V40" s="26"/>
      <c r="W40" s="26"/>
      <c r="X40" s="26"/>
      <c r="Y40" s="26"/>
      <c r="Z40" s="25"/>
      <c r="AA40" s="25"/>
      <c r="AB40" s="25"/>
      <c r="AC40" s="25"/>
      <c r="AD40" s="26"/>
      <c r="AE40" s="26"/>
      <c r="AF40" s="26"/>
      <c r="AG40" s="26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30"/>
    </row>
    <row r="41" customFormat="false" ht="15" hidden="true" customHeight="false" outlineLevel="0" collapsed="false">
      <c r="A41" s="17" t="n">
        <v>189</v>
      </c>
      <c r="B41" s="18" t="s">
        <v>91</v>
      </c>
      <c r="C41" s="19" t="str">
        <f aca="false">_xlfn.xlookup(B41,[1]Clients!B$1:B$1048576,[1]Clients!C$1:C$1048576)</f>
        <v>Profecta</v>
      </c>
      <c r="D41" s="18" t="s">
        <v>91</v>
      </c>
      <c r="E41" s="19" t="str">
        <f aca="false">_xlfn.xlookup(D41,[1]Clients!B$1:B$1048576,[1]Clients!C$1:C$1048576)</f>
        <v>Profecta</v>
      </c>
      <c r="F41" s="20" t="n">
        <v>45518</v>
      </c>
      <c r="G41" s="21" t="s">
        <v>58</v>
      </c>
      <c r="H41" s="19" t="s">
        <v>113</v>
      </c>
      <c r="I41" s="19" t="s">
        <v>114</v>
      </c>
      <c r="J41" s="21" t="n">
        <v>45525</v>
      </c>
      <c r="K41" s="19"/>
      <c r="L41" s="19"/>
      <c r="M41" s="19" t="s">
        <v>74</v>
      </c>
      <c r="N41" s="19" t="s">
        <v>70</v>
      </c>
      <c r="O41" s="22" t="n">
        <v>0</v>
      </c>
      <c r="P41" s="23" t="s">
        <v>88</v>
      </c>
      <c r="Q41" s="23" t="s">
        <v>88</v>
      </c>
      <c r="R41" s="25" t="n">
        <v>40072</v>
      </c>
      <c r="S41" s="25"/>
      <c r="T41" s="25" t="n">
        <v>1</v>
      </c>
      <c r="U41" s="25" t="n">
        <v>600</v>
      </c>
      <c r="V41" s="26"/>
      <c r="W41" s="26"/>
      <c r="X41" s="26"/>
      <c r="Y41" s="26"/>
      <c r="Z41" s="25"/>
      <c r="AA41" s="25"/>
      <c r="AB41" s="25"/>
      <c r="AC41" s="25"/>
      <c r="AD41" s="26"/>
      <c r="AE41" s="26"/>
      <c r="AF41" s="26"/>
      <c r="AG41" s="26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30"/>
    </row>
    <row r="42" customFormat="false" ht="15" hidden="true" customHeight="false" outlineLevel="0" collapsed="false">
      <c r="A42" s="17" t="n">
        <v>190</v>
      </c>
      <c r="B42" s="18" t="s">
        <v>96</v>
      </c>
      <c r="C42" s="19" t="str">
        <f aca="false">_xlfn.xlookup(B42,[1]Clients!B$1:B$1048576,[1]Clients!C$1:C$1048576)</f>
        <v>Luso-Flex</v>
      </c>
      <c r="D42" s="18" t="s">
        <v>96</v>
      </c>
      <c r="E42" s="19" t="str">
        <f aca="false">_xlfn.xlookup(D42,[1]Clients!B$1:B$1048576,[1]Clients!C$1:C$1048576)</f>
        <v>Luso-Flex</v>
      </c>
      <c r="F42" s="20" t="n">
        <v>45518</v>
      </c>
      <c r="G42" s="21" t="s">
        <v>58</v>
      </c>
      <c r="H42" s="19" t="s">
        <v>113</v>
      </c>
      <c r="I42" s="19"/>
      <c r="J42" s="21" t="n">
        <v>45525</v>
      </c>
      <c r="K42" s="19"/>
      <c r="L42" s="19"/>
      <c r="M42" s="19" t="s">
        <v>74</v>
      </c>
      <c r="N42" s="19" t="s">
        <v>70</v>
      </c>
      <c r="O42" s="22" t="n">
        <v>0</v>
      </c>
      <c r="P42" s="23" t="s">
        <v>88</v>
      </c>
      <c r="Q42" s="23" t="s">
        <v>88</v>
      </c>
      <c r="R42" s="25" t="n">
        <v>40073</v>
      </c>
      <c r="S42" s="25"/>
      <c r="T42" s="25" t="n">
        <v>1</v>
      </c>
      <c r="U42" s="25" t="n">
        <v>285</v>
      </c>
      <c r="V42" s="26"/>
      <c r="W42" s="26"/>
      <c r="X42" s="26"/>
      <c r="Y42" s="26"/>
      <c r="Z42" s="25"/>
      <c r="AA42" s="25"/>
      <c r="AB42" s="25"/>
      <c r="AC42" s="25"/>
      <c r="AD42" s="26"/>
      <c r="AE42" s="26"/>
      <c r="AF42" s="26"/>
      <c r="AG42" s="26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30"/>
    </row>
    <row r="43" customFormat="false" ht="15" hidden="true" customHeight="false" outlineLevel="0" collapsed="false">
      <c r="A43" s="17" t="n">
        <v>191</v>
      </c>
      <c r="B43" s="18" t="s">
        <v>115</v>
      </c>
      <c r="C43" s="19" t="str">
        <f aca="false">_xlfn.xlookup(B43,[1]Clients!B$1:B$1048576,[1]Clients!C$1:C$1048576)</f>
        <v>Corsair</v>
      </c>
      <c r="D43" s="18" t="s">
        <v>115</v>
      </c>
      <c r="E43" s="19" t="str">
        <f aca="false">_xlfn.xlookup(D43,[1]Clients!B$1:B$1048576,[1]Clients!C$1:C$1048576)</f>
        <v>Corsair</v>
      </c>
      <c r="F43" s="20" t="n">
        <v>45518</v>
      </c>
      <c r="G43" s="21" t="s">
        <v>58</v>
      </c>
      <c r="H43" s="19" t="s">
        <v>112</v>
      </c>
      <c r="I43" s="19" t="s">
        <v>116</v>
      </c>
      <c r="J43" s="21" t="n">
        <v>45525</v>
      </c>
      <c r="K43" s="19"/>
      <c r="L43" s="19"/>
      <c r="M43" s="19" t="s">
        <v>74</v>
      </c>
      <c r="N43" s="19" t="s">
        <v>70</v>
      </c>
      <c r="O43" s="22" t="n">
        <v>0</v>
      </c>
      <c r="P43" s="23" t="s">
        <v>88</v>
      </c>
      <c r="Q43" s="23" t="s">
        <v>88</v>
      </c>
      <c r="R43" s="25" t="n">
        <v>40074</v>
      </c>
      <c r="S43" s="25"/>
      <c r="T43" s="25" t="n">
        <v>1</v>
      </c>
      <c r="U43" s="25" t="n">
        <v>451.5</v>
      </c>
      <c r="V43" s="26"/>
      <c r="W43" s="26"/>
      <c r="X43" s="26"/>
      <c r="Y43" s="26"/>
      <c r="Z43" s="25"/>
      <c r="AA43" s="25"/>
      <c r="AB43" s="25"/>
      <c r="AC43" s="25"/>
      <c r="AD43" s="26"/>
      <c r="AE43" s="26"/>
      <c r="AF43" s="26"/>
      <c r="AG43" s="26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30"/>
    </row>
    <row r="44" customFormat="false" ht="15" hidden="true" customHeight="false" outlineLevel="0" collapsed="false">
      <c r="A44" s="17" t="n">
        <v>192</v>
      </c>
      <c r="B44" s="18" t="s">
        <v>104</v>
      </c>
      <c r="C44" s="19" t="str">
        <f aca="false">_xlfn.xlookup(B44,[1]Clients!B$1:B$1048576,[1]Clients!C$1:C$1048576)</f>
        <v>Multi-Flex</v>
      </c>
      <c r="D44" s="18" t="s">
        <v>104</v>
      </c>
      <c r="E44" s="19" t="str">
        <f aca="false">_xlfn.xlookup(D44,[1]Clients!B$1:B$1048576,[1]Clients!C$1:C$1048576)</f>
        <v>Multi-Flex</v>
      </c>
      <c r="F44" s="20" t="n">
        <v>45520</v>
      </c>
      <c r="G44" s="21" t="s">
        <v>58</v>
      </c>
      <c r="H44" s="19" t="s">
        <v>117</v>
      </c>
      <c r="I44" s="19"/>
      <c r="J44" s="21" t="n">
        <v>45526</v>
      </c>
      <c r="K44" s="19"/>
      <c r="L44" s="19"/>
      <c r="M44" s="19" t="s">
        <v>74</v>
      </c>
      <c r="N44" s="19" t="s">
        <v>70</v>
      </c>
      <c r="O44" s="22" t="n">
        <v>0</v>
      </c>
      <c r="P44" s="23" t="s">
        <v>88</v>
      </c>
      <c r="Q44" s="23" t="s">
        <v>88</v>
      </c>
      <c r="R44" s="25" t="n">
        <v>40075</v>
      </c>
      <c r="S44" s="25"/>
      <c r="T44" s="25" t="n">
        <v>1</v>
      </c>
      <c r="U44" s="25" t="n">
        <v>444</v>
      </c>
      <c r="V44" s="26" t="n">
        <v>40076</v>
      </c>
      <c r="W44" s="26"/>
      <c r="X44" s="26" t="n">
        <v>1</v>
      </c>
      <c r="Y44" s="26" t="n">
        <v>577.2</v>
      </c>
      <c r="Z44" s="25"/>
      <c r="AA44" s="25"/>
      <c r="AB44" s="25"/>
      <c r="AC44" s="25"/>
      <c r="AD44" s="26"/>
      <c r="AE44" s="26"/>
      <c r="AF44" s="26"/>
      <c r="AG44" s="26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30"/>
    </row>
    <row r="45" customFormat="false" ht="15" hidden="true" customHeight="false" outlineLevel="0" collapsed="false">
      <c r="A45" s="17" t="n">
        <v>193</v>
      </c>
      <c r="B45" s="18" t="s">
        <v>63</v>
      </c>
      <c r="C45" s="19" t="str">
        <f aca="false">_xlfn.xlookup(B45,[1]Clients!B$1:B$1048576,[1]Clients!C$1:C$1048576)</f>
        <v>Digi</v>
      </c>
      <c r="D45" s="18" t="s">
        <v>63</v>
      </c>
      <c r="E45" s="19" t="str">
        <f aca="false">_xlfn.xlookup(D45,[1]Clients!B$1:B$1048576,[1]Clients!C$1:C$1048576)</f>
        <v>Digi</v>
      </c>
      <c r="F45" s="20" t="n">
        <v>45523</v>
      </c>
      <c r="G45" s="21" t="s">
        <v>58</v>
      </c>
      <c r="H45" s="19" t="n">
        <v>50008448</v>
      </c>
      <c r="I45" s="19"/>
      <c r="J45" s="21" t="n">
        <v>45527</v>
      </c>
      <c r="K45" s="19"/>
      <c r="L45" s="19"/>
      <c r="M45" s="19" t="s">
        <v>61</v>
      </c>
      <c r="N45" s="19" t="s">
        <v>65</v>
      </c>
      <c r="O45" s="22" t="n">
        <v>0</v>
      </c>
      <c r="P45" s="23" t="s">
        <v>77</v>
      </c>
      <c r="Q45" s="23" t="s">
        <v>77</v>
      </c>
      <c r="R45" s="25" t="n">
        <v>40054</v>
      </c>
      <c r="S45" s="25"/>
      <c r="T45" s="25" t="n">
        <v>24</v>
      </c>
      <c r="U45" s="25" t="n">
        <v>12960</v>
      </c>
      <c r="V45" s="26"/>
      <c r="W45" s="26"/>
      <c r="X45" s="26"/>
      <c r="Y45" s="26"/>
      <c r="Z45" s="25"/>
      <c r="AA45" s="25"/>
      <c r="AB45" s="25"/>
      <c r="AC45" s="25"/>
      <c r="AD45" s="26"/>
      <c r="AE45" s="26"/>
      <c r="AF45" s="26"/>
      <c r="AG45" s="26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30"/>
    </row>
    <row r="46" customFormat="false" ht="15" hidden="true" customHeight="false" outlineLevel="0" collapsed="false">
      <c r="A46" s="17" t="n">
        <v>194</v>
      </c>
      <c r="B46" s="18" t="s">
        <v>96</v>
      </c>
      <c r="C46" s="19" t="str">
        <f aca="false">_xlfn.xlookup(B46,[1]Clients!B$1:B$1048576,[1]Clients!C$1:C$1048576)</f>
        <v>Luso-Flex</v>
      </c>
      <c r="D46" s="18" t="s">
        <v>96</v>
      </c>
      <c r="E46" s="19" t="str">
        <f aca="false">_xlfn.xlookup(D46,[1]Clients!B$1:B$1048576,[1]Clients!C$1:C$1048576)</f>
        <v>Luso-Flex</v>
      </c>
      <c r="F46" s="20" t="n">
        <v>45525</v>
      </c>
      <c r="G46" s="21" t="s">
        <v>58</v>
      </c>
      <c r="H46" s="19" t="n">
        <v>1910</v>
      </c>
      <c r="I46" s="19" t="s">
        <v>99</v>
      </c>
      <c r="J46" s="21" t="n">
        <v>45530</v>
      </c>
      <c r="K46" s="19"/>
      <c r="L46" s="19"/>
      <c r="M46" s="19" t="s">
        <v>74</v>
      </c>
      <c r="N46" s="19" t="s">
        <v>70</v>
      </c>
      <c r="O46" s="22" t="n">
        <v>0</v>
      </c>
      <c r="P46" s="23" t="s">
        <v>88</v>
      </c>
      <c r="Q46" s="23" t="s">
        <v>88</v>
      </c>
      <c r="R46" s="25" t="n">
        <v>40060</v>
      </c>
      <c r="S46" s="25"/>
      <c r="T46" s="25" t="n">
        <v>6</v>
      </c>
      <c r="U46" s="25" t="n">
        <v>6300</v>
      </c>
      <c r="V46" s="26" t="n">
        <v>40061</v>
      </c>
      <c r="W46" s="26"/>
      <c r="X46" s="26" t="n">
        <v>1</v>
      </c>
      <c r="Y46" s="26" t="n">
        <v>900</v>
      </c>
      <c r="Z46" s="25"/>
      <c r="AA46" s="25"/>
      <c r="AB46" s="25"/>
      <c r="AC46" s="25"/>
      <c r="AD46" s="26"/>
      <c r="AE46" s="26"/>
      <c r="AF46" s="26"/>
      <c r="AG46" s="26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30"/>
    </row>
    <row r="47" customFormat="false" ht="15" hidden="true" customHeight="false" outlineLevel="0" collapsed="false">
      <c r="A47" s="17" t="n">
        <v>195</v>
      </c>
      <c r="B47" s="18" t="s">
        <v>94</v>
      </c>
      <c r="C47" s="19" t="str">
        <f aca="false">_xlfn.xlookup(B47,[1]Clients!B$1:B$1048576,[1]Clients!C$1:C$1048576)</f>
        <v>IMPSJ</v>
      </c>
      <c r="D47" s="18" t="s">
        <v>94</v>
      </c>
      <c r="E47" s="19" t="str">
        <f aca="false">_xlfn.xlookup(D47,[1]Clients!B$1:B$1048576,[1]Clients!C$1:C$1048576)</f>
        <v>IMPSJ</v>
      </c>
      <c r="F47" s="20" t="n">
        <v>45526</v>
      </c>
      <c r="G47" s="21" t="s">
        <v>58</v>
      </c>
      <c r="H47" s="19" t="n">
        <v>103322</v>
      </c>
      <c r="I47" s="19" t="s">
        <v>118</v>
      </c>
      <c r="J47" s="21" t="n">
        <v>45532</v>
      </c>
      <c r="K47" s="19" t="s">
        <v>119</v>
      </c>
      <c r="L47" s="19"/>
      <c r="M47" s="19" t="s">
        <v>74</v>
      </c>
      <c r="N47" s="19" t="s">
        <v>107</v>
      </c>
      <c r="O47" s="22" t="n">
        <v>0</v>
      </c>
      <c r="P47" s="23" t="s">
        <v>77</v>
      </c>
      <c r="Q47" s="23" t="s">
        <v>77</v>
      </c>
      <c r="R47" s="25" t="n">
        <v>40048</v>
      </c>
      <c r="S47" s="25"/>
      <c r="T47" s="25" t="n">
        <v>10</v>
      </c>
      <c r="U47" s="25" t="n">
        <v>7200</v>
      </c>
      <c r="V47" s="26"/>
      <c r="W47" s="26"/>
      <c r="X47" s="26"/>
      <c r="Y47" s="26"/>
      <c r="Z47" s="25"/>
      <c r="AA47" s="25"/>
      <c r="AB47" s="25"/>
      <c r="AC47" s="25"/>
      <c r="AD47" s="26"/>
      <c r="AE47" s="26"/>
      <c r="AF47" s="26"/>
      <c r="AG47" s="26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30"/>
    </row>
    <row r="48" customFormat="false" ht="15" hidden="true" customHeight="false" outlineLevel="0" collapsed="false">
      <c r="A48" s="17" t="n">
        <v>196</v>
      </c>
      <c r="B48" s="18" t="s">
        <v>120</v>
      </c>
      <c r="C48" s="19" t="str">
        <f aca="false">_xlfn.xlookup(B48,[1]Clients!B$1:B$1048576,[1]Clients!C$1:C$1048576)</f>
        <v>Mijo</v>
      </c>
      <c r="D48" s="18" t="s">
        <v>120</v>
      </c>
      <c r="E48" s="19" t="str">
        <f aca="false">_xlfn.xlookup(D48,[1]Clients!B$1:B$1048576,[1]Clients!C$1:C$1048576)</f>
        <v>Mijo</v>
      </c>
      <c r="F48" s="20" t="n">
        <v>45527</v>
      </c>
      <c r="G48" s="21" t="s">
        <v>58</v>
      </c>
      <c r="H48" s="19" t="s">
        <v>121</v>
      </c>
      <c r="I48" s="19" t="s">
        <v>122</v>
      </c>
      <c r="J48" s="21" t="n">
        <v>45532</v>
      </c>
      <c r="K48" s="19"/>
      <c r="L48" s="19"/>
      <c r="M48" s="19" t="s">
        <v>74</v>
      </c>
      <c r="N48" s="19" t="s">
        <v>123</v>
      </c>
      <c r="O48" s="22" t="n">
        <v>0</v>
      </c>
      <c r="P48" s="23" t="s">
        <v>88</v>
      </c>
      <c r="Q48" s="23" t="s">
        <v>88</v>
      </c>
      <c r="R48" s="25" t="n">
        <v>40077</v>
      </c>
      <c r="S48" s="25"/>
      <c r="T48" s="25" t="n">
        <v>1</v>
      </c>
      <c r="U48" s="25" t="n">
        <v>645</v>
      </c>
      <c r="V48" s="26" t="n">
        <v>40078</v>
      </c>
      <c r="W48" s="26"/>
      <c r="X48" s="26" t="n">
        <v>1</v>
      </c>
      <c r="Y48" s="26" t="n">
        <v>540</v>
      </c>
      <c r="Z48" s="25"/>
      <c r="AA48" s="25"/>
      <c r="AB48" s="25"/>
      <c r="AC48" s="25"/>
      <c r="AD48" s="26"/>
      <c r="AE48" s="26"/>
      <c r="AF48" s="26"/>
      <c r="AG48" s="26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30"/>
    </row>
    <row r="49" customFormat="false" ht="15" hidden="true" customHeight="false" outlineLevel="0" collapsed="false">
      <c r="A49" s="17" t="n">
        <v>197</v>
      </c>
      <c r="B49" s="18" t="s">
        <v>63</v>
      </c>
      <c r="C49" s="19" t="str">
        <f aca="false">_xlfn.xlookup(B49,[1]Clients!B$1:B$1048576,[1]Clients!C$1:C$1048576)</f>
        <v>Digi</v>
      </c>
      <c r="D49" s="18" t="s">
        <v>63</v>
      </c>
      <c r="E49" s="19" t="str">
        <f aca="false">_xlfn.xlookup(D49,[1]Clients!B$1:B$1048576,[1]Clients!C$1:C$1048576)</f>
        <v>Digi</v>
      </c>
      <c r="F49" s="20" t="n">
        <v>45530</v>
      </c>
      <c r="G49" s="21" t="s">
        <v>58</v>
      </c>
      <c r="H49" s="19" t="n">
        <v>50008482</v>
      </c>
      <c r="I49" s="19"/>
      <c r="J49" s="21" t="n">
        <v>45541</v>
      </c>
      <c r="K49" s="19"/>
      <c r="L49" s="19"/>
      <c r="M49" s="19" t="s">
        <v>61</v>
      </c>
      <c r="N49" s="19" t="s">
        <v>65</v>
      </c>
      <c r="O49" s="22" t="n">
        <v>0</v>
      </c>
      <c r="P49" s="23" t="s">
        <v>77</v>
      </c>
      <c r="Q49" s="23" t="s">
        <v>77</v>
      </c>
      <c r="R49" s="25" t="n">
        <v>40033</v>
      </c>
      <c r="S49" s="25"/>
      <c r="T49" s="25" t="n">
        <v>28</v>
      </c>
      <c r="U49" s="25" t="n">
        <v>16800</v>
      </c>
      <c r="V49" s="26" t="n">
        <v>40079</v>
      </c>
      <c r="W49" s="26"/>
      <c r="X49" s="26" t="n">
        <v>1</v>
      </c>
      <c r="Y49" s="26" t="n">
        <v>1</v>
      </c>
      <c r="Z49" s="25"/>
      <c r="AA49" s="25"/>
      <c r="AB49" s="25"/>
      <c r="AC49" s="25"/>
      <c r="AD49" s="26"/>
      <c r="AE49" s="26"/>
      <c r="AF49" s="26"/>
      <c r="AG49" s="26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30"/>
    </row>
    <row r="50" customFormat="false" ht="15" hidden="true" customHeight="false" outlineLevel="0" collapsed="false">
      <c r="A50" s="17" t="n">
        <v>198</v>
      </c>
      <c r="B50" s="18" t="s">
        <v>96</v>
      </c>
      <c r="C50" s="19" t="str">
        <f aca="false">_xlfn.xlookup(B50,[1]Clients!B$1:B$1048576,[1]Clients!C$1:C$1048576)</f>
        <v>Luso-Flex</v>
      </c>
      <c r="D50" s="18" t="s">
        <v>96</v>
      </c>
      <c r="E50" s="19" t="str">
        <f aca="false">_xlfn.xlookup(D50,[1]Clients!B$1:B$1048576,[1]Clients!C$1:C$1048576)</f>
        <v>Luso-Flex</v>
      </c>
      <c r="F50" s="20" t="n">
        <v>45530</v>
      </c>
      <c r="G50" s="21" t="s">
        <v>58</v>
      </c>
      <c r="H50" s="19" t="n">
        <v>1911</v>
      </c>
      <c r="I50" s="19" t="s">
        <v>99</v>
      </c>
      <c r="J50" s="21" t="n">
        <v>45532</v>
      </c>
      <c r="K50" s="19"/>
      <c r="L50" s="19"/>
      <c r="M50" s="19" t="s">
        <v>74</v>
      </c>
      <c r="N50" s="19" t="s">
        <v>70</v>
      </c>
      <c r="O50" s="22" t="n">
        <v>0</v>
      </c>
      <c r="P50" s="23" t="s">
        <v>88</v>
      </c>
      <c r="Q50" s="23" t="s">
        <v>88</v>
      </c>
      <c r="R50" s="25" t="n">
        <v>40060</v>
      </c>
      <c r="S50" s="25"/>
      <c r="T50" s="25" t="n">
        <v>12</v>
      </c>
      <c r="U50" s="25" t="n">
        <v>12600</v>
      </c>
      <c r="V50" s="26" t="n">
        <v>40061</v>
      </c>
      <c r="W50" s="26"/>
      <c r="X50" s="26" t="n">
        <v>2</v>
      </c>
      <c r="Y50" s="26" t="n">
        <v>1800</v>
      </c>
      <c r="Z50" s="25"/>
      <c r="AA50" s="25"/>
      <c r="AB50" s="25"/>
      <c r="AC50" s="25"/>
      <c r="AD50" s="26"/>
      <c r="AE50" s="26"/>
      <c r="AF50" s="26"/>
      <c r="AG50" s="26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30"/>
    </row>
    <row r="51" customFormat="false" ht="15" hidden="true" customHeight="false" outlineLevel="0" collapsed="false">
      <c r="A51" s="17" t="n">
        <v>199</v>
      </c>
      <c r="B51" s="18" t="s">
        <v>96</v>
      </c>
      <c r="C51" s="19" t="str">
        <f aca="false">_xlfn.xlookup(B51,[1]Clients!B$1:B$1048576,[1]Clients!C$1:C$1048576)</f>
        <v>Luso-Flex</v>
      </c>
      <c r="D51" s="18" t="s">
        <v>96</v>
      </c>
      <c r="E51" s="19" t="str">
        <f aca="false">_xlfn.xlookup(D51,[1]Clients!B$1:B$1048576,[1]Clients!C$1:C$1048576)</f>
        <v>Luso-Flex</v>
      </c>
      <c r="F51" s="20" t="n">
        <v>45538</v>
      </c>
      <c r="G51" s="21" t="s">
        <v>58</v>
      </c>
      <c r="H51" s="19" t="n">
        <v>1915</v>
      </c>
      <c r="I51" s="19" t="s">
        <v>99</v>
      </c>
      <c r="J51" s="21" t="n">
        <v>45541</v>
      </c>
      <c r="K51" s="19"/>
      <c r="L51" s="19"/>
      <c r="M51" s="19" t="s">
        <v>74</v>
      </c>
      <c r="N51" s="19" t="s">
        <v>70</v>
      </c>
      <c r="O51" s="22" t="n">
        <v>0</v>
      </c>
      <c r="P51" s="23" t="s">
        <v>88</v>
      </c>
      <c r="Q51" s="23" t="s">
        <v>88</v>
      </c>
      <c r="R51" s="25" t="n">
        <v>40080</v>
      </c>
      <c r="S51" s="25"/>
      <c r="T51" s="25" t="n">
        <v>13</v>
      </c>
      <c r="U51" s="25" t="n">
        <v>7199.9928</v>
      </c>
      <c r="V51" s="26"/>
      <c r="W51" s="26"/>
      <c r="X51" s="26"/>
      <c r="Y51" s="26"/>
      <c r="Z51" s="25"/>
      <c r="AA51" s="25"/>
      <c r="AB51" s="25"/>
      <c r="AC51" s="25"/>
      <c r="AD51" s="26"/>
      <c r="AE51" s="26"/>
      <c r="AF51" s="26"/>
      <c r="AG51" s="26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30"/>
    </row>
    <row r="52" customFormat="false" ht="15" hidden="true" customHeight="false" outlineLevel="0" collapsed="false">
      <c r="A52" s="17" t="n">
        <v>200</v>
      </c>
      <c r="B52" s="18" t="s">
        <v>94</v>
      </c>
      <c r="C52" s="19" t="str">
        <f aca="false">_xlfn.xlookup(B52,[1]Clients!B$1:B$1048576,[1]Clients!C$1:C$1048576)</f>
        <v>IMPSJ</v>
      </c>
      <c r="D52" s="18" t="s">
        <v>94</v>
      </c>
      <c r="E52" s="19" t="str">
        <f aca="false">_xlfn.xlookup(D52,[1]Clients!B$1:B$1048576,[1]Clients!C$1:C$1048576)</f>
        <v>IMPSJ</v>
      </c>
      <c r="F52" s="20" t="n">
        <v>45539</v>
      </c>
      <c r="G52" s="21" t="s">
        <v>58</v>
      </c>
      <c r="H52" s="19" t="n">
        <v>103562</v>
      </c>
      <c r="I52" s="19" t="s">
        <v>95</v>
      </c>
      <c r="J52" s="21" t="n">
        <v>45541</v>
      </c>
      <c r="K52" s="19" t="s">
        <v>124</v>
      </c>
      <c r="L52" s="19"/>
      <c r="M52" s="19" t="s">
        <v>74</v>
      </c>
      <c r="N52" s="19" t="s">
        <v>107</v>
      </c>
      <c r="O52" s="22" t="n">
        <v>0</v>
      </c>
      <c r="P52" s="23" t="s">
        <v>77</v>
      </c>
      <c r="Q52" s="23" t="s">
        <v>77</v>
      </c>
      <c r="R52" s="25" t="n">
        <v>40081</v>
      </c>
      <c r="S52" s="25"/>
      <c r="T52" s="25" t="n">
        <v>6</v>
      </c>
      <c r="U52" s="25" t="n">
        <v>3600</v>
      </c>
      <c r="V52" s="26" t="n">
        <v>40082</v>
      </c>
      <c r="W52" s="26"/>
      <c r="X52" s="26" t="n">
        <v>3</v>
      </c>
      <c r="Y52" s="26" t="n">
        <v>2340</v>
      </c>
      <c r="Z52" s="25" t="n">
        <v>40083</v>
      </c>
      <c r="AA52" s="25"/>
      <c r="AB52" s="25" t="n">
        <v>2</v>
      </c>
      <c r="AC52" s="25" t="n">
        <v>1260</v>
      </c>
      <c r="AD52" s="26"/>
      <c r="AE52" s="26"/>
      <c r="AF52" s="26"/>
      <c r="AG52" s="26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30"/>
    </row>
    <row r="53" customFormat="false" ht="15" hidden="true" customHeight="false" outlineLevel="0" collapsed="false">
      <c r="A53" s="17" t="n">
        <v>201</v>
      </c>
      <c r="B53" s="18" t="s">
        <v>94</v>
      </c>
      <c r="C53" s="19" t="str">
        <f aca="false">_xlfn.xlookup(B53,[1]Clients!B$1:B$1048576,[1]Clients!C$1:C$1048576)</f>
        <v>IMPSJ</v>
      </c>
      <c r="D53" s="18" t="s">
        <v>94</v>
      </c>
      <c r="E53" s="19" t="str">
        <f aca="false">_xlfn.xlookup(D53,[1]Clients!B$1:B$1048576,[1]Clients!C$1:C$1048576)</f>
        <v>IMPSJ</v>
      </c>
      <c r="F53" s="20" t="n">
        <v>45539</v>
      </c>
      <c r="G53" s="21" t="s">
        <v>58</v>
      </c>
      <c r="H53" s="19" t="n">
        <v>103563</v>
      </c>
      <c r="I53" s="19" t="s">
        <v>95</v>
      </c>
      <c r="J53" s="21" t="n">
        <v>45541</v>
      </c>
      <c r="K53" s="19" t="s">
        <v>125</v>
      </c>
      <c r="L53" s="19"/>
      <c r="M53" s="19" t="s">
        <v>74</v>
      </c>
      <c r="N53" s="19" t="s">
        <v>107</v>
      </c>
      <c r="O53" s="22" t="n">
        <v>0</v>
      </c>
      <c r="P53" s="23" t="s">
        <v>77</v>
      </c>
      <c r="Q53" s="23" t="s">
        <v>77</v>
      </c>
      <c r="R53" s="25" t="n">
        <v>40067</v>
      </c>
      <c r="S53" s="25"/>
      <c r="T53" s="25" t="n">
        <v>5</v>
      </c>
      <c r="U53" s="25" t="n">
        <v>3600</v>
      </c>
      <c r="V53" s="26"/>
      <c r="W53" s="26"/>
      <c r="X53" s="26"/>
      <c r="Y53" s="26"/>
      <c r="Z53" s="25"/>
      <c r="AA53" s="25"/>
      <c r="AB53" s="25"/>
      <c r="AC53" s="25"/>
      <c r="AD53" s="26"/>
      <c r="AE53" s="26"/>
      <c r="AF53" s="26"/>
      <c r="AG53" s="26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30"/>
    </row>
    <row r="54" customFormat="false" ht="15" hidden="true" customHeight="false" outlineLevel="0" collapsed="false">
      <c r="A54" s="17" t="n">
        <v>202</v>
      </c>
      <c r="B54" s="18" t="s">
        <v>94</v>
      </c>
      <c r="C54" s="19" t="str">
        <f aca="false">_xlfn.xlookup(B54,[1]Clients!B$1:B$1048576,[1]Clients!C$1:C$1048576)</f>
        <v>IMPSJ</v>
      </c>
      <c r="D54" s="18" t="s">
        <v>94</v>
      </c>
      <c r="E54" s="19" t="str">
        <f aca="false">_xlfn.xlookup(D54,[1]Clients!B$1:B$1048576,[1]Clients!C$1:C$1048576)</f>
        <v>IMPSJ</v>
      </c>
      <c r="F54" s="20" t="n">
        <v>45539</v>
      </c>
      <c r="G54" s="21" t="s">
        <v>58</v>
      </c>
      <c r="H54" s="19" t="n">
        <v>103564</v>
      </c>
      <c r="I54" s="19" t="s">
        <v>95</v>
      </c>
      <c r="J54" s="21" t="n">
        <v>45541</v>
      </c>
      <c r="K54" s="19" t="s">
        <v>126</v>
      </c>
      <c r="L54" s="19"/>
      <c r="M54" s="19" t="s">
        <v>74</v>
      </c>
      <c r="N54" s="19" t="s">
        <v>107</v>
      </c>
      <c r="O54" s="22" t="n">
        <v>0</v>
      </c>
      <c r="P54" s="23" t="s">
        <v>77</v>
      </c>
      <c r="Q54" s="23" t="s">
        <v>77</v>
      </c>
      <c r="R54" s="25" t="n">
        <v>40084</v>
      </c>
      <c r="S54" s="25"/>
      <c r="T54" s="25" t="n">
        <v>1</v>
      </c>
      <c r="U54" s="25" t="n">
        <v>720</v>
      </c>
      <c r="V54" s="26"/>
      <c r="W54" s="26"/>
      <c r="X54" s="26"/>
      <c r="Y54" s="26"/>
      <c r="Z54" s="25"/>
      <c r="AA54" s="25"/>
      <c r="AB54" s="25"/>
      <c r="AC54" s="25"/>
      <c r="AD54" s="26"/>
      <c r="AE54" s="26"/>
      <c r="AF54" s="26"/>
      <c r="AG54" s="26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30"/>
    </row>
    <row r="55" customFormat="false" ht="15" hidden="true" customHeight="false" outlineLevel="0" collapsed="false">
      <c r="A55" s="17" t="n">
        <v>203</v>
      </c>
      <c r="B55" s="18" t="s">
        <v>96</v>
      </c>
      <c r="C55" s="19" t="str">
        <f aca="false">_xlfn.xlookup(B55,[1]Clients!B$1:B$1048576,[1]Clients!C$1:C$1048576)</f>
        <v>Luso-Flex</v>
      </c>
      <c r="D55" s="18" t="s">
        <v>96</v>
      </c>
      <c r="E55" s="19" t="str">
        <f aca="false">_xlfn.xlookup(D55,[1]Clients!B$1:B$1048576,[1]Clients!C$1:C$1048576)</f>
        <v>Luso-Flex</v>
      </c>
      <c r="F55" s="20" t="n">
        <v>45540</v>
      </c>
      <c r="G55" s="21" t="s">
        <v>58</v>
      </c>
      <c r="H55" s="19" t="n">
        <v>1916</v>
      </c>
      <c r="I55" s="19" t="s">
        <v>99</v>
      </c>
      <c r="J55" s="21" t="n">
        <v>45546</v>
      </c>
      <c r="K55" s="19"/>
      <c r="L55" s="19"/>
      <c r="M55" s="19" t="s">
        <v>74</v>
      </c>
      <c r="N55" s="19" t="s">
        <v>70</v>
      </c>
      <c r="O55" s="22" t="n">
        <v>0</v>
      </c>
      <c r="P55" s="23" t="s">
        <v>88</v>
      </c>
      <c r="Q55" s="23" t="s">
        <v>88</v>
      </c>
      <c r="R55" s="25" t="n">
        <v>40085</v>
      </c>
      <c r="S55" s="25"/>
      <c r="T55" s="25" t="n">
        <v>9</v>
      </c>
      <c r="U55" s="25" t="n">
        <v>12150</v>
      </c>
      <c r="V55" s="26" t="n">
        <v>40060</v>
      </c>
      <c r="W55" s="26"/>
      <c r="X55" s="26" t="n">
        <v>9</v>
      </c>
      <c r="Y55" s="26" t="n">
        <v>9450</v>
      </c>
      <c r="Z55" s="25"/>
      <c r="AA55" s="25"/>
      <c r="AB55" s="25"/>
      <c r="AC55" s="25"/>
      <c r="AD55" s="26"/>
      <c r="AE55" s="26"/>
      <c r="AF55" s="26"/>
      <c r="AG55" s="26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30"/>
    </row>
    <row r="56" customFormat="false" ht="15" hidden="true" customHeight="false" outlineLevel="0" collapsed="false">
      <c r="A56" s="17" t="n">
        <v>204</v>
      </c>
      <c r="B56" s="18" t="s">
        <v>127</v>
      </c>
      <c r="C56" s="19" t="str">
        <f aca="false">_xlfn.xlookup(B56,[1]Clients!B$1:B$1048576,[1]Clients!C$1:C$1048576)</f>
        <v>iFlex</v>
      </c>
      <c r="D56" s="18" t="s">
        <v>127</v>
      </c>
      <c r="E56" s="19" t="str">
        <f aca="false">_xlfn.xlookup(D56,[1]Clients!B$1:B$1048576,[1]Clients!C$1:C$1048576)</f>
        <v>iFlex</v>
      </c>
      <c r="F56" s="20" t="n">
        <v>45541</v>
      </c>
      <c r="G56" s="21" t="s">
        <v>58</v>
      </c>
      <c r="H56" s="19" t="s">
        <v>128</v>
      </c>
      <c r="I56" s="19"/>
      <c r="J56" s="21" t="n">
        <v>45546</v>
      </c>
      <c r="K56" s="19"/>
      <c r="L56" s="19"/>
      <c r="M56" s="19" t="s">
        <v>74</v>
      </c>
      <c r="N56" s="19" t="s">
        <v>70</v>
      </c>
      <c r="O56" s="22" t="n">
        <v>0</v>
      </c>
      <c r="P56" s="23" t="s">
        <v>88</v>
      </c>
      <c r="Q56" s="23" t="s">
        <v>88</v>
      </c>
      <c r="R56" s="25" t="n">
        <v>40086</v>
      </c>
      <c r="S56" s="25"/>
      <c r="T56" s="25" t="n">
        <v>1</v>
      </c>
      <c r="U56" s="25" t="n">
        <v>780</v>
      </c>
      <c r="V56" s="26" t="n">
        <v>40087</v>
      </c>
      <c r="W56" s="26"/>
      <c r="X56" s="26" t="n">
        <v>1</v>
      </c>
      <c r="Y56" s="26" t="n">
        <v>780</v>
      </c>
      <c r="Z56" s="25"/>
      <c r="AA56" s="25"/>
      <c r="AB56" s="25"/>
      <c r="AC56" s="25"/>
      <c r="AD56" s="26"/>
      <c r="AE56" s="26"/>
      <c r="AF56" s="26"/>
      <c r="AG56" s="26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30"/>
    </row>
    <row r="57" customFormat="false" ht="15" hidden="true" customHeight="false" outlineLevel="0" collapsed="false">
      <c r="A57" s="17" t="n">
        <v>205</v>
      </c>
      <c r="B57" s="18" t="s">
        <v>94</v>
      </c>
      <c r="C57" s="19" t="str">
        <f aca="false">_xlfn.xlookup(B57,[1]Clients!B$1:B$1048576,[1]Clients!C$1:C$1048576)</f>
        <v>IMPSJ</v>
      </c>
      <c r="D57" s="18" t="s">
        <v>94</v>
      </c>
      <c r="E57" s="19" t="str">
        <f aca="false">_xlfn.xlookup(D57,[1]Clients!B$1:B$1048576,[1]Clients!C$1:C$1048576)</f>
        <v>IMPSJ</v>
      </c>
      <c r="F57" s="20" t="n">
        <v>45541</v>
      </c>
      <c r="G57" s="21" t="s">
        <v>58</v>
      </c>
      <c r="H57" s="19" t="n">
        <v>103653</v>
      </c>
      <c r="I57" s="19" t="s">
        <v>95</v>
      </c>
      <c r="J57" s="21" t="n">
        <v>45546</v>
      </c>
      <c r="K57" s="19" t="s">
        <v>125</v>
      </c>
      <c r="L57" s="19"/>
      <c r="M57" s="19" t="s">
        <v>74</v>
      </c>
      <c r="N57" s="19" t="s">
        <v>107</v>
      </c>
      <c r="O57" s="22" t="n">
        <v>0</v>
      </c>
      <c r="P57" s="23" t="s">
        <v>77</v>
      </c>
      <c r="Q57" s="23" t="s">
        <v>77</v>
      </c>
      <c r="R57" s="25" t="n">
        <v>40088</v>
      </c>
      <c r="S57" s="25"/>
      <c r="T57" s="25" t="n">
        <v>3</v>
      </c>
      <c r="U57" s="25" t="n">
        <v>3600</v>
      </c>
      <c r="V57" s="26"/>
      <c r="W57" s="26"/>
      <c r="X57" s="26"/>
      <c r="Y57" s="26"/>
      <c r="Z57" s="25"/>
      <c r="AA57" s="25"/>
      <c r="AB57" s="25"/>
      <c r="AC57" s="25"/>
      <c r="AD57" s="26"/>
      <c r="AE57" s="26"/>
      <c r="AF57" s="26"/>
      <c r="AG57" s="26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30"/>
    </row>
    <row r="58" customFormat="false" ht="15" hidden="true" customHeight="false" outlineLevel="0" collapsed="false">
      <c r="A58" s="17" t="n">
        <v>206</v>
      </c>
      <c r="B58" s="18" t="s">
        <v>89</v>
      </c>
      <c r="C58" s="19" t="str">
        <f aca="false">_xlfn.xlookup(B58,[1]Clients!B$1:B$1048576,[1]Clients!C$1:C$1048576)</f>
        <v>Produlith</v>
      </c>
      <c r="D58" s="18" t="s">
        <v>89</v>
      </c>
      <c r="E58" s="19" t="str">
        <f aca="false">_xlfn.xlookup(D58,[1]Clients!B$1:B$1048576,[1]Clients!C$1:C$1048576)</f>
        <v>Produlith</v>
      </c>
      <c r="F58" s="20" t="n">
        <v>45544</v>
      </c>
      <c r="G58" s="21" t="s">
        <v>58</v>
      </c>
      <c r="H58" s="19" t="n">
        <v>31469</v>
      </c>
      <c r="I58" s="19" t="s">
        <v>90</v>
      </c>
      <c r="J58" s="21" t="n">
        <v>45547</v>
      </c>
      <c r="K58" s="19"/>
      <c r="L58" s="19" t="s">
        <v>98</v>
      </c>
      <c r="M58" s="19" t="s">
        <v>74</v>
      </c>
      <c r="N58" s="19" t="s">
        <v>103</v>
      </c>
      <c r="O58" s="22" t="n">
        <v>0</v>
      </c>
      <c r="P58" s="23" t="s">
        <v>77</v>
      </c>
      <c r="Q58" s="23" t="s">
        <v>77</v>
      </c>
      <c r="R58" s="25" t="n">
        <v>40089</v>
      </c>
      <c r="S58" s="25"/>
      <c r="T58" s="25" t="n">
        <v>4</v>
      </c>
      <c r="U58" s="25" t="n">
        <v>3600</v>
      </c>
      <c r="V58" s="26"/>
      <c r="W58" s="26"/>
      <c r="X58" s="26"/>
      <c r="Y58" s="26"/>
      <c r="Z58" s="25"/>
      <c r="AA58" s="25"/>
      <c r="AB58" s="25"/>
      <c r="AC58" s="25"/>
      <c r="AD58" s="26"/>
      <c r="AE58" s="26"/>
      <c r="AF58" s="26"/>
      <c r="AG58" s="26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30"/>
    </row>
    <row r="59" customFormat="false" ht="15" hidden="true" customHeight="false" outlineLevel="0" collapsed="false">
      <c r="A59" s="17" t="n">
        <v>207</v>
      </c>
      <c r="B59" s="18" t="s">
        <v>109</v>
      </c>
      <c r="C59" s="19" t="str">
        <f aca="false">_xlfn.xlookup(B59,[1]Clients!B$1:B$1048576,[1]Clients!C$1:C$1048576)</f>
        <v>Visuascan</v>
      </c>
      <c r="D59" s="18" t="s">
        <v>109</v>
      </c>
      <c r="E59" s="19" t="str">
        <f aca="false">_xlfn.xlookup(D59,[1]Clients!B$1:B$1048576,[1]Clients!C$1:C$1048576)</f>
        <v>Visuascan</v>
      </c>
      <c r="F59" s="20" t="n">
        <v>45546</v>
      </c>
      <c r="G59" s="21" t="s">
        <v>58</v>
      </c>
      <c r="H59" s="19" t="s">
        <v>129</v>
      </c>
      <c r="I59" s="19" t="s">
        <v>130</v>
      </c>
      <c r="J59" s="21" t="n">
        <v>45551</v>
      </c>
      <c r="K59" s="19"/>
      <c r="L59" s="19" t="n">
        <v>0</v>
      </c>
      <c r="M59" s="19" t="s">
        <v>74</v>
      </c>
      <c r="N59" s="19" t="s">
        <v>70</v>
      </c>
      <c r="O59" s="22" t="n">
        <v>0</v>
      </c>
      <c r="P59" s="23" t="s">
        <v>88</v>
      </c>
      <c r="Q59" s="23" t="s">
        <v>88</v>
      </c>
      <c r="R59" s="25" t="n">
        <v>40090</v>
      </c>
      <c r="S59" s="25"/>
      <c r="T59" s="25" t="n">
        <v>2</v>
      </c>
      <c r="U59" s="25" t="n">
        <v>2040</v>
      </c>
      <c r="V59" s="26" t="n">
        <v>40091</v>
      </c>
      <c r="W59" s="26"/>
      <c r="X59" s="26" t="n">
        <v>6</v>
      </c>
      <c r="Y59" s="26" t="n">
        <v>4680</v>
      </c>
      <c r="Z59" s="25" t="n">
        <v>40092</v>
      </c>
      <c r="AA59" s="25"/>
      <c r="AB59" s="25" t="n">
        <v>1</v>
      </c>
      <c r="AC59" s="25" t="n">
        <v>480</v>
      </c>
      <c r="AD59" s="26"/>
      <c r="AE59" s="26"/>
      <c r="AF59" s="26"/>
      <c r="AG59" s="26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30"/>
    </row>
    <row r="60" customFormat="false" ht="15" hidden="true" customHeight="false" outlineLevel="0" collapsed="false">
      <c r="A60" s="17" t="n">
        <v>208</v>
      </c>
      <c r="B60" s="18" t="s">
        <v>131</v>
      </c>
      <c r="C60" s="19" t="str">
        <f aca="false">_xlfn.xlookup(B60,[1]Clients!B$1:B$1048576,[1]Clients!C$1:C$1048576)</f>
        <v>LabelEdge</v>
      </c>
      <c r="D60" s="18" t="s">
        <v>131</v>
      </c>
      <c r="E60" s="19" t="str">
        <f aca="false">_xlfn.xlookup(D60,[1]Clients!B$1:B$1048576,[1]Clients!C$1:C$1048576)</f>
        <v>LabelEdge</v>
      </c>
      <c r="F60" s="20" t="n">
        <v>45553</v>
      </c>
      <c r="G60" s="21" t="s">
        <v>58</v>
      </c>
      <c r="H60" s="19" t="s">
        <v>132</v>
      </c>
      <c r="I60" s="19"/>
      <c r="J60" s="21" t="n">
        <v>45553</v>
      </c>
      <c r="K60" s="19"/>
      <c r="L60" s="19" t="n">
        <v>0</v>
      </c>
      <c r="M60" s="19" t="s">
        <v>74</v>
      </c>
      <c r="N60" s="19" t="s">
        <v>133</v>
      </c>
      <c r="O60" s="22" t="n">
        <v>0</v>
      </c>
      <c r="P60" s="23" t="s">
        <v>88</v>
      </c>
      <c r="Q60" s="23" t="s">
        <v>88</v>
      </c>
      <c r="R60" s="25" t="n">
        <v>40093</v>
      </c>
      <c r="S60" s="25"/>
      <c r="T60" s="25" t="n">
        <v>3</v>
      </c>
      <c r="U60" s="25" t="n">
        <v>5904</v>
      </c>
      <c r="V60" s="26"/>
      <c r="W60" s="26"/>
      <c r="X60" s="26"/>
      <c r="Y60" s="26"/>
      <c r="Z60" s="25"/>
      <c r="AA60" s="25"/>
      <c r="AB60" s="25"/>
      <c r="AC60" s="25"/>
      <c r="AD60" s="26"/>
      <c r="AE60" s="26"/>
      <c r="AF60" s="26"/>
      <c r="AG60" s="26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30"/>
    </row>
    <row r="61" customFormat="false" ht="15" hidden="true" customHeight="false" outlineLevel="0" collapsed="false">
      <c r="A61" s="17" t="n">
        <v>209</v>
      </c>
      <c r="B61" s="18" t="s">
        <v>134</v>
      </c>
      <c r="C61" s="19" t="str">
        <f aca="false">_xlfn.xlookup(B61,[1]Clients!B$1:B$1048576,[1]Clients!C$1:C$1048576)</f>
        <v>Multi-Flex</v>
      </c>
      <c r="D61" s="18" t="s">
        <v>134</v>
      </c>
      <c r="E61" s="19" t="str">
        <f aca="false">_xlfn.xlookup(D61,[1]Clients!B$1:B$1048576,[1]Clients!C$1:C$1048576)</f>
        <v>Multi-Flex</v>
      </c>
      <c r="F61" s="20" t="n">
        <v>45554</v>
      </c>
      <c r="G61" s="21" t="s">
        <v>58</v>
      </c>
      <c r="H61" s="19" t="n">
        <v>9710</v>
      </c>
      <c r="I61" s="19" t="s">
        <v>135</v>
      </c>
      <c r="J61" s="21" t="n">
        <v>45554</v>
      </c>
      <c r="K61" s="19"/>
      <c r="L61" s="19" t="n">
        <v>0</v>
      </c>
      <c r="M61" s="19" t="s">
        <v>74</v>
      </c>
      <c r="N61" s="19" t="s">
        <v>70</v>
      </c>
      <c r="O61" s="22" t="n">
        <v>0</v>
      </c>
      <c r="P61" s="23" t="s">
        <v>88</v>
      </c>
      <c r="Q61" s="23" t="s">
        <v>88</v>
      </c>
      <c r="R61" s="25" t="n">
        <v>40094</v>
      </c>
      <c r="S61" s="25"/>
      <c r="T61" s="25" t="n">
        <v>4</v>
      </c>
      <c r="U61" s="25" t="n">
        <v>3120</v>
      </c>
      <c r="V61" s="26" t="n">
        <v>40095</v>
      </c>
      <c r="W61" s="26"/>
      <c r="X61" s="26" t="n">
        <v>1</v>
      </c>
      <c r="Y61" s="26" t="n">
        <v>480</v>
      </c>
      <c r="Z61" s="25" t="n">
        <v>40096</v>
      </c>
      <c r="AA61" s="25"/>
      <c r="AB61" s="25" t="n">
        <v>8</v>
      </c>
      <c r="AC61" s="25" t="n">
        <v>6240</v>
      </c>
      <c r="AD61" s="26" t="n">
        <v>40097</v>
      </c>
      <c r="AE61" s="26"/>
      <c r="AF61" s="26" t="n">
        <v>2</v>
      </c>
      <c r="AG61" s="26" t="n">
        <v>960</v>
      </c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30"/>
    </row>
    <row r="62" customFormat="false" ht="15" hidden="true" customHeight="false" outlineLevel="0" collapsed="false">
      <c r="A62" s="17" t="n">
        <v>210</v>
      </c>
      <c r="B62" s="18" t="s">
        <v>96</v>
      </c>
      <c r="C62" s="19" t="str">
        <f aca="false">_xlfn.xlookup(B62,[1]Clients!B$1:B$1048576,[1]Clients!C$1:C$1048576)</f>
        <v>Luso-Flex</v>
      </c>
      <c r="D62" s="18" t="s">
        <v>96</v>
      </c>
      <c r="E62" s="19" t="str">
        <f aca="false">_xlfn.xlookup(D62,[1]Clients!B$1:B$1048576,[1]Clients!C$1:C$1048576)</f>
        <v>Luso-Flex</v>
      </c>
      <c r="F62" s="20" t="n">
        <v>45559</v>
      </c>
      <c r="G62" s="21" t="s">
        <v>58</v>
      </c>
      <c r="H62" s="19" t="n">
        <v>1924</v>
      </c>
      <c r="I62" s="19" t="s">
        <v>99</v>
      </c>
      <c r="J62" s="21" t="n">
        <v>45565</v>
      </c>
      <c r="K62" s="19"/>
      <c r="L62" s="19" t="n">
        <v>0</v>
      </c>
      <c r="M62" s="19" t="s">
        <v>74</v>
      </c>
      <c r="N62" s="19" t="s">
        <v>70</v>
      </c>
      <c r="O62" s="22" t="n">
        <v>0</v>
      </c>
      <c r="P62" s="23" t="s">
        <v>88</v>
      </c>
      <c r="Q62" s="23" t="s">
        <v>88</v>
      </c>
      <c r="R62" s="25" t="n">
        <v>40098</v>
      </c>
      <c r="S62" s="25"/>
      <c r="T62" s="25" t="n">
        <v>14</v>
      </c>
      <c r="U62" s="25" t="n">
        <v>14397.6</v>
      </c>
      <c r="V62" s="26" t="n">
        <v>40099</v>
      </c>
      <c r="W62" s="26" t="s">
        <v>136</v>
      </c>
      <c r="X62" s="26" t="n">
        <v>7</v>
      </c>
      <c r="Y62" s="26" t="n">
        <v>1799.7</v>
      </c>
      <c r="Z62" s="25"/>
      <c r="AA62" s="25"/>
      <c r="AB62" s="25"/>
      <c r="AC62" s="25"/>
      <c r="AD62" s="26"/>
      <c r="AE62" s="26"/>
      <c r="AF62" s="26"/>
      <c r="AG62" s="26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30"/>
    </row>
    <row r="63" customFormat="false" ht="15" hidden="true" customHeight="false" outlineLevel="0" collapsed="false">
      <c r="A63" s="17" t="n">
        <v>211</v>
      </c>
      <c r="B63" s="18" t="s">
        <v>96</v>
      </c>
      <c r="C63" s="19" t="str">
        <f aca="false">_xlfn.xlookup(B63,[1]Clients!B$1:B$1048576,[1]Clients!C$1:C$1048576)</f>
        <v>Luso-Flex</v>
      </c>
      <c r="D63" s="18" t="s">
        <v>96</v>
      </c>
      <c r="E63" s="19" t="str">
        <f aca="false">_xlfn.xlookup(D63,[1]Clients!B$1:B$1048576,[1]Clients!C$1:C$1048576)</f>
        <v>Luso-Flex</v>
      </c>
      <c r="F63" s="20" t="n">
        <v>45559</v>
      </c>
      <c r="G63" s="21" t="s">
        <v>58</v>
      </c>
      <c r="H63" s="19" t="n">
        <v>1925</v>
      </c>
      <c r="I63" s="19" t="s">
        <v>99</v>
      </c>
      <c r="J63" s="21" t="n">
        <v>45565</v>
      </c>
      <c r="K63" s="19"/>
      <c r="L63" s="19" t="n">
        <v>0</v>
      </c>
      <c r="M63" s="19" t="s">
        <v>74</v>
      </c>
      <c r="N63" s="19" t="s">
        <v>70</v>
      </c>
      <c r="O63" s="22" t="n">
        <v>0</v>
      </c>
      <c r="P63" s="23" t="s">
        <v>88</v>
      </c>
      <c r="Q63" s="23" t="s">
        <v>88</v>
      </c>
      <c r="R63" s="25" t="n">
        <v>40100</v>
      </c>
      <c r="S63" s="25"/>
      <c r="T63" s="25" t="n">
        <v>14</v>
      </c>
      <c r="U63" s="25" t="n">
        <v>14397.6</v>
      </c>
      <c r="V63" s="26"/>
      <c r="W63" s="26"/>
      <c r="X63" s="26"/>
      <c r="Y63" s="26"/>
      <c r="Z63" s="25"/>
      <c r="AA63" s="25"/>
      <c r="AB63" s="25"/>
      <c r="AC63" s="25"/>
      <c r="AD63" s="26"/>
      <c r="AE63" s="26"/>
      <c r="AF63" s="26"/>
      <c r="AG63" s="26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30"/>
    </row>
    <row r="64" customFormat="false" ht="15" hidden="true" customHeight="false" outlineLevel="0" collapsed="false">
      <c r="A64" s="17" t="n">
        <v>212</v>
      </c>
      <c r="B64" s="18" t="s">
        <v>85</v>
      </c>
      <c r="C64" s="19" t="str">
        <f aca="false">_xlfn.xlookup(B64,[1]Clients!B$1:B$1048576,[1]Clients!C$1:C$1048576)</f>
        <v>Étiquettes Rive-Sud</v>
      </c>
      <c r="D64" s="18" t="s">
        <v>85</v>
      </c>
      <c r="E64" s="19" t="str">
        <f aca="false">_xlfn.xlookup(D64,[1]Clients!B$1:B$1048576,[1]Clients!C$1:C$1048576)</f>
        <v>Étiquettes Rive-Sud</v>
      </c>
      <c r="F64" s="20" t="n">
        <v>45559</v>
      </c>
      <c r="G64" s="21" t="s">
        <v>58</v>
      </c>
      <c r="H64" s="19" t="n">
        <v>240924</v>
      </c>
      <c r="I64" s="19" t="s">
        <v>86</v>
      </c>
      <c r="J64" s="21" t="n">
        <v>45565</v>
      </c>
      <c r="K64" s="19"/>
      <c r="L64" s="19" t="n">
        <v>0</v>
      </c>
      <c r="M64" s="19" t="s">
        <v>74</v>
      </c>
      <c r="N64" s="19" t="s">
        <v>70</v>
      </c>
      <c r="O64" s="22" t="n">
        <v>0</v>
      </c>
      <c r="P64" s="23" t="s">
        <v>88</v>
      </c>
      <c r="Q64" s="23" t="s">
        <v>88</v>
      </c>
      <c r="R64" s="25" t="n">
        <v>40101</v>
      </c>
      <c r="S64" s="25" t="s">
        <v>137</v>
      </c>
      <c r="T64" s="25" t="n">
        <v>7</v>
      </c>
      <c r="U64" s="25" t="n">
        <v>5056.8</v>
      </c>
      <c r="V64" s="26" t="n">
        <v>40102</v>
      </c>
      <c r="W64" s="26" t="s">
        <v>138</v>
      </c>
      <c r="X64" s="26" t="n">
        <v>1</v>
      </c>
      <c r="Y64" s="26" t="n">
        <v>552.9</v>
      </c>
      <c r="Z64" s="25"/>
      <c r="AA64" s="25"/>
      <c r="AB64" s="25"/>
      <c r="AC64" s="25"/>
      <c r="AD64" s="26"/>
      <c r="AE64" s="26"/>
      <c r="AF64" s="26"/>
      <c r="AG64" s="26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30"/>
    </row>
    <row r="65" customFormat="false" ht="15" hidden="true" customHeight="false" outlineLevel="0" collapsed="false">
      <c r="A65" s="17" t="n">
        <v>213</v>
      </c>
      <c r="B65" s="18" t="s">
        <v>63</v>
      </c>
      <c r="C65" s="19" t="str">
        <f aca="false">_xlfn.xlookup(B65,[1]Clients!B$1:B$1048576,[1]Clients!C$1:C$1048576)</f>
        <v>Digi</v>
      </c>
      <c r="D65" s="18" t="s">
        <v>63</v>
      </c>
      <c r="E65" s="19" t="str">
        <f aca="false">_xlfn.xlookup(D65,[1]Clients!B$1:B$1048576,[1]Clients!C$1:C$1048576)</f>
        <v>Digi</v>
      </c>
      <c r="F65" s="20" t="n">
        <v>45560</v>
      </c>
      <c r="G65" s="21" t="s">
        <v>58</v>
      </c>
      <c r="H65" s="19" t="n">
        <v>50008607</v>
      </c>
      <c r="I65" s="19" t="s">
        <v>76</v>
      </c>
      <c r="J65" s="21" t="n">
        <v>45573</v>
      </c>
      <c r="K65" s="19"/>
      <c r="L65" s="19" t="n">
        <v>0</v>
      </c>
      <c r="M65" s="19" t="s">
        <v>61</v>
      </c>
      <c r="N65" s="19" t="s">
        <v>65</v>
      </c>
      <c r="O65" s="22" t="n">
        <v>0</v>
      </c>
      <c r="P65" s="23" t="s">
        <v>77</v>
      </c>
      <c r="Q65" s="23" t="s">
        <v>77</v>
      </c>
      <c r="R65" s="25" t="n">
        <v>40103</v>
      </c>
      <c r="S65" s="25" t="s">
        <v>139</v>
      </c>
      <c r="T65" s="25" t="n">
        <v>60</v>
      </c>
      <c r="U65" s="25" t="n">
        <v>36000</v>
      </c>
      <c r="V65" s="26" t="n">
        <v>40079</v>
      </c>
      <c r="W65" s="26" t="s">
        <v>140</v>
      </c>
      <c r="X65" s="26" t="n">
        <v>1</v>
      </c>
      <c r="Y65" s="26" t="n">
        <v>1</v>
      </c>
      <c r="Z65" s="25"/>
      <c r="AA65" s="25"/>
      <c r="AB65" s="25"/>
      <c r="AC65" s="25"/>
      <c r="AD65" s="26"/>
      <c r="AE65" s="26"/>
      <c r="AF65" s="26"/>
      <c r="AG65" s="26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30"/>
    </row>
    <row r="66" customFormat="false" ht="15" hidden="true" customHeight="false" outlineLevel="0" collapsed="false">
      <c r="A66" s="17" t="n">
        <v>214</v>
      </c>
      <c r="B66" s="18" t="s">
        <v>141</v>
      </c>
      <c r="C66" s="19" t="str">
        <f aca="false">_xlfn.xlookup(B66,[1]Clients!B$1:B$1048576,[1]Clients!C$1:C$1048576)</f>
        <v>Amstik</v>
      </c>
      <c r="D66" s="18" t="s">
        <v>141</v>
      </c>
      <c r="E66" s="19" t="str">
        <f aca="false">_xlfn.xlookup(D66,[1]Clients!B$1:B$1048576,[1]Clients!C$1:C$1048576)</f>
        <v>Amstik</v>
      </c>
      <c r="F66" s="20" t="n">
        <v>45566</v>
      </c>
      <c r="G66" s="21" t="s">
        <v>58</v>
      </c>
      <c r="H66" s="19" t="s">
        <v>112</v>
      </c>
      <c r="I66" s="19" t="s">
        <v>142</v>
      </c>
      <c r="J66" s="21" t="n">
        <v>45573</v>
      </c>
      <c r="K66" s="19"/>
      <c r="L66" s="19" t="n">
        <v>0</v>
      </c>
      <c r="M66" s="19" t="s">
        <v>74</v>
      </c>
      <c r="N66" s="19" t="s">
        <v>70</v>
      </c>
      <c r="O66" s="22" t="n">
        <v>0</v>
      </c>
      <c r="P66" s="23" t="s">
        <v>88</v>
      </c>
      <c r="Q66" s="23" t="s">
        <v>88</v>
      </c>
      <c r="R66" s="25" t="n">
        <v>40104</v>
      </c>
      <c r="S66" s="25" t="s">
        <v>143</v>
      </c>
      <c r="T66" s="25" t="n">
        <v>1</v>
      </c>
      <c r="U66" s="25" t="n">
        <v>393.45</v>
      </c>
      <c r="V66" s="26"/>
      <c r="W66" s="26"/>
      <c r="X66" s="26"/>
      <c r="Y66" s="26"/>
      <c r="Z66" s="25"/>
      <c r="AA66" s="25"/>
      <c r="AB66" s="25"/>
      <c r="AC66" s="25"/>
      <c r="AD66" s="26"/>
      <c r="AE66" s="26"/>
      <c r="AF66" s="26"/>
      <c r="AG66" s="26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30"/>
    </row>
    <row r="67" customFormat="false" ht="15" hidden="true" customHeight="false" outlineLevel="0" collapsed="false">
      <c r="A67" s="17" t="n">
        <v>215</v>
      </c>
      <c r="B67" s="18" t="s">
        <v>96</v>
      </c>
      <c r="C67" s="19" t="str">
        <f aca="false">_xlfn.xlookup(B67,[1]Clients!B$1:B$1048576,[1]Clients!C$1:C$1048576)</f>
        <v>Luso-Flex</v>
      </c>
      <c r="D67" s="18" t="s">
        <v>96</v>
      </c>
      <c r="E67" s="19" t="str">
        <f aca="false">_xlfn.xlookup(D67,[1]Clients!B$1:B$1048576,[1]Clients!C$1:C$1048576)</f>
        <v>Luso-Flex</v>
      </c>
      <c r="F67" s="20" t="n">
        <v>45568</v>
      </c>
      <c r="G67" s="21" t="s">
        <v>58</v>
      </c>
      <c r="H67" s="19" t="s">
        <v>144</v>
      </c>
      <c r="I67" s="19" t="s">
        <v>97</v>
      </c>
      <c r="J67" s="21" t="n">
        <v>45573</v>
      </c>
      <c r="K67" s="19"/>
      <c r="L67" s="19" t="n">
        <v>0</v>
      </c>
      <c r="M67" s="19" t="s">
        <v>74</v>
      </c>
      <c r="N67" s="19" t="s">
        <v>70</v>
      </c>
      <c r="O67" s="22" t="n">
        <v>0</v>
      </c>
      <c r="P67" s="23" t="s">
        <v>88</v>
      </c>
      <c r="Q67" s="23" t="s">
        <v>88</v>
      </c>
      <c r="R67" s="25" t="n">
        <v>40105</v>
      </c>
      <c r="S67" s="25" t="s">
        <v>145</v>
      </c>
      <c r="T67" s="25" t="n">
        <v>1</v>
      </c>
      <c r="U67" s="25" t="n">
        <v>370.8</v>
      </c>
      <c r="V67" s="26"/>
      <c r="W67" s="26"/>
      <c r="X67" s="26"/>
      <c r="Y67" s="26"/>
      <c r="Z67" s="25"/>
      <c r="AA67" s="25"/>
      <c r="AB67" s="25"/>
      <c r="AC67" s="25"/>
      <c r="AD67" s="26"/>
      <c r="AE67" s="26"/>
      <c r="AF67" s="26"/>
      <c r="AG67" s="26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30"/>
    </row>
    <row r="68" customFormat="false" ht="15" hidden="true" customHeight="false" outlineLevel="0" collapsed="false">
      <c r="A68" s="17" t="n">
        <v>216</v>
      </c>
      <c r="B68" s="18" t="s">
        <v>146</v>
      </c>
      <c r="C68" s="19" t="str">
        <f aca="false">_xlfn.xlookup(B68,[1]Clients!B$1:B$1048576,[1]Clients!C$1:C$1048576)</f>
        <v>MCC Label</v>
      </c>
      <c r="D68" s="18" t="s">
        <v>146</v>
      </c>
      <c r="E68" s="19" t="str">
        <f aca="false">_xlfn.xlookup(D68,[1]Clients!B$1:B$1048576,[1]Clients!C$1:C$1048576)</f>
        <v>MCC Label</v>
      </c>
      <c r="F68" s="20" t="n">
        <v>45568</v>
      </c>
      <c r="G68" s="21" t="s">
        <v>58</v>
      </c>
      <c r="H68" s="19" t="s">
        <v>147</v>
      </c>
      <c r="I68" s="19" t="s">
        <v>148</v>
      </c>
      <c r="J68" s="21" t="n">
        <v>45573</v>
      </c>
      <c r="K68" s="19"/>
      <c r="L68" s="19" t="n">
        <v>0</v>
      </c>
      <c r="M68" s="19" t="s">
        <v>74</v>
      </c>
      <c r="N68" s="19" t="n">
        <v>0</v>
      </c>
      <c r="O68" s="22" t="n">
        <v>0</v>
      </c>
      <c r="P68" s="23" t="s">
        <v>88</v>
      </c>
      <c r="Q68" s="23" t="s">
        <v>88</v>
      </c>
      <c r="R68" s="25" t="n">
        <v>40106</v>
      </c>
      <c r="S68" s="25" t="s">
        <v>149</v>
      </c>
      <c r="T68" s="25"/>
      <c r="U68" s="25" t="n">
        <v>0</v>
      </c>
      <c r="V68" s="26"/>
      <c r="W68" s="26"/>
      <c r="X68" s="26"/>
      <c r="Y68" s="26"/>
      <c r="Z68" s="25"/>
      <c r="AA68" s="25"/>
      <c r="AB68" s="25"/>
      <c r="AC68" s="25"/>
      <c r="AD68" s="26"/>
      <c r="AE68" s="26"/>
      <c r="AF68" s="26"/>
      <c r="AG68" s="26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30"/>
    </row>
    <row r="69" customFormat="false" ht="15" hidden="true" customHeight="false" outlineLevel="0" collapsed="false">
      <c r="A69" s="17" t="n">
        <v>217</v>
      </c>
      <c r="B69" s="18" t="s">
        <v>141</v>
      </c>
      <c r="C69" s="19" t="str">
        <f aca="false">_xlfn.xlookup(B69,[1]Clients!B$1:B$1048576,[1]Clients!C$1:C$1048576)</f>
        <v>Amstik</v>
      </c>
      <c r="D69" s="18" t="s">
        <v>141</v>
      </c>
      <c r="E69" s="19" t="str">
        <f aca="false">_xlfn.xlookup(D69,[1]Clients!B$1:B$1048576,[1]Clients!C$1:C$1048576)</f>
        <v>Amstik</v>
      </c>
      <c r="F69" s="20" t="n">
        <v>45568</v>
      </c>
      <c r="G69" s="21" t="s">
        <v>58</v>
      </c>
      <c r="H69" s="19" t="s">
        <v>150</v>
      </c>
      <c r="I69" s="19"/>
      <c r="J69" s="21" t="n">
        <v>45573</v>
      </c>
      <c r="K69" s="19"/>
      <c r="L69" s="19" t="n">
        <v>0</v>
      </c>
      <c r="M69" s="19" t="s">
        <v>74</v>
      </c>
      <c r="N69" s="19" t="s">
        <v>70</v>
      </c>
      <c r="O69" s="22" t="n">
        <v>0</v>
      </c>
      <c r="P69" s="23" t="s">
        <v>88</v>
      </c>
      <c r="Q69" s="23" t="s">
        <v>88</v>
      </c>
      <c r="R69" s="25" t="n">
        <v>40107</v>
      </c>
      <c r="S69" s="25" t="s">
        <v>151</v>
      </c>
      <c r="T69" s="25" t="n">
        <v>1</v>
      </c>
      <c r="U69" s="25" t="n">
        <v>194.4</v>
      </c>
      <c r="V69" s="26" t="n">
        <v>40108</v>
      </c>
      <c r="W69" s="26" t="s">
        <v>152</v>
      </c>
      <c r="X69" s="26" t="n">
        <v>1</v>
      </c>
      <c r="Y69" s="26" t="n">
        <v>194.4</v>
      </c>
      <c r="Z69" s="25" t="n">
        <v>40109</v>
      </c>
      <c r="AA69" s="25" t="s">
        <v>153</v>
      </c>
      <c r="AB69" s="25" t="n">
        <v>1</v>
      </c>
      <c r="AC69" s="25" t="n">
        <v>280.8</v>
      </c>
      <c r="AD69" s="26" t="n">
        <v>40110</v>
      </c>
      <c r="AE69" s="26" t="s">
        <v>154</v>
      </c>
      <c r="AF69" s="26" t="n">
        <v>1</v>
      </c>
      <c r="AG69" s="26" t="n">
        <v>249.84</v>
      </c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30"/>
    </row>
    <row r="70" customFormat="false" ht="15" hidden="true" customHeight="false" outlineLevel="0" collapsed="false">
      <c r="A70" s="17" t="n">
        <v>218</v>
      </c>
      <c r="B70" s="18" t="s">
        <v>109</v>
      </c>
      <c r="C70" s="19" t="str">
        <f aca="false">_xlfn.xlookup(B70,[1]Clients!B$1:B$1048576,[1]Clients!C$1:C$1048576)</f>
        <v>Visuascan</v>
      </c>
      <c r="D70" s="18" t="s">
        <v>109</v>
      </c>
      <c r="E70" s="19" t="str">
        <f aca="false">_xlfn.xlookup(D70,[1]Clients!B$1:B$1048576,[1]Clients!C$1:C$1048576)</f>
        <v>Visuascan</v>
      </c>
      <c r="F70" s="20" t="n">
        <v>45568</v>
      </c>
      <c r="G70" s="21" t="s">
        <v>58</v>
      </c>
      <c r="H70" s="19" t="s">
        <v>155</v>
      </c>
      <c r="I70" s="19" t="s">
        <v>156</v>
      </c>
      <c r="J70" s="21" t="n">
        <v>45574</v>
      </c>
      <c r="K70" s="19"/>
      <c r="L70" s="19" t="n">
        <v>0</v>
      </c>
      <c r="M70" s="19" t="s">
        <v>74</v>
      </c>
      <c r="N70" s="19" t="s">
        <v>70</v>
      </c>
      <c r="O70" s="22" t="n">
        <v>0</v>
      </c>
      <c r="P70" s="23" t="s">
        <v>88</v>
      </c>
      <c r="Q70" s="23" t="s">
        <v>88</v>
      </c>
      <c r="R70" s="25" t="n">
        <v>40111</v>
      </c>
      <c r="S70" s="25" t="s">
        <v>157</v>
      </c>
      <c r="T70" s="25" t="n">
        <v>1</v>
      </c>
      <c r="U70" s="25" t="n">
        <v>374.4</v>
      </c>
      <c r="V70" s="26"/>
      <c r="W70" s="26"/>
      <c r="X70" s="26"/>
      <c r="Y70" s="26"/>
      <c r="Z70" s="25"/>
      <c r="AA70" s="25"/>
      <c r="AB70" s="25"/>
      <c r="AC70" s="25"/>
      <c r="AD70" s="26"/>
      <c r="AE70" s="26"/>
      <c r="AF70" s="26"/>
      <c r="AG70" s="26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30"/>
    </row>
    <row r="71" customFormat="false" ht="15" hidden="true" customHeight="false" outlineLevel="0" collapsed="false">
      <c r="A71" s="17" t="n">
        <v>219</v>
      </c>
      <c r="B71" s="18" t="s">
        <v>115</v>
      </c>
      <c r="C71" s="19" t="str">
        <f aca="false">_xlfn.xlookup(B71,[1]Clients!B$1:B$1048576,[1]Clients!C$1:C$1048576)</f>
        <v>Corsair</v>
      </c>
      <c r="D71" s="18" t="s">
        <v>115</v>
      </c>
      <c r="E71" s="19" t="str">
        <f aca="false">_xlfn.xlookup(D71,[1]Clients!B$1:B$1048576,[1]Clients!C$1:C$1048576)</f>
        <v>Corsair</v>
      </c>
      <c r="F71" s="20" t="n">
        <v>45568</v>
      </c>
      <c r="G71" s="21" t="s">
        <v>58</v>
      </c>
      <c r="H71" s="19" t="s">
        <v>155</v>
      </c>
      <c r="I71" s="19" t="s">
        <v>116</v>
      </c>
      <c r="J71" s="21" t="n">
        <v>45574</v>
      </c>
      <c r="K71" s="19"/>
      <c r="L71" s="19" t="n">
        <v>0</v>
      </c>
      <c r="M71" s="19" t="s">
        <v>74</v>
      </c>
      <c r="N71" s="19" t="s">
        <v>70</v>
      </c>
      <c r="O71" s="22" t="n">
        <v>0</v>
      </c>
      <c r="P71" s="23" t="s">
        <v>88</v>
      </c>
      <c r="Q71" s="23" t="s">
        <v>88</v>
      </c>
      <c r="R71" s="25" t="n">
        <v>40112</v>
      </c>
      <c r="S71" s="25" t="s">
        <v>158</v>
      </c>
      <c r="T71" s="25" t="n">
        <v>1</v>
      </c>
      <c r="U71" s="25" t="n">
        <v>252</v>
      </c>
      <c r="V71" s="26"/>
      <c r="W71" s="26"/>
      <c r="X71" s="26"/>
      <c r="Y71" s="26"/>
      <c r="Z71" s="25"/>
      <c r="AA71" s="25"/>
      <c r="AB71" s="25"/>
      <c r="AC71" s="25"/>
      <c r="AD71" s="26"/>
      <c r="AE71" s="26"/>
      <c r="AF71" s="26"/>
      <c r="AG71" s="26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30"/>
    </row>
    <row r="72" customFormat="false" ht="15" hidden="true" customHeight="false" outlineLevel="0" collapsed="false">
      <c r="A72" s="17" t="n">
        <v>220</v>
      </c>
      <c r="B72" s="18" t="s">
        <v>159</v>
      </c>
      <c r="C72" s="19" t="str">
        <f aca="false">_xlfn.xlookup(B72,[1]Clients!B$1:B$1048576,[1]Clients!C$1:C$1048576)</f>
        <v>Damaflex</v>
      </c>
      <c r="D72" s="18" t="s">
        <v>160</v>
      </c>
      <c r="E72" s="19" t="str">
        <f aca="false">_xlfn.xlookup(D72,[1]Clients!B$1:B$1048576,[1]Clients!C$1:C$1048576)</f>
        <v>Damaflex livraison</v>
      </c>
      <c r="F72" s="20" t="n">
        <v>45568</v>
      </c>
      <c r="G72" s="21" t="s">
        <v>58</v>
      </c>
      <c r="H72" s="19" t="s">
        <v>105</v>
      </c>
      <c r="I72" s="19" t="s">
        <v>161</v>
      </c>
      <c r="J72" s="21" t="n">
        <v>45574</v>
      </c>
      <c r="K72" s="19"/>
      <c r="L72" s="19" t="n">
        <v>0</v>
      </c>
      <c r="M72" s="19" t="s">
        <v>74</v>
      </c>
      <c r="N72" s="19" t="s">
        <v>70</v>
      </c>
      <c r="O72" s="22" t="n">
        <v>0</v>
      </c>
      <c r="P72" s="23" t="s">
        <v>88</v>
      </c>
      <c r="Q72" s="23" t="s">
        <v>88</v>
      </c>
      <c r="R72" s="25" t="n">
        <v>40114</v>
      </c>
      <c r="S72" s="25" t="s">
        <v>162</v>
      </c>
      <c r="T72" s="25" t="n">
        <v>1</v>
      </c>
      <c r="U72" s="25" t="n">
        <v>270.72</v>
      </c>
      <c r="V72" s="26"/>
      <c r="W72" s="26"/>
      <c r="X72" s="26"/>
      <c r="Y72" s="26"/>
      <c r="Z72" s="25"/>
      <c r="AA72" s="25"/>
      <c r="AB72" s="25"/>
      <c r="AC72" s="25"/>
      <c r="AD72" s="26"/>
      <c r="AE72" s="26"/>
      <c r="AF72" s="26"/>
      <c r="AG72" s="26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30"/>
    </row>
    <row r="73" customFormat="false" ht="15" hidden="true" customHeight="false" outlineLevel="0" collapsed="false">
      <c r="A73" s="17" t="n">
        <v>221</v>
      </c>
      <c r="B73" s="18" t="s">
        <v>94</v>
      </c>
      <c r="C73" s="19" t="str">
        <f aca="false">_xlfn.xlookup(B73,[1]Clients!B$1:B$1048576,[1]Clients!C$1:C$1048576)</f>
        <v>IMPSJ</v>
      </c>
      <c r="D73" s="18" t="s">
        <v>94</v>
      </c>
      <c r="E73" s="19" t="str">
        <f aca="false">_xlfn.xlookup(D73,[1]Clients!B$1:B$1048576,[1]Clients!C$1:C$1048576)</f>
        <v>IMPSJ</v>
      </c>
      <c r="F73" s="20" t="n">
        <v>45569</v>
      </c>
      <c r="G73" s="21" t="s">
        <v>58</v>
      </c>
      <c r="H73" s="19" t="n">
        <v>104428</v>
      </c>
      <c r="I73" s="19" t="s">
        <v>111</v>
      </c>
      <c r="J73" s="21" t="n">
        <v>45574</v>
      </c>
      <c r="K73" s="19"/>
      <c r="L73" s="19" t="n">
        <v>0</v>
      </c>
      <c r="M73" s="19" t="s">
        <v>74</v>
      </c>
      <c r="N73" s="19" t="s">
        <v>107</v>
      </c>
      <c r="O73" s="22" t="n">
        <v>0</v>
      </c>
      <c r="P73" s="23" t="s">
        <v>77</v>
      </c>
      <c r="Q73" s="23" t="s">
        <v>77</v>
      </c>
      <c r="R73" s="25" t="n">
        <v>40118</v>
      </c>
      <c r="S73" s="25" t="s">
        <v>163</v>
      </c>
      <c r="T73" s="25" t="n">
        <v>3</v>
      </c>
      <c r="U73" s="25" t="n">
        <v>1080</v>
      </c>
      <c r="V73" s="26" t="n">
        <v>40067</v>
      </c>
      <c r="W73" s="26" t="s">
        <v>164</v>
      </c>
      <c r="X73" s="26" t="n">
        <v>1</v>
      </c>
      <c r="Y73" s="26" t="n">
        <v>720</v>
      </c>
      <c r="Z73" s="25" t="n">
        <v>40117</v>
      </c>
      <c r="AA73" s="25" t="s">
        <v>165</v>
      </c>
      <c r="AB73" s="25" t="n">
        <v>3</v>
      </c>
      <c r="AC73" s="25" t="n">
        <v>1800</v>
      </c>
      <c r="AD73" s="26"/>
      <c r="AE73" s="26"/>
      <c r="AF73" s="26"/>
      <c r="AG73" s="26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30"/>
    </row>
    <row r="74" customFormat="false" ht="15" hidden="true" customHeight="false" outlineLevel="0" collapsed="false">
      <c r="A74" s="17" t="n">
        <v>222</v>
      </c>
      <c r="B74" s="18" t="s">
        <v>94</v>
      </c>
      <c r="C74" s="19" t="str">
        <f aca="false">_xlfn.xlookup(B74,[1]Clients!B$1:B$1048576,[1]Clients!C$1:C$1048576)</f>
        <v>IMPSJ</v>
      </c>
      <c r="D74" s="18" t="s">
        <v>94</v>
      </c>
      <c r="E74" s="19" t="str">
        <f aca="false">_xlfn.xlookup(D74,[1]Clients!B$1:B$1048576,[1]Clients!C$1:C$1048576)</f>
        <v>IMPSJ</v>
      </c>
      <c r="F74" s="20" t="n">
        <v>45569</v>
      </c>
      <c r="G74" s="21" t="s">
        <v>58</v>
      </c>
      <c r="H74" s="19" t="n">
        <v>104106</v>
      </c>
      <c r="I74" s="19" t="s">
        <v>95</v>
      </c>
      <c r="J74" s="21" t="n">
        <v>45604</v>
      </c>
      <c r="K74" s="19"/>
      <c r="L74" s="19" t="n">
        <v>0</v>
      </c>
      <c r="M74" s="19" t="s">
        <v>74</v>
      </c>
      <c r="N74" s="19" t="s">
        <v>107</v>
      </c>
      <c r="O74" s="22" t="n">
        <v>0</v>
      </c>
      <c r="P74" s="23" t="s">
        <v>77</v>
      </c>
      <c r="Q74" s="23" t="s">
        <v>77</v>
      </c>
      <c r="R74" s="25" t="n">
        <v>40150</v>
      </c>
      <c r="S74" s="25" t="s">
        <v>166</v>
      </c>
      <c r="T74" s="25" t="n">
        <v>12</v>
      </c>
      <c r="U74" s="25" t="n">
        <v>7200</v>
      </c>
      <c r="V74" s="26" t="n">
        <v>40084</v>
      </c>
      <c r="W74" s="26" t="s">
        <v>167</v>
      </c>
      <c r="X74" s="26" t="n">
        <v>5</v>
      </c>
      <c r="Y74" s="26" t="n">
        <v>3600</v>
      </c>
      <c r="Z74" s="25"/>
      <c r="AA74" s="25"/>
      <c r="AB74" s="25"/>
      <c r="AC74" s="25"/>
      <c r="AD74" s="26"/>
      <c r="AE74" s="26"/>
      <c r="AF74" s="26"/>
      <c r="AG74" s="26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30"/>
    </row>
    <row r="75" customFormat="false" ht="15" hidden="true" customHeight="false" outlineLevel="0" collapsed="false">
      <c r="A75" s="17" t="n">
        <v>223</v>
      </c>
      <c r="B75" s="18" t="s">
        <v>85</v>
      </c>
      <c r="C75" s="19" t="str">
        <f aca="false">_xlfn.xlookup(B75,[1]Clients!B$1:B$1048576,[1]Clients!C$1:C$1048576)</f>
        <v>Étiquettes Rive-Sud</v>
      </c>
      <c r="D75" s="18" t="s">
        <v>85</v>
      </c>
      <c r="E75" s="19" t="str">
        <f aca="false">_xlfn.xlookup(D75,[1]Clients!B$1:B$1048576,[1]Clients!C$1:C$1048576)</f>
        <v>Étiquettes Rive-Sud</v>
      </c>
      <c r="F75" s="20" t="n">
        <v>45574</v>
      </c>
      <c r="G75" s="21" t="s">
        <v>58</v>
      </c>
      <c r="H75" s="19" t="s">
        <v>168</v>
      </c>
      <c r="I75" s="19" t="s">
        <v>86</v>
      </c>
      <c r="J75" s="21" t="n">
        <v>45581</v>
      </c>
      <c r="K75" s="19"/>
      <c r="L75" s="19" t="n">
        <v>0</v>
      </c>
      <c r="M75" s="19" t="s">
        <v>74</v>
      </c>
      <c r="N75" s="19" t="s">
        <v>70</v>
      </c>
      <c r="O75" s="22" t="n">
        <v>0</v>
      </c>
      <c r="P75" s="23" t="s">
        <v>88</v>
      </c>
      <c r="Q75" s="23" t="s">
        <v>88</v>
      </c>
      <c r="R75" s="25" t="n">
        <v>40120</v>
      </c>
      <c r="S75" s="25" t="s">
        <v>169</v>
      </c>
      <c r="T75" s="25" t="n">
        <v>18</v>
      </c>
      <c r="U75" s="25" t="n">
        <v>9450</v>
      </c>
      <c r="V75" s="26"/>
      <c r="W75" s="26"/>
      <c r="X75" s="26"/>
      <c r="Y75" s="26"/>
      <c r="Z75" s="25"/>
      <c r="AA75" s="25"/>
      <c r="AB75" s="25"/>
      <c r="AC75" s="25"/>
      <c r="AD75" s="26"/>
      <c r="AE75" s="26"/>
      <c r="AF75" s="26"/>
      <c r="AG75" s="26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30"/>
    </row>
    <row r="76" customFormat="false" ht="15" hidden="true" customHeight="false" outlineLevel="0" collapsed="false">
      <c r="A76" s="17" t="n">
        <v>224</v>
      </c>
      <c r="B76" s="18" t="s">
        <v>85</v>
      </c>
      <c r="C76" s="19" t="str">
        <f aca="false">_xlfn.xlookup(B76,[1]Clients!B$1:B$1048576,[1]Clients!C$1:C$1048576)</f>
        <v>Étiquettes Rive-Sud</v>
      </c>
      <c r="D76" s="18" t="s">
        <v>85</v>
      </c>
      <c r="E76" s="19" t="str">
        <f aca="false">_xlfn.xlookup(D76,[1]Clients!B$1:B$1048576,[1]Clients!C$1:C$1048576)</f>
        <v>Étiquettes Rive-Sud</v>
      </c>
      <c r="F76" s="20" t="n">
        <v>45574</v>
      </c>
      <c r="G76" s="21" t="s">
        <v>58</v>
      </c>
      <c r="H76" s="19" t="s">
        <v>170</v>
      </c>
      <c r="I76" s="19" t="s">
        <v>86</v>
      </c>
      <c r="J76" s="21" t="n">
        <v>45575</v>
      </c>
      <c r="K76" s="19"/>
      <c r="L76" s="19" t="n">
        <v>0</v>
      </c>
      <c r="M76" s="19" t="s">
        <v>74</v>
      </c>
      <c r="N76" s="19" t="s">
        <v>70</v>
      </c>
      <c r="O76" s="22" t="n">
        <v>0</v>
      </c>
      <c r="P76" s="23" t="s">
        <v>88</v>
      </c>
      <c r="Q76" s="23" t="s">
        <v>88</v>
      </c>
      <c r="R76" s="25" t="n">
        <v>40121</v>
      </c>
      <c r="S76" s="25" t="s">
        <v>171</v>
      </c>
      <c r="T76" s="25" t="n">
        <v>6</v>
      </c>
      <c r="U76" s="25" t="n">
        <v>3150</v>
      </c>
      <c r="V76" s="26" t="n">
        <v>40122</v>
      </c>
      <c r="W76" s="26" t="s">
        <v>171</v>
      </c>
      <c r="X76" s="26" t="n">
        <v>5</v>
      </c>
      <c r="Y76" s="26" t="n">
        <v>1207.5</v>
      </c>
      <c r="Z76" s="25" t="n">
        <v>40123</v>
      </c>
      <c r="AA76" s="25" t="s">
        <v>172</v>
      </c>
      <c r="AB76" s="25" t="n">
        <v>1</v>
      </c>
      <c r="AC76" s="25" t="n">
        <v>450</v>
      </c>
      <c r="AD76" s="26" t="n">
        <v>40124</v>
      </c>
      <c r="AE76" s="26" t="s">
        <v>173</v>
      </c>
      <c r="AF76" s="26" t="n">
        <v>1</v>
      </c>
      <c r="AG76" s="26" t="n">
        <v>186.3</v>
      </c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30"/>
    </row>
    <row r="77" customFormat="false" ht="15" hidden="true" customHeight="false" outlineLevel="0" collapsed="false">
      <c r="A77" s="17" t="n">
        <v>225</v>
      </c>
      <c r="B77" s="18" t="s">
        <v>94</v>
      </c>
      <c r="C77" s="19" t="str">
        <f aca="false">_xlfn.xlookup(B77,[1]Clients!B$1:B$1048576,[1]Clients!C$1:C$1048576)</f>
        <v>IMPSJ</v>
      </c>
      <c r="D77" s="18" t="s">
        <v>94</v>
      </c>
      <c r="E77" s="19" t="str">
        <f aca="false">_xlfn.xlookup(D77,[1]Clients!B$1:B$1048576,[1]Clients!C$1:C$1048576)</f>
        <v>IMPSJ</v>
      </c>
      <c r="F77" s="20" t="n">
        <v>45574</v>
      </c>
      <c r="G77" s="21" t="s">
        <v>58</v>
      </c>
      <c r="H77" s="19" t="n">
        <v>104575</v>
      </c>
      <c r="I77" s="19" t="s">
        <v>118</v>
      </c>
      <c r="J77" s="21" t="n">
        <v>45580</v>
      </c>
      <c r="K77" s="19"/>
      <c r="L77" s="19" t="n">
        <v>0</v>
      </c>
      <c r="M77" s="19" t="s">
        <v>74</v>
      </c>
      <c r="N77" s="19" t="s">
        <v>107</v>
      </c>
      <c r="O77" s="22" t="n">
        <v>0</v>
      </c>
      <c r="P77" s="23" t="s">
        <v>77</v>
      </c>
      <c r="Q77" s="23" t="s">
        <v>77</v>
      </c>
      <c r="R77" s="25" t="n">
        <v>40118</v>
      </c>
      <c r="S77" s="25" t="s">
        <v>163</v>
      </c>
      <c r="T77" s="25" t="n">
        <v>1</v>
      </c>
      <c r="U77" s="25" t="n">
        <v>360</v>
      </c>
      <c r="V77" s="26" t="n">
        <v>40117</v>
      </c>
      <c r="W77" s="26" t="s">
        <v>165</v>
      </c>
      <c r="X77" s="26" t="n">
        <v>1</v>
      </c>
      <c r="Y77" s="26" t="n">
        <v>600</v>
      </c>
      <c r="Z77" s="25" t="n">
        <v>40067</v>
      </c>
      <c r="AA77" s="25" t="s">
        <v>164</v>
      </c>
      <c r="AB77" s="25" t="n">
        <v>2</v>
      </c>
      <c r="AC77" s="25" t="n">
        <v>1440</v>
      </c>
      <c r="AD77" s="26" t="n">
        <v>40125</v>
      </c>
      <c r="AE77" s="26" t="s">
        <v>174</v>
      </c>
      <c r="AF77" s="26" t="n">
        <v>1</v>
      </c>
      <c r="AG77" s="26" t="n">
        <v>1200</v>
      </c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30"/>
    </row>
    <row r="78" customFormat="false" ht="15" hidden="true" customHeight="false" outlineLevel="0" collapsed="false">
      <c r="A78" s="17" t="n">
        <v>226</v>
      </c>
      <c r="B78" s="18" t="s">
        <v>120</v>
      </c>
      <c r="C78" s="19" t="str">
        <f aca="false">_xlfn.xlookup(B78,[1]Clients!B$1:B$1048576,[1]Clients!C$1:C$1048576)</f>
        <v>Mijo</v>
      </c>
      <c r="D78" s="18" t="s">
        <v>120</v>
      </c>
      <c r="E78" s="19" t="str">
        <f aca="false">_xlfn.xlookup(D78,[1]Clients!B$1:B$1048576,[1]Clients!C$1:C$1048576)</f>
        <v>Mijo</v>
      </c>
      <c r="F78" s="20" t="n">
        <v>45575</v>
      </c>
      <c r="G78" s="21" t="s">
        <v>58</v>
      </c>
      <c r="H78" s="19" t="n">
        <v>14258</v>
      </c>
      <c r="I78" s="19" t="s">
        <v>122</v>
      </c>
      <c r="J78" s="21" t="n">
        <v>45582</v>
      </c>
      <c r="K78" s="19"/>
      <c r="L78" s="19" t="n">
        <v>0</v>
      </c>
      <c r="M78" s="19" t="s">
        <v>74</v>
      </c>
      <c r="N78" s="19" t="s">
        <v>123</v>
      </c>
      <c r="O78" s="22" t="n">
        <v>0</v>
      </c>
      <c r="P78" s="23" t="s">
        <v>88</v>
      </c>
      <c r="Q78" s="23" t="s">
        <v>88</v>
      </c>
      <c r="R78" s="25" t="n">
        <v>40126</v>
      </c>
      <c r="S78" s="25" t="s">
        <v>164</v>
      </c>
      <c r="T78" s="25" t="n">
        <v>15</v>
      </c>
      <c r="U78" s="25" t="n">
        <v>21600</v>
      </c>
      <c r="V78" s="26" t="n">
        <v>40126</v>
      </c>
      <c r="W78" s="26" t="s">
        <v>164</v>
      </c>
      <c r="X78" s="26" t="n">
        <v>-1</v>
      </c>
      <c r="Y78" s="26" t="n">
        <v>-1440</v>
      </c>
      <c r="Z78" s="25"/>
      <c r="AA78" s="25"/>
      <c r="AB78" s="25"/>
      <c r="AC78" s="25"/>
      <c r="AD78" s="26"/>
      <c r="AE78" s="26"/>
      <c r="AF78" s="26"/>
      <c r="AG78" s="26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30"/>
    </row>
    <row r="79" customFormat="false" ht="15" hidden="true" customHeight="false" outlineLevel="0" collapsed="false">
      <c r="A79" s="17" t="n">
        <v>227</v>
      </c>
      <c r="B79" s="18" t="s">
        <v>94</v>
      </c>
      <c r="C79" s="19" t="str">
        <f aca="false">_xlfn.xlookup(B79,[1]Clients!B$1:B$1048576,[1]Clients!C$1:C$1048576)</f>
        <v>IMPSJ</v>
      </c>
      <c r="D79" s="18" t="s">
        <v>94</v>
      </c>
      <c r="E79" s="19" t="str">
        <f aca="false">_xlfn.xlookup(D79,[1]Clients!B$1:B$1048576,[1]Clients!C$1:C$1048576)</f>
        <v>IMPSJ</v>
      </c>
      <c r="F79" s="20" t="n">
        <v>45575</v>
      </c>
      <c r="G79" s="21" t="s">
        <v>58</v>
      </c>
      <c r="H79" s="19" t="n">
        <v>104618</v>
      </c>
      <c r="I79" s="19" t="s">
        <v>118</v>
      </c>
      <c r="J79" s="21" t="n">
        <v>45582</v>
      </c>
      <c r="K79" s="19"/>
      <c r="L79" s="19" t="n">
        <v>0</v>
      </c>
      <c r="M79" s="19" t="s">
        <v>74</v>
      </c>
      <c r="N79" s="19" t="s">
        <v>107</v>
      </c>
      <c r="O79" s="22" t="n">
        <v>0</v>
      </c>
      <c r="P79" s="23" t="s">
        <v>77</v>
      </c>
      <c r="Q79" s="23" t="s">
        <v>77</v>
      </c>
      <c r="R79" s="25" t="n">
        <v>40127</v>
      </c>
      <c r="S79" s="25" t="s">
        <v>175</v>
      </c>
      <c r="T79" s="25" t="n">
        <v>1</v>
      </c>
      <c r="U79" s="25" t="n">
        <v>360</v>
      </c>
      <c r="V79" s="26" t="n">
        <v>40081</v>
      </c>
      <c r="W79" s="26" t="s">
        <v>176</v>
      </c>
      <c r="X79" s="26" t="n">
        <v>3</v>
      </c>
      <c r="Y79" s="26" t="n">
        <v>1800</v>
      </c>
      <c r="Z79" s="25" t="n">
        <v>40048</v>
      </c>
      <c r="AA79" s="25" t="s">
        <v>177</v>
      </c>
      <c r="AB79" s="25" t="n">
        <v>2</v>
      </c>
      <c r="AC79" s="25" t="n">
        <v>1440</v>
      </c>
      <c r="AD79" s="26"/>
      <c r="AE79" s="26"/>
      <c r="AF79" s="26"/>
      <c r="AG79" s="26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30"/>
    </row>
    <row r="80" customFormat="false" ht="15" hidden="true" customHeight="false" outlineLevel="0" collapsed="false">
      <c r="A80" s="17" t="n">
        <v>228</v>
      </c>
      <c r="B80" s="18" t="s">
        <v>68</v>
      </c>
      <c r="C80" s="19" t="str">
        <f aca="false">_xlfn.xlookup(B80,[1]Clients!B$1:B$1048576,[1]Clients!C$1:C$1048576)</f>
        <v>Lelys</v>
      </c>
      <c r="D80" s="18" t="s">
        <v>68</v>
      </c>
      <c r="E80" s="19" t="str">
        <f aca="false">_xlfn.xlookup(D80,[1]Clients!B$1:B$1048576,[1]Clients!C$1:C$1048576)</f>
        <v>Lelys</v>
      </c>
      <c r="F80" s="20" t="n">
        <v>45575</v>
      </c>
      <c r="G80" s="21" t="s">
        <v>58</v>
      </c>
      <c r="H80" s="19" t="s">
        <v>178</v>
      </c>
      <c r="I80" s="19" t="s">
        <v>179</v>
      </c>
      <c r="J80" s="21" t="n">
        <v>45583</v>
      </c>
      <c r="K80" s="19"/>
      <c r="L80" s="19" t="n">
        <v>0</v>
      </c>
      <c r="M80" s="19" t="s">
        <v>74</v>
      </c>
      <c r="N80" s="19" t="s">
        <v>70</v>
      </c>
      <c r="O80" s="22" t="n">
        <v>0</v>
      </c>
      <c r="P80" s="23" t="s">
        <v>88</v>
      </c>
      <c r="Q80" s="23" t="s">
        <v>88</v>
      </c>
      <c r="R80" s="25" t="n">
        <v>40128</v>
      </c>
      <c r="S80" s="25" t="s">
        <v>180</v>
      </c>
      <c r="T80" s="25" t="n">
        <v>1</v>
      </c>
      <c r="U80" s="25" t="n">
        <v>390</v>
      </c>
      <c r="V80" s="26" t="n">
        <v>40129</v>
      </c>
      <c r="W80" s="26" t="s">
        <v>181</v>
      </c>
      <c r="X80" s="26" t="n">
        <v>1</v>
      </c>
      <c r="Y80" s="26" t="n">
        <v>390</v>
      </c>
      <c r="Z80" s="25" t="n">
        <v>40130</v>
      </c>
      <c r="AA80" s="25" t="s">
        <v>182</v>
      </c>
      <c r="AB80" s="25" t="n">
        <v>1</v>
      </c>
      <c r="AC80" s="25" t="n">
        <v>390</v>
      </c>
      <c r="AD80" s="26"/>
      <c r="AE80" s="26"/>
      <c r="AF80" s="26"/>
      <c r="AG80" s="26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30"/>
    </row>
    <row r="81" customFormat="false" ht="15" hidden="true" customHeight="false" outlineLevel="0" collapsed="false">
      <c r="A81" s="17" t="n">
        <v>229</v>
      </c>
      <c r="B81" s="18" t="s">
        <v>183</v>
      </c>
      <c r="C81" s="19" t="str">
        <f aca="false">_xlfn.xlookup(B81,[1]Clients!B$1:B$1048576,[1]Clients!C$1:C$1048576)</f>
        <v>Crucial</v>
      </c>
      <c r="D81" s="18" t="s">
        <v>183</v>
      </c>
      <c r="E81" s="19" t="str">
        <f aca="false">_xlfn.xlookup(D81,[1]Clients!B$1:B$1048576,[1]Clients!C$1:C$1048576)</f>
        <v>Crucial</v>
      </c>
      <c r="F81" s="20" t="n">
        <v>45586</v>
      </c>
      <c r="G81" s="21" t="s">
        <v>58</v>
      </c>
      <c r="H81" s="19" t="s">
        <v>184</v>
      </c>
      <c r="I81" s="19" t="s">
        <v>185</v>
      </c>
      <c r="J81" s="21" t="n">
        <v>45583</v>
      </c>
      <c r="K81" s="19"/>
      <c r="L81" s="19" t="n">
        <v>0</v>
      </c>
      <c r="M81" s="19" t="s">
        <v>61</v>
      </c>
      <c r="N81" s="19" t="n">
        <v>0</v>
      </c>
      <c r="O81" s="22" t="n">
        <v>0</v>
      </c>
      <c r="P81" s="23" t="s">
        <v>77</v>
      </c>
      <c r="Q81" s="23" t="s">
        <v>77</v>
      </c>
      <c r="R81" s="25" t="n">
        <v>40135</v>
      </c>
      <c r="S81" s="25" t="s">
        <v>186</v>
      </c>
      <c r="T81" s="25" t="n">
        <v>1</v>
      </c>
      <c r="U81" s="25" t="n">
        <v>1260</v>
      </c>
      <c r="V81" s="26" t="n">
        <v>40139</v>
      </c>
      <c r="W81" s="26" t="s">
        <v>187</v>
      </c>
      <c r="X81" s="26" t="n">
        <v>1</v>
      </c>
      <c r="Y81" s="26" t="n">
        <v>1050</v>
      </c>
      <c r="Z81" s="25" t="n">
        <v>40133</v>
      </c>
      <c r="AA81" s="25" t="s">
        <v>188</v>
      </c>
      <c r="AB81" s="25" t="n">
        <v>1</v>
      </c>
      <c r="AC81" s="25" t="n">
        <v>1050</v>
      </c>
      <c r="AD81" s="26"/>
      <c r="AE81" s="26"/>
      <c r="AF81" s="26"/>
      <c r="AG81" s="26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30"/>
    </row>
    <row r="82" customFormat="false" ht="15" hidden="true" customHeight="false" outlineLevel="0" collapsed="false">
      <c r="A82" s="17" t="n">
        <v>230</v>
      </c>
      <c r="B82" s="18" t="s">
        <v>63</v>
      </c>
      <c r="C82" s="19" t="str">
        <f aca="false">_xlfn.xlookup(B82,[1]Clients!B$1:B$1048576,[1]Clients!C$1:C$1048576)</f>
        <v>Digi</v>
      </c>
      <c r="D82" s="18" t="s">
        <v>63</v>
      </c>
      <c r="E82" s="19" t="str">
        <f aca="false">_xlfn.xlookup(D82,[1]Clients!B$1:B$1048576,[1]Clients!C$1:C$1048576)</f>
        <v>Digi</v>
      </c>
      <c r="F82" s="20" t="n">
        <v>45579</v>
      </c>
      <c r="G82" s="21" t="s">
        <v>58</v>
      </c>
      <c r="H82" s="19" t="n">
        <v>50008700</v>
      </c>
      <c r="I82" s="19" t="s">
        <v>64</v>
      </c>
      <c r="J82" s="21" t="n">
        <v>45590</v>
      </c>
      <c r="K82" s="19"/>
      <c r="L82" s="19" t="n">
        <v>0</v>
      </c>
      <c r="M82" s="19" t="s">
        <v>61</v>
      </c>
      <c r="N82" s="19" t="s">
        <v>65</v>
      </c>
      <c r="O82" s="22" t="n">
        <v>0</v>
      </c>
      <c r="P82" s="23" t="s">
        <v>77</v>
      </c>
      <c r="Q82" s="23" t="s">
        <v>77</v>
      </c>
      <c r="R82" s="25" t="n">
        <v>40103</v>
      </c>
      <c r="S82" s="25" t="s">
        <v>139</v>
      </c>
      <c r="T82" s="25" t="n">
        <v>72</v>
      </c>
      <c r="U82" s="25" t="n">
        <v>43200</v>
      </c>
      <c r="V82" s="26"/>
      <c r="W82" s="26"/>
      <c r="X82" s="26"/>
      <c r="Y82" s="26"/>
      <c r="Z82" s="25"/>
      <c r="AA82" s="25"/>
      <c r="AB82" s="25"/>
      <c r="AC82" s="25"/>
      <c r="AD82" s="26"/>
      <c r="AE82" s="26"/>
      <c r="AF82" s="26"/>
      <c r="AG82" s="26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30"/>
    </row>
    <row r="83" customFormat="false" ht="15" hidden="true" customHeight="false" outlineLevel="0" collapsed="false">
      <c r="A83" s="17" t="n">
        <v>231</v>
      </c>
      <c r="B83" s="18" t="s">
        <v>96</v>
      </c>
      <c r="C83" s="19" t="str">
        <f aca="false">_xlfn.xlookup(B83,[1]Clients!B$1:B$1048576,[1]Clients!C$1:C$1048576)</f>
        <v>Luso-Flex</v>
      </c>
      <c r="D83" s="18" t="s">
        <v>96</v>
      </c>
      <c r="E83" s="19" t="str">
        <f aca="false">_xlfn.xlookup(D83,[1]Clients!B$1:B$1048576,[1]Clients!C$1:C$1048576)</f>
        <v>Luso-Flex</v>
      </c>
      <c r="F83" s="20" t="n">
        <v>45580</v>
      </c>
      <c r="G83" s="21" t="s">
        <v>58</v>
      </c>
      <c r="H83" s="19" t="s">
        <v>189</v>
      </c>
      <c r="I83" s="19" t="s">
        <v>97</v>
      </c>
      <c r="J83" s="21" t="n">
        <v>45580</v>
      </c>
      <c r="K83" s="19"/>
      <c r="L83" s="19" t="n">
        <v>0</v>
      </c>
      <c r="M83" s="19" t="s">
        <v>74</v>
      </c>
      <c r="N83" s="19" t="s">
        <v>70</v>
      </c>
      <c r="O83" s="22" t="n">
        <v>0</v>
      </c>
      <c r="P83" s="23" t="s">
        <v>88</v>
      </c>
      <c r="Q83" s="23" t="s">
        <v>88</v>
      </c>
      <c r="R83" s="25" t="n">
        <v>40136</v>
      </c>
      <c r="S83" s="25" t="s">
        <v>190</v>
      </c>
      <c r="T83" s="25" t="n">
        <v>0</v>
      </c>
      <c r="U83" s="25" t="n">
        <v>110</v>
      </c>
      <c r="V83" s="26"/>
      <c r="W83" s="26"/>
      <c r="X83" s="26"/>
      <c r="Y83" s="26"/>
      <c r="Z83" s="25"/>
      <c r="AA83" s="25"/>
      <c r="AB83" s="25"/>
      <c r="AC83" s="25"/>
      <c r="AD83" s="26"/>
      <c r="AE83" s="26"/>
      <c r="AF83" s="26"/>
      <c r="AG83" s="26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30"/>
    </row>
    <row r="84" customFormat="false" ht="15" hidden="true" customHeight="false" outlineLevel="0" collapsed="false">
      <c r="A84" s="17" t="n">
        <v>232</v>
      </c>
      <c r="B84" s="18" t="s">
        <v>96</v>
      </c>
      <c r="C84" s="19" t="str">
        <f aca="false">_xlfn.xlookup(B84,[1]Clients!B$1:B$1048576,[1]Clients!C$1:C$1048576)</f>
        <v>Luso-Flex</v>
      </c>
      <c r="D84" s="18" t="s">
        <v>96</v>
      </c>
      <c r="E84" s="19" t="str">
        <f aca="false">_xlfn.xlookup(D84,[1]Clients!B$1:B$1048576,[1]Clients!C$1:C$1048576)</f>
        <v>Luso-Flex</v>
      </c>
      <c r="F84" s="20" t="n">
        <v>45582</v>
      </c>
      <c r="G84" s="21" t="s">
        <v>58</v>
      </c>
      <c r="H84" s="19" t="n">
        <v>1931</v>
      </c>
      <c r="I84" s="19" t="s">
        <v>99</v>
      </c>
      <c r="J84" s="21" t="n">
        <v>45586</v>
      </c>
      <c r="K84" s="19"/>
      <c r="L84" s="19" t="n">
        <v>0</v>
      </c>
      <c r="M84" s="19" t="s">
        <v>74</v>
      </c>
      <c r="N84" s="19" t="s">
        <v>70</v>
      </c>
      <c r="O84" s="22" t="n">
        <v>0</v>
      </c>
      <c r="P84" s="23" t="s">
        <v>88</v>
      </c>
      <c r="Q84" s="23" t="s">
        <v>88</v>
      </c>
      <c r="R84" s="25" t="n">
        <v>40137</v>
      </c>
      <c r="S84" s="25" t="s">
        <v>145</v>
      </c>
      <c r="T84" s="25" t="n">
        <v>16</v>
      </c>
      <c r="U84" s="25" t="n">
        <v>24720</v>
      </c>
      <c r="V84" s="26"/>
      <c r="W84" s="26"/>
      <c r="X84" s="26"/>
      <c r="Y84" s="26"/>
      <c r="Z84" s="25"/>
      <c r="AA84" s="25"/>
      <c r="AB84" s="25"/>
      <c r="AC84" s="25"/>
      <c r="AD84" s="26"/>
      <c r="AE84" s="26"/>
      <c r="AF84" s="26"/>
      <c r="AG84" s="26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30"/>
    </row>
    <row r="85" customFormat="false" ht="15" hidden="true" customHeight="false" outlineLevel="0" collapsed="false">
      <c r="A85" s="17" t="n">
        <v>233</v>
      </c>
      <c r="B85" s="18" t="s">
        <v>183</v>
      </c>
      <c r="C85" s="19" t="str">
        <f aca="false">_xlfn.xlookup(B85,[1]Clients!B$1:B$1048576,[1]Clients!C$1:C$1048576)</f>
        <v>Crucial</v>
      </c>
      <c r="D85" s="18" t="s">
        <v>183</v>
      </c>
      <c r="E85" s="19" t="str">
        <f aca="false">_xlfn.xlookup(D85,[1]Clients!B$1:B$1048576,[1]Clients!C$1:C$1048576)</f>
        <v>Crucial</v>
      </c>
      <c r="F85" s="20" t="n">
        <v>45586</v>
      </c>
      <c r="G85" s="21" t="s">
        <v>58</v>
      </c>
      <c r="H85" s="19" t="s">
        <v>191</v>
      </c>
      <c r="I85" s="19" t="s">
        <v>185</v>
      </c>
      <c r="J85" s="21" t="n">
        <v>45586</v>
      </c>
      <c r="K85" s="19"/>
      <c r="L85" s="19" t="n">
        <v>0</v>
      </c>
      <c r="M85" s="19" t="s">
        <v>61</v>
      </c>
      <c r="N85" s="19" t="n">
        <v>0</v>
      </c>
      <c r="O85" s="22" t="n">
        <v>0</v>
      </c>
      <c r="P85" s="23" t="s">
        <v>77</v>
      </c>
      <c r="Q85" s="23" t="s">
        <v>77</v>
      </c>
      <c r="R85" s="25" t="n">
        <v>40134</v>
      </c>
      <c r="S85" s="25" t="s">
        <v>192</v>
      </c>
      <c r="T85" s="25" t="n">
        <v>1</v>
      </c>
      <c r="U85" s="25" t="n">
        <v>780</v>
      </c>
      <c r="V85" s="26" t="n">
        <v>40138</v>
      </c>
      <c r="W85" s="26" t="s">
        <v>193</v>
      </c>
      <c r="X85" s="26" t="n">
        <v>1</v>
      </c>
      <c r="Y85" s="26" t="n">
        <v>780</v>
      </c>
      <c r="Z85" s="25" t="n">
        <v>40140</v>
      </c>
      <c r="AA85" s="25" t="s">
        <v>180</v>
      </c>
      <c r="AB85" s="25" t="n">
        <v>1</v>
      </c>
      <c r="AC85" s="25" t="n">
        <v>780</v>
      </c>
      <c r="AD85" s="26" t="n">
        <v>40132</v>
      </c>
      <c r="AE85" s="26" t="s">
        <v>157</v>
      </c>
      <c r="AF85" s="26" t="n">
        <v>1</v>
      </c>
      <c r="AG85" s="26" t="n">
        <v>780</v>
      </c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30"/>
    </row>
    <row r="86" customFormat="false" ht="15" hidden="true" customHeight="false" outlineLevel="0" collapsed="false">
      <c r="A86" s="17" t="n">
        <v>234</v>
      </c>
      <c r="B86" s="32" t="s">
        <v>194</v>
      </c>
      <c r="C86" s="19" t="str">
        <f aca="false">_xlfn.xlookup(B86,[1]Clients!B$1:B$1048576,[1]Clients!C$1:C$1048576)</f>
        <v>IMS</v>
      </c>
      <c r="D86" s="32" t="s">
        <v>194</v>
      </c>
      <c r="E86" s="19" t="str">
        <f aca="false">_xlfn.xlookup(D86,[1]Clients!B$1:B$1048576,[1]Clients!C$1:C$1048576)</f>
        <v>IMS</v>
      </c>
      <c r="F86" s="20" t="n">
        <v>45586</v>
      </c>
      <c r="G86" s="21" t="s">
        <v>58</v>
      </c>
      <c r="H86" s="19" t="s">
        <v>195</v>
      </c>
      <c r="I86" s="19" t="s">
        <v>196</v>
      </c>
      <c r="J86" s="21" t="n">
        <v>45586</v>
      </c>
      <c r="K86" s="19"/>
      <c r="L86" s="19" t="n">
        <v>0</v>
      </c>
      <c r="M86" s="19" t="s">
        <v>74</v>
      </c>
      <c r="N86" s="19" t="s">
        <v>70</v>
      </c>
      <c r="O86" s="22" t="n">
        <v>0</v>
      </c>
      <c r="P86" s="23" t="s">
        <v>88</v>
      </c>
      <c r="Q86" s="23" t="s">
        <v>88</v>
      </c>
      <c r="R86" s="25" t="n">
        <v>40142</v>
      </c>
      <c r="S86" s="25" t="s">
        <v>197</v>
      </c>
      <c r="T86" s="25" t="n">
        <v>1</v>
      </c>
      <c r="U86" s="25" t="n">
        <v>382.5</v>
      </c>
      <c r="V86" s="26" t="n">
        <v>40141</v>
      </c>
      <c r="W86" s="26" t="s">
        <v>198</v>
      </c>
      <c r="X86" s="26" t="n">
        <v>1</v>
      </c>
      <c r="Y86" s="26" t="n">
        <v>382.5</v>
      </c>
      <c r="Z86" s="25"/>
      <c r="AA86" s="25"/>
      <c r="AB86" s="25"/>
      <c r="AC86" s="25"/>
      <c r="AD86" s="26"/>
      <c r="AE86" s="26"/>
      <c r="AF86" s="26"/>
      <c r="AG86" s="26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30"/>
    </row>
    <row r="87" customFormat="false" ht="15" hidden="true" customHeight="false" outlineLevel="0" collapsed="false">
      <c r="A87" s="17" t="n">
        <v>235</v>
      </c>
      <c r="B87" s="18" t="s">
        <v>141</v>
      </c>
      <c r="C87" s="19" t="str">
        <f aca="false">_xlfn.xlookup(B87,[1]Clients!B$1:B$1048576,[1]Clients!C$1:C$1048576)</f>
        <v>Amstik</v>
      </c>
      <c r="D87" s="18" t="s">
        <v>141</v>
      </c>
      <c r="E87" s="19" t="str">
        <f aca="false">_xlfn.xlookup(D87,[1]Clients!B$1:B$1048576,[1]Clients!C$1:C$1048576)</f>
        <v>Amstik</v>
      </c>
      <c r="F87" s="20" t="n">
        <v>45586</v>
      </c>
      <c r="G87" s="21" t="s">
        <v>58</v>
      </c>
      <c r="H87" s="19" t="s">
        <v>199</v>
      </c>
      <c r="I87" s="19" t="s">
        <v>142</v>
      </c>
      <c r="J87" s="21" t="n">
        <v>45586</v>
      </c>
      <c r="K87" s="19"/>
      <c r="L87" s="19" t="n">
        <v>0</v>
      </c>
      <c r="M87" s="19" t="s">
        <v>74</v>
      </c>
      <c r="N87" s="19" t="s">
        <v>70</v>
      </c>
      <c r="O87" s="22" t="n">
        <v>0</v>
      </c>
      <c r="P87" s="23" t="s">
        <v>88</v>
      </c>
      <c r="Q87" s="23" t="s">
        <v>88</v>
      </c>
      <c r="R87" s="25" t="n">
        <v>40143</v>
      </c>
      <c r="S87" s="25" t="s">
        <v>200</v>
      </c>
      <c r="T87" s="25" t="n">
        <v>1</v>
      </c>
      <c r="U87" s="25" t="n">
        <v>207</v>
      </c>
      <c r="V87" s="26"/>
      <c r="W87" s="26"/>
      <c r="X87" s="26"/>
      <c r="Y87" s="26"/>
      <c r="Z87" s="25"/>
      <c r="AA87" s="25"/>
      <c r="AB87" s="25"/>
      <c r="AC87" s="25"/>
      <c r="AD87" s="26"/>
      <c r="AE87" s="26"/>
      <c r="AF87" s="26"/>
      <c r="AG87" s="26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30"/>
    </row>
    <row r="88" customFormat="false" ht="15" hidden="true" customHeight="false" outlineLevel="0" collapsed="false">
      <c r="A88" s="17" t="n">
        <v>236</v>
      </c>
      <c r="B88" s="18" t="s">
        <v>159</v>
      </c>
      <c r="C88" s="19" t="str">
        <f aca="false">_xlfn.xlookup(B88,[1]Clients!B$1:B$1048576,[1]Clients!C$1:C$1048576)</f>
        <v>Damaflex</v>
      </c>
      <c r="D88" s="18" t="s">
        <v>160</v>
      </c>
      <c r="E88" s="19" t="str">
        <f aca="false">_xlfn.xlookup(D88,[1]Clients!B$1:B$1048576,[1]Clients!C$1:C$1048576)</f>
        <v>Damaflex livraison</v>
      </c>
      <c r="F88" s="20" t="n">
        <v>45587</v>
      </c>
      <c r="G88" s="21" t="s">
        <v>58</v>
      </c>
      <c r="H88" s="19" t="s">
        <v>201</v>
      </c>
      <c r="I88" s="19" t="s">
        <v>161</v>
      </c>
      <c r="J88" s="21" t="n">
        <v>45594</v>
      </c>
      <c r="K88" s="19"/>
      <c r="L88" s="19" t="n">
        <v>0</v>
      </c>
      <c r="M88" s="19" t="s">
        <v>74</v>
      </c>
      <c r="N88" s="19" t="s">
        <v>70</v>
      </c>
      <c r="O88" s="22" t="n">
        <v>0</v>
      </c>
      <c r="P88" s="23" t="s">
        <v>88</v>
      </c>
      <c r="Q88" s="23" t="s">
        <v>88</v>
      </c>
      <c r="R88" s="25" t="n">
        <v>40144</v>
      </c>
      <c r="S88" s="25" t="s">
        <v>202</v>
      </c>
      <c r="T88" s="25" t="n">
        <v>6</v>
      </c>
      <c r="U88" s="25" t="n">
        <v>3240</v>
      </c>
      <c r="V88" s="26" t="n">
        <v>40145</v>
      </c>
      <c r="W88" s="26" t="s">
        <v>203</v>
      </c>
      <c r="X88" s="26" t="n">
        <v>6</v>
      </c>
      <c r="Y88" s="26" t="n">
        <v>3420</v>
      </c>
      <c r="Z88" s="25" t="n">
        <v>40146</v>
      </c>
      <c r="AA88" s="25" t="s">
        <v>204</v>
      </c>
      <c r="AB88" s="25" t="n">
        <v>2</v>
      </c>
      <c r="AC88" s="25" t="n">
        <v>540</v>
      </c>
      <c r="AD88" s="26"/>
      <c r="AE88" s="26"/>
      <c r="AF88" s="26"/>
      <c r="AG88" s="26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30"/>
    </row>
    <row r="89" customFormat="false" ht="15" hidden="true" customHeight="false" outlineLevel="0" collapsed="false">
      <c r="A89" s="17" t="n">
        <v>237</v>
      </c>
      <c r="B89" s="18" t="s">
        <v>159</v>
      </c>
      <c r="C89" s="19" t="str">
        <f aca="false">_xlfn.xlookup(B89,[1]Clients!B$1:B$1048576,[1]Clients!C$1:C$1048576)</f>
        <v>Damaflex</v>
      </c>
      <c r="D89" s="18" t="s">
        <v>160</v>
      </c>
      <c r="E89" s="19" t="str">
        <f aca="false">_xlfn.xlookup(D89,[1]Clients!B$1:B$1048576,[1]Clients!C$1:C$1048576)</f>
        <v>Damaflex livraison</v>
      </c>
      <c r="F89" s="20" t="n">
        <v>45587</v>
      </c>
      <c r="G89" s="21" t="s">
        <v>58</v>
      </c>
      <c r="H89" s="19" t="s">
        <v>205</v>
      </c>
      <c r="I89" s="19" t="s">
        <v>161</v>
      </c>
      <c r="J89" s="21" t="n">
        <v>45602</v>
      </c>
      <c r="K89" s="19"/>
      <c r="L89" s="19" t="n">
        <v>0</v>
      </c>
      <c r="M89" s="19" t="s">
        <v>74</v>
      </c>
      <c r="N89" s="19" t="s">
        <v>70</v>
      </c>
      <c r="O89" s="22" t="n">
        <v>0</v>
      </c>
      <c r="P89" s="23" t="s">
        <v>88</v>
      </c>
      <c r="Q89" s="23" t="s">
        <v>88</v>
      </c>
      <c r="R89" s="25" t="n">
        <v>40147</v>
      </c>
      <c r="S89" s="25" t="s">
        <v>206</v>
      </c>
      <c r="T89" s="25" t="n">
        <v>15</v>
      </c>
      <c r="U89" s="25" t="n">
        <v>11812.5</v>
      </c>
      <c r="V89" s="26" t="n">
        <v>40148</v>
      </c>
      <c r="W89" s="26" t="s">
        <v>207</v>
      </c>
      <c r="X89" s="26" t="n">
        <v>9</v>
      </c>
      <c r="Y89" s="26" t="n">
        <v>9787.5</v>
      </c>
      <c r="Z89" s="25"/>
      <c r="AA89" s="25"/>
      <c r="AB89" s="25"/>
      <c r="AC89" s="25"/>
      <c r="AD89" s="26"/>
      <c r="AE89" s="26"/>
      <c r="AF89" s="26"/>
      <c r="AG89" s="26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30"/>
    </row>
    <row r="90" customFormat="false" ht="15" hidden="true" customHeight="false" outlineLevel="0" collapsed="false">
      <c r="A90" s="17" t="n">
        <v>238</v>
      </c>
      <c r="B90" s="18" t="s">
        <v>63</v>
      </c>
      <c r="C90" s="19" t="str">
        <f aca="false">_xlfn.xlookup(B90,[1]Clients!B$1:B$1048576,[1]Clients!C$1:C$1048576)</f>
        <v>Digi</v>
      </c>
      <c r="D90" s="18" t="s">
        <v>63</v>
      </c>
      <c r="E90" s="19" t="str">
        <f aca="false">_xlfn.xlookup(D90,[1]Clients!B$1:B$1048576,[1]Clients!C$1:C$1048576)</f>
        <v>Digi</v>
      </c>
      <c r="F90" s="20" t="n">
        <v>45587</v>
      </c>
      <c r="G90" s="21" t="s">
        <v>58</v>
      </c>
      <c r="H90" s="19" t="n">
        <v>50008739</v>
      </c>
      <c r="I90" s="19" t="s">
        <v>64</v>
      </c>
      <c r="J90" s="21" t="n">
        <v>45600</v>
      </c>
      <c r="K90" s="19"/>
      <c r="L90" s="19" t="n">
        <v>0</v>
      </c>
      <c r="M90" s="19" t="s">
        <v>61</v>
      </c>
      <c r="N90" s="19" t="s">
        <v>65</v>
      </c>
      <c r="O90" s="22" t="n">
        <v>0</v>
      </c>
      <c r="P90" s="23" t="s">
        <v>77</v>
      </c>
      <c r="Q90" s="23" t="s">
        <v>77</v>
      </c>
      <c r="R90" s="25" t="n">
        <v>40103</v>
      </c>
      <c r="S90" s="25" t="s">
        <v>139</v>
      </c>
      <c r="T90" s="25" t="n">
        <v>72</v>
      </c>
      <c r="U90" s="25" t="n">
        <v>43200</v>
      </c>
      <c r="V90" s="26"/>
      <c r="W90" s="26"/>
      <c r="X90" s="26"/>
      <c r="Y90" s="26"/>
      <c r="Z90" s="25"/>
      <c r="AA90" s="25"/>
      <c r="AB90" s="25"/>
      <c r="AC90" s="25"/>
      <c r="AD90" s="26"/>
      <c r="AE90" s="26"/>
      <c r="AF90" s="26"/>
      <c r="AG90" s="26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30"/>
    </row>
    <row r="91" customFormat="false" ht="15" hidden="true" customHeight="false" outlineLevel="0" collapsed="false">
      <c r="A91" s="17" t="n">
        <v>239</v>
      </c>
      <c r="B91" s="18" t="s">
        <v>141</v>
      </c>
      <c r="C91" s="19" t="str">
        <f aca="false">_xlfn.xlookup(B91,[1]Clients!B$1:B$1048576,[1]Clients!C$1:C$1048576)</f>
        <v>Amstik</v>
      </c>
      <c r="D91" s="18" t="s">
        <v>141</v>
      </c>
      <c r="E91" s="19" t="str">
        <f aca="false">_xlfn.xlookup(D91,[1]Clients!B$1:B$1048576,[1]Clients!C$1:C$1048576)</f>
        <v>Amstik</v>
      </c>
      <c r="F91" s="20" t="n">
        <v>45589</v>
      </c>
      <c r="G91" s="21" t="s">
        <v>58</v>
      </c>
      <c r="H91" s="19" t="s">
        <v>208</v>
      </c>
      <c r="I91" s="19" t="s">
        <v>142</v>
      </c>
      <c r="J91" s="21" t="n">
        <v>45590</v>
      </c>
      <c r="K91" s="19"/>
      <c r="L91" s="19" t="n">
        <v>0</v>
      </c>
      <c r="M91" s="19" t="s">
        <v>74</v>
      </c>
      <c r="N91" s="19" t="s">
        <v>70</v>
      </c>
      <c r="O91" s="22" t="n">
        <v>0</v>
      </c>
      <c r="P91" s="23" t="s">
        <v>88</v>
      </c>
      <c r="Q91" s="23" t="s">
        <v>88</v>
      </c>
      <c r="R91" s="25" t="n">
        <v>40149</v>
      </c>
      <c r="S91" s="25" t="s">
        <v>162</v>
      </c>
      <c r="T91" s="25" t="n">
        <v>1</v>
      </c>
      <c r="U91" s="25" t="n">
        <v>225.6</v>
      </c>
      <c r="V91" s="26"/>
      <c r="W91" s="26"/>
      <c r="X91" s="26"/>
      <c r="Y91" s="26"/>
      <c r="Z91" s="25"/>
      <c r="AA91" s="25"/>
      <c r="AB91" s="25"/>
      <c r="AC91" s="25"/>
      <c r="AD91" s="26"/>
      <c r="AE91" s="26"/>
      <c r="AF91" s="26"/>
      <c r="AG91" s="26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30"/>
    </row>
    <row r="92" customFormat="false" ht="15" hidden="true" customHeight="false" outlineLevel="0" collapsed="false">
      <c r="A92" s="17" t="n">
        <v>240</v>
      </c>
      <c r="B92" s="18" t="s">
        <v>94</v>
      </c>
      <c r="C92" s="19" t="str">
        <f aca="false">_xlfn.xlookup(B92,[1]Clients!B$1:B$1048576,[1]Clients!C$1:C$1048576)</f>
        <v>IMPSJ</v>
      </c>
      <c r="D92" s="18" t="s">
        <v>94</v>
      </c>
      <c r="E92" s="19" t="str">
        <f aca="false">_xlfn.xlookup(D92,[1]Clients!B$1:B$1048576,[1]Clients!C$1:C$1048576)</f>
        <v>IMPSJ</v>
      </c>
      <c r="F92" s="20" t="n">
        <v>45593</v>
      </c>
      <c r="G92" s="21" t="s">
        <v>58</v>
      </c>
      <c r="H92" s="19" t="n">
        <v>104997</v>
      </c>
      <c r="I92" s="19" t="s">
        <v>118</v>
      </c>
      <c r="J92" s="21" t="n">
        <v>45600</v>
      </c>
      <c r="K92" s="19"/>
      <c r="L92" s="19" t="n">
        <v>0</v>
      </c>
      <c r="M92" s="19" t="s">
        <v>74</v>
      </c>
      <c r="N92" s="19" t="s">
        <v>107</v>
      </c>
      <c r="O92" s="22" t="n">
        <v>0</v>
      </c>
      <c r="P92" s="23" t="s">
        <v>77</v>
      </c>
      <c r="Q92" s="23" t="s">
        <v>77</v>
      </c>
      <c r="R92" s="25" t="n">
        <v>40117</v>
      </c>
      <c r="S92" s="25" t="s">
        <v>165</v>
      </c>
      <c r="T92" s="25" t="n">
        <v>3</v>
      </c>
      <c r="U92" s="25" t="n">
        <v>1800</v>
      </c>
      <c r="V92" s="26" t="n">
        <v>40067</v>
      </c>
      <c r="W92" s="26" t="s">
        <v>164</v>
      </c>
      <c r="X92" s="26" t="n">
        <v>2</v>
      </c>
      <c r="Y92" s="26" t="n">
        <v>1440</v>
      </c>
      <c r="Z92" s="25" t="n">
        <v>40118</v>
      </c>
      <c r="AA92" s="25" t="s">
        <v>163</v>
      </c>
      <c r="AB92" s="25" t="n">
        <v>1</v>
      </c>
      <c r="AC92" s="25" t="n">
        <v>360</v>
      </c>
      <c r="AD92" s="26"/>
      <c r="AE92" s="26"/>
      <c r="AF92" s="26"/>
      <c r="AG92" s="26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30"/>
    </row>
    <row r="93" customFormat="false" ht="15" hidden="true" customHeight="false" outlineLevel="0" collapsed="false">
      <c r="A93" s="17" t="n">
        <v>241</v>
      </c>
      <c r="B93" s="18" t="s">
        <v>63</v>
      </c>
      <c r="C93" s="19" t="str">
        <f aca="false">_xlfn.xlookup(B93,[1]Clients!B$1:B$1048576,[1]Clients!C$1:C$1048576)</f>
        <v>Digi</v>
      </c>
      <c r="D93" s="18" t="s">
        <v>63</v>
      </c>
      <c r="E93" s="19" t="str">
        <f aca="false">_xlfn.xlookup(D93,[1]Clients!B$1:B$1048576,[1]Clients!C$1:C$1048576)</f>
        <v>Digi</v>
      </c>
      <c r="F93" s="20" t="n">
        <v>45596</v>
      </c>
      <c r="G93" s="21" t="s">
        <v>58</v>
      </c>
      <c r="H93" s="19" t="n">
        <v>50008774</v>
      </c>
      <c r="I93" s="19" t="s">
        <v>64</v>
      </c>
      <c r="J93" s="21" t="n">
        <v>45609</v>
      </c>
      <c r="K93" s="19"/>
      <c r="L93" s="19" t="n">
        <v>0</v>
      </c>
      <c r="M93" s="19" t="s">
        <v>61</v>
      </c>
      <c r="N93" s="19" t="s">
        <v>65</v>
      </c>
      <c r="O93" s="22" t="n">
        <v>0</v>
      </c>
      <c r="P93" s="23" t="s">
        <v>77</v>
      </c>
      <c r="Q93" s="23" t="s">
        <v>77</v>
      </c>
      <c r="R93" s="25" t="n">
        <v>40103</v>
      </c>
      <c r="S93" s="25" t="s">
        <v>139</v>
      </c>
      <c r="T93" s="25" t="n">
        <v>72</v>
      </c>
      <c r="U93" s="25" t="n">
        <v>43200</v>
      </c>
      <c r="V93" s="26"/>
      <c r="W93" s="26"/>
      <c r="X93" s="26"/>
      <c r="Y93" s="26"/>
      <c r="Z93" s="25"/>
      <c r="AA93" s="25"/>
      <c r="AB93" s="25"/>
      <c r="AC93" s="25"/>
      <c r="AD93" s="26"/>
      <c r="AE93" s="26"/>
      <c r="AF93" s="26"/>
      <c r="AG93" s="26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30"/>
    </row>
    <row r="94" customFormat="false" ht="15" hidden="true" customHeight="false" outlineLevel="0" collapsed="false">
      <c r="A94" s="17" t="n">
        <v>242</v>
      </c>
      <c r="B94" s="18" t="s">
        <v>85</v>
      </c>
      <c r="C94" s="19" t="str">
        <f aca="false">_xlfn.xlookup(B94,[1]Clients!B$1:B$1048576,[1]Clients!C$1:C$1048576)</f>
        <v>Étiquettes Rive-Sud</v>
      </c>
      <c r="D94" s="18" t="s">
        <v>85</v>
      </c>
      <c r="E94" s="19" t="str">
        <f aca="false">_xlfn.xlookup(D94,[1]Clients!B$1:B$1048576,[1]Clients!C$1:C$1048576)</f>
        <v>Étiquettes Rive-Sud</v>
      </c>
      <c r="F94" s="20" t="n">
        <v>45595</v>
      </c>
      <c r="G94" s="21" t="s">
        <v>58</v>
      </c>
      <c r="H94" s="19" t="n">
        <v>301024</v>
      </c>
      <c r="I94" s="19" t="s">
        <v>86</v>
      </c>
      <c r="J94" s="21" t="s">
        <v>209</v>
      </c>
      <c r="K94" s="19"/>
      <c r="L94" s="19" t="n">
        <v>0</v>
      </c>
      <c r="M94" s="19" t="s">
        <v>74</v>
      </c>
      <c r="N94" s="19" t="s">
        <v>70</v>
      </c>
      <c r="O94" s="22" t="n">
        <v>0</v>
      </c>
      <c r="P94" s="23" t="s">
        <v>88</v>
      </c>
      <c r="Q94" s="23" t="s">
        <v>88</v>
      </c>
      <c r="R94" s="25" t="n">
        <v>40155</v>
      </c>
      <c r="S94" s="25" t="s">
        <v>137</v>
      </c>
      <c r="T94" s="25" t="n">
        <v>7</v>
      </c>
      <c r="U94" s="25" t="n">
        <v>3612</v>
      </c>
      <c r="V94" s="26"/>
      <c r="W94" s="26"/>
      <c r="X94" s="26"/>
      <c r="Y94" s="26"/>
      <c r="Z94" s="25"/>
      <c r="AA94" s="25"/>
      <c r="AB94" s="25"/>
      <c r="AC94" s="25"/>
      <c r="AD94" s="26"/>
      <c r="AE94" s="26"/>
      <c r="AF94" s="26"/>
      <c r="AG94" s="26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30"/>
    </row>
    <row r="95" customFormat="false" ht="15" hidden="true" customHeight="false" outlineLevel="0" collapsed="false">
      <c r="A95" s="17" t="n">
        <v>243</v>
      </c>
      <c r="B95" s="18" t="s">
        <v>210</v>
      </c>
      <c r="C95" s="19" t="str">
        <f aca="false">_xlfn.xlookup(B95,[1]Clients!B$1:B$1048576,[1]Clients!C$1:C$1048576)</f>
        <v>3G</v>
      </c>
      <c r="D95" s="18" t="s">
        <v>210</v>
      </c>
      <c r="E95" s="19" t="str">
        <f aca="false">_xlfn.xlookup(D95,[1]Clients!B$1:B$1048576,[1]Clients!C$1:C$1048576)</f>
        <v>3G</v>
      </c>
      <c r="F95" s="20" t="n">
        <v>45595</v>
      </c>
      <c r="G95" s="21" t="s">
        <v>58</v>
      </c>
      <c r="H95" s="19" t="n">
        <v>2842</v>
      </c>
      <c r="I95" s="19" t="s">
        <v>211</v>
      </c>
      <c r="J95" s="21" t="n">
        <v>45604</v>
      </c>
      <c r="K95" s="19"/>
      <c r="L95" s="19" t="n">
        <v>0</v>
      </c>
      <c r="M95" s="19" t="s">
        <v>61</v>
      </c>
      <c r="N95" s="19" t="s">
        <v>123</v>
      </c>
      <c r="O95" s="22" t="n">
        <v>0</v>
      </c>
      <c r="P95" s="23" t="s">
        <v>88</v>
      </c>
      <c r="Q95" s="23" t="s">
        <v>88</v>
      </c>
      <c r="R95" s="25" t="n">
        <v>40151</v>
      </c>
      <c r="S95" s="25" t="s">
        <v>180</v>
      </c>
      <c r="T95" s="25" t="n">
        <v>1</v>
      </c>
      <c r="U95" s="25" t="n">
        <v>312</v>
      </c>
      <c r="V95" s="26" t="n">
        <v>40152</v>
      </c>
      <c r="W95" s="26" t="s">
        <v>212</v>
      </c>
      <c r="X95" s="26" t="n">
        <v>1</v>
      </c>
      <c r="Y95" s="26" t="n">
        <v>312</v>
      </c>
      <c r="Z95" s="25" t="n">
        <v>40153</v>
      </c>
      <c r="AA95" s="25" t="s">
        <v>182</v>
      </c>
      <c r="AB95" s="25" t="n">
        <v>1</v>
      </c>
      <c r="AC95" s="25" t="n">
        <v>312</v>
      </c>
      <c r="AD95" s="26" t="n">
        <v>40154</v>
      </c>
      <c r="AE95" s="26" t="s">
        <v>213</v>
      </c>
      <c r="AF95" s="26" t="n">
        <v>1</v>
      </c>
      <c r="AG95" s="26" t="n">
        <v>312</v>
      </c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C95" s="29"/>
      <c r="BD95" s="29"/>
      <c r="BE95" s="30"/>
    </row>
    <row r="96" customFormat="false" ht="15" hidden="true" customHeight="false" outlineLevel="0" collapsed="false">
      <c r="A96" s="17" t="n">
        <v>244</v>
      </c>
      <c r="B96" s="18" t="s">
        <v>94</v>
      </c>
      <c r="C96" s="19" t="str">
        <f aca="false">_xlfn.xlookup(B96,[1]Clients!B$1:B$1048576,[1]Clients!C$1:C$1048576)</f>
        <v>IMPSJ</v>
      </c>
      <c r="D96" s="18" t="s">
        <v>94</v>
      </c>
      <c r="E96" s="19" t="str">
        <f aca="false">_xlfn.xlookup(D96,[1]Clients!B$1:B$1048576,[1]Clients!C$1:C$1048576)</f>
        <v>IMPSJ</v>
      </c>
      <c r="F96" s="20" t="n">
        <v>45596</v>
      </c>
      <c r="G96" s="21" t="s">
        <v>58</v>
      </c>
      <c r="H96" s="19" t="n">
        <v>105111</v>
      </c>
      <c r="I96" s="19" t="s">
        <v>118</v>
      </c>
      <c r="J96" s="21"/>
      <c r="K96" s="19"/>
      <c r="L96" s="19" t="n">
        <v>0</v>
      </c>
      <c r="M96" s="19" t="s">
        <v>74</v>
      </c>
      <c r="N96" s="19" t="s">
        <v>107</v>
      </c>
      <c r="O96" s="22" t="n">
        <v>0</v>
      </c>
      <c r="P96" s="23" t="s">
        <v>77</v>
      </c>
      <c r="Q96" s="23" t="s">
        <v>77</v>
      </c>
      <c r="R96" s="25" t="n">
        <v>40150</v>
      </c>
      <c r="S96" s="25" t="s">
        <v>166</v>
      </c>
      <c r="T96" s="25" t="n">
        <v>18</v>
      </c>
      <c r="U96" s="25" t="n">
        <v>10800</v>
      </c>
      <c r="V96" s="26"/>
      <c r="W96" s="26"/>
      <c r="X96" s="26"/>
      <c r="Y96" s="26"/>
      <c r="Z96" s="25"/>
      <c r="AA96" s="25"/>
      <c r="AB96" s="25"/>
      <c r="AC96" s="25"/>
      <c r="AD96" s="26"/>
      <c r="AE96" s="26"/>
      <c r="AF96" s="26"/>
      <c r="AG96" s="26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C96" s="29"/>
      <c r="BD96" s="29"/>
      <c r="BE96" s="30"/>
    </row>
    <row r="97" customFormat="false" ht="15" hidden="true" customHeight="false" outlineLevel="0" collapsed="false">
      <c r="A97" s="17" t="n">
        <v>245</v>
      </c>
      <c r="B97" s="18" t="s">
        <v>96</v>
      </c>
      <c r="C97" s="19" t="str">
        <f aca="false">_xlfn.xlookup(B97,[1]Clients!B$1:B$1048576,[1]Clients!C$1:C$1048576)</f>
        <v>Luso-Flex</v>
      </c>
      <c r="D97" s="18" t="s">
        <v>96</v>
      </c>
      <c r="E97" s="19" t="str">
        <f aca="false">_xlfn.xlookup(D97,[1]Clients!B$1:B$1048576,[1]Clients!C$1:C$1048576)</f>
        <v>Luso-Flex</v>
      </c>
      <c r="F97" s="20" t="n">
        <v>45600</v>
      </c>
      <c r="G97" s="21" t="s">
        <v>58</v>
      </c>
      <c r="H97" s="19" t="s">
        <v>214</v>
      </c>
      <c r="I97" s="19" t="s">
        <v>97</v>
      </c>
      <c r="J97" s="21" t="s">
        <v>215</v>
      </c>
      <c r="K97" s="19"/>
      <c r="L97" s="19" t="n">
        <v>0</v>
      </c>
      <c r="M97" s="19" t="s">
        <v>74</v>
      </c>
      <c r="N97" s="19" t="s">
        <v>70</v>
      </c>
      <c r="O97" s="22" t="n">
        <v>0</v>
      </c>
      <c r="P97" s="23" t="s">
        <v>88</v>
      </c>
      <c r="Q97" s="23" t="s">
        <v>88</v>
      </c>
      <c r="R97" s="25" t="n">
        <v>40161</v>
      </c>
      <c r="S97" s="25" t="s">
        <v>190</v>
      </c>
      <c r="T97" s="25" t="n">
        <v>0</v>
      </c>
      <c r="U97" s="25" t="n">
        <v>664</v>
      </c>
      <c r="V97" s="26"/>
      <c r="W97" s="26"/>
      <c r="X97" s="26"/>
      <c r="Y97" s="26"/>
      <c r="Z97" s="25"/>
      <c r="AA97" s="25"/>
      <c r="AB97" s="25"/>
      <c r="AC97" s="25"/>
      <c r="AD97" s="26"/>
      <c r="AE97" s="26"/>
      <c r="AF97" s="26"/>
      <c r="AG97" s="26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29"/>
      <c r="BD97" s="29"/>
      <c r="BE97" s="30"/>
    </row>
    <row r="98" customFormat="false" ht="15" hidden="true" customHeight="false" outlineLevel="0" collapsed="false">
      <c r="A98" s="17" t="n">
        <v>246</v>
      </c>
      <c r="B98" s="18" t="s">
        <v>96</v>
      </c>
      <c r="C98" s="19" t="str">
        <f aca="false">_xlfn.xlookup(B98,[1]Clients!B$1:B$1048576,[1]Clients!C$1:C$1048576)</f>
        <v>Luso-Flex</v>
      </c>
      <c r="D98" s="18" t="s">
        <v>96</v>
      </c>
      <c r="E98" s="19" t="str">
        <f aca="false">_xlfn.xlookup(D98,[1]Clients!B$1:B$1048576,[1]Clients!C$1:C$1048576)</f>
        <v>Luso-Flex</v>
      </c>
      <c r="F98" s="20" t="n">
        <v>45600</v>
      </c>
      <c r="G98" s="21" t="s">
        <v>58</v>
      </c>
      <c r="H98" s="19" t="n">
        <v>1942</v>
      </c>
      <c r="I98" s="19" t="s">
        <v>99</v>
      </c>
      <c r="J98" s="21" t="n">
        <v>45607</v>
      </c>
      <c r="K98" s="19"/>
      <c r="L98" s="19" t="n">
        <v>0</v>
      </c>
      <c r="M98" s="19" t="s">
        <v>74</v>
      </c>
      <c r="N98" s="19" t="s">
        <v>70</v>
      </c>
      <c r="O98" s="22" t="n">
        <v>0</v>
      </c>
      <c r="P98" s="23" t="s">
        <v>88</v>
      </c>
      <c r="Q98" s="23" t="s">
        <v>88</v>
      </c>
      <c r="R98" s="25" t="n">
        <v>40156</v>
      </c>
      <c r="S98" s="25" t="s">
        <v>216</v>
      </c>
      <c r="T98" s="25" t="n">
        <v>7</v>
      </c>
      <c r="U98" s="25" t="n">
        <v>7224</v>
      </c>
      <c r="V98" s="26"/>
      <c r="W98" s="26" t="s">
        <v>217</v>
      </c>
      <c r="X98" s="26"/>
      <c r="Y98" s="26" t="n">
        <v>0</v>
      </c>
      <c r="Z98" s="25"/>
      <c r="AA98" s="25"/>
      <c r="AB98" s="25"/>
      <c r="AC98" s="25" t="n">
        <v>0</v>
      </c>
      <c r="AD98" s="26"/>
      <c r="AE98" s="26"/>
      <c r="AF98" s="26"/>
      <c r="AG98" s="26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C98" s="29"/>
      <c r="BD98" s="29"/>
      <c r="BE98" s="30"/>
    </row>
    <row r="99" customFormat="false" ht="15" hidden="true" customHeight="false" outlineLevel="0" collapsed="false">
      <c r="A99" s="17" t="n">
        <v>247</v>
      </c>
      <c r="B99" s="18" t="s">
        <v>96</v>
      </c>
      <c r="C99" s="19" t="str">
        <f aca="false">_xlfn.xlookup(B99,[1]Clients!B$1:B$1048576,[1]Clients!C$1:C$1048576)</f>
        <v>Luso-Flex</v>
      </c>
      <c r="D99" s="18" t="s">
        <v>96</v>
      </c>
      <c r="E99" s="19" t="str">
        <f aca="false">_xlfn.xlookup(D99,[1]Clients!B$1:B$1048576,[1]Clients!C$1:C$1048576)</f>
        <v>Luso-Flex</v>
      </c>
      <c r="F99" s="20" t="n">
        <v>45601</v>
      </c>
      <c r="G99" s="21" t="s">
        <v>58</v>
      </c>
      <c r="H99" s="19" t="n">
        <v>1944</v>
      </c>
      <c r="I99" s="19" t="s">
        <v>99</v>
      </c>
      <c r="J99" s="21" t="n">
        <v>45607</v>
      </c>
      <c r="K99" s="19"/>
      <c r="L99" s="19" t="n">
        <v>0</v>
      </c>
      <c r="M99" s="19" t="s">
        <v>74</v>
      </c>
      <c r="N99" s="19" t="s">
        <v>70</v>
      </c>
      <c r="O99" s="22" t="n">
        <v>0</v>
      </c>
      <c r="P99" s="23" t="s">
        <v>88</v>
      </c>
      <c r="Q99" s="23" t="s">
        <v>88</v>
      </c>
      <c r="R99" s="25" t="n">
        <v>40157</v>
      </c>
      <c r="S99" s="25" t="s">
        <v>218</v>
      </c>
      <c r="T99" s="25" t="n">
        <v>4</v>
      </c>
      <c r="U99" s="25" t="n">
        <v>1080</v>
      </c>
      <c r="V99" s="26" t="n">
        <v>40158</v>
      </c>
      <c r="W99" s="26" t="s">
        <v>219</v>
      </c>
      <c r="X99" s="26" t="n">
        <v>4</v>
      </c>
      <c r="Y99" s="26" t="n">
        <v>2070</v>
      </c>
      <c r="Z99" s="25" t="n">
        <v>40159</v>
      </c>
      <c r="AA99" s="25" t="s">
        <v>220</v>
      </c>
      <c r="AB99" s="25" t="n">
        <v>1</v>
      </c>
      <c r="AC99" s="25" t="n">
        <v>450</v>
      </c>
      <c r="AD99" s="26"/>
      <c r="AE99" s="26"/>
      <c r="AF99" s="26"/>
      <c r="AG99" s="26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30"/>
    </row>
    <row r="100" customFormat="false" ht="15" hidden="true" customHeight="false" outlineLevel="0" collapsed="false">
      <c r="A100" s="17" t="n">
        <v>248</v>
      </c>
      <c r="B100" s="18" t="s">
        <v>221</v>
      </c>
      <c r="C100" s="19" t="str">
        <f aca="false">_xlfn.xlookup(B100,[1]Clients!B$1:B$1048576,[1]Clients!C$1:C$1048576)</f>
        <v>Bas St-Laurent</v>
      </c>
      <c r="D100" s="18" t="s">
        <v>221</v>
      </c>
      <c r="E100" s="19" t="str">
        <f aca="false">_xlfn.xlookup(D100,[1]Clients!B$1:B$1048576,[1]Clients!C$1:C$1048576)</f>
        <v>Bas St-Laurent</v>
      </c>
      <c r="F100" s="20" t="n">
        <v>45601</v>
      </c>
      <c r="G100" s="21" t="s">
        <v>58</v>
      </c>
      <c r="H100" s="19" t="s">
        <v>208</v>
      </c>
      <c r="I100" s="19" t="s">
        <v>222</v>
      </c>
      <c r="J100" s="21" t="n">
        <v>45608</v>
      </c>
      <c r="K100" s="19"/>
      <c r="L100" s="19" t="n">
        <v>0</v>
      </c>
      <c r="M100" s="19" t="s">
        <v>74</v>
      </c>
      <c r="N100" s="19" t="s">
        <v>70</v>
      </c>
      <c r="O100" s="22" t="n">
        <v>0</v>
      </c>
      <c r="P100" s="23" t="s">
        <v>88</v>
      </c>
      <c r="Q100" s="23" t="s">
        <v>88</v>
      </c>
      <c r="R100" s="25" t="n">
        <v>40160</v>
      </c>
      <c r="S100" s="25" t="s">
        <v>223</v>
      </c>
      <c r="T100" s="25" t="n">
        <v>1</v>
      </c>
      <c r="U100" s="25" t="n">
        <v>213.84</v>
      </c>
      <c r="V100" s="26" t="n">
        <v>40176</v>
      </c>
      <c r="W100" s="26" t="s">
        <v>224</v>
      </c>
      <c r="X100" s="26" t="n">
        <v>1</v>
      </c>
      <c r="Y100" s="26" t="n">
        <v>135</v>
      </c>
      <c r="Z100" s="25"/>
      <c r="AA100" s="25"/>
      <c r="AB100" s="25"/>
      <c r="AC100" s="25" t="n">
        <v>0</v>
      </c>
      <c r="AD100" s="26"/>
      <c r="AE100" s="26"/>
      <c r="AF100" s="26"/>
      <c r="AG100" s="26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30"/>
    </row>
    <row r="101" customFormat="false" ht="15" hidden="true" customHeight="false" outlineLevel="0" collapsed="false">
      <c r="A101" s="17" t="n">
        <v>249</v>
      </c>
      <c r="B101" s="18" t="s">
        <v>109</v>
      </c>
      <c r="C101" s="19" t="str">
        <f aca="false">_xlfn.xlookup(B101,[1]Clients!B$1:B$1048576,[1]Clients!C$1:C$1048576)</f>
        <v>Visuascan</v>
      </c>
      <c r="D101" s="18" t="s">
        <v>109</v>
      </c>
      <c r="E101" s="19" t="str">
        <f aca="false">_xlfn.xlookup(D101,[1]Clients!B$1:B$1048576,[1]Clients!C$1:C$1048576)</f>
        <v>Visuascan</v>
      </c>
      <c r="F101" s="20" t="n">
        <v>45602</v>
      </c>
      <c r="G101" s="21" t="s">
        <v>58</v>
      </c>
      <c r="H101" s="19" t="s">
        <v>225</v>
      </c>
      <c r="I101" s="19" t="s">
        <v>130</v>
      </c>
      <c r="J101" s="21" t="n">
        <v>45694</v>
      </c>
      <c r="K101" s="19"/>
      <c r="L101" s="19" t="n">
        <v>0</v>
      </c>
      <c r="M101" s="19" t="s">
        <v>74</v>
      </c>
      <c r="N101" s="19" t="s">
        <v>70</v>
      </c>
      <c r="O101" s="22" t="n">
        <v>0</v>
      </c>
      <c r="P101" s="23" t="s">
        <v>88</v>
      </c>
      <c r="Q101" s="23" t="s">
        <v>88</v>
      </c>
      <c r="R101" s="25" t="n">
        <v>40162</v>
      </c>
      <c r="S101" s="25" t="s">
        <v>226</v>
      </c>
      <c r="T101" s="25" t="n">
        <v>5</v>
      </c>
      <c r="U101" s="25" t="n">
        <v>3300</v>
      </c>
      <c r="V101" s="26" t="n">
        <v>40163</v>
      </c>
      <c r="W101" s="26" t="s">
        <v>227</v>
      </c>
      <c r="X101" s="26" t="n">
        <v>0</v>
      </c>
      <c r="Y101" s="26" t="n">
        <v>1</v>
      </c>
      <c r="Z101" s="25" t="n">
        <v>40164</v>
      </c>
      <c r="AA101" s="25" t="s">
        <v>228</v>
      </c>
      <c r="AB101" s="25" t="n">
        <v>0</v>
      </c>
      <c r="AC101" s="25" t="n">
        <v>1</v>
      </c>
      <c r="AD101" s="26"/>
      <c r="AE101" s="26"/>
      <c r="AF101" s="26"/>
      <c r="AG101" s="26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30"/>
    </row>
    <row r="102" customFormat="false" ht="15" hidden="true" customHeight="false" outlineLevel="0" collapsed="false">
      <c r="A102" s="17" t="n">
        <v>250</v>
      </c>
      <c r="B102" s="18" t="s">
        <v>194</v>
      </c>
      <c r="C102" s="19" t="str">
        <f aca="false">_xlfn.xlookup(B102,[1]Clients!B$1:B$1048576,[1]Clients!C$1:C$1048576)</f>
        <v>IMS</v>
      </c>
      <c r="D102" s="18" t="s">
        <v>194</v>
      </c>
      <c r="E102" s="19" t="str">
        <f aca="false">_xlfn.xlookup(D102,[1]Clients!B$1:B$1048576,[1]Clients!C$1:C$1048576)</f>
        <v>IMS</v>
      </c>
      <c r="F102" s="20" t="n">
        <v>45602</v>
      </c>
      <c r="G102" s="21" t="s">
        <v>58</v>
      </c>
      <c r="H102" s="19" t="s">
        <v>229</v>
      </c>
      <c r="I102" s="19" t="s">
        <v>230</v>
      </c>
      <c r="J102" s="21" t="n">
        <v>45672</v>
      </c>
      <c r="K102" s="19"/>
      <c r="L102" s="19" t="n">
        <v>0</v>
      </c>
      <c r="M102" s="19" t="s">
        <v>74</v>
      </c>
      <c r="N102" s="19" t="s">
        <v>70</v>
      </c>
      <c r="O102" s="22" t="n">
        <v>0</v>
      </c>
      <c r="P102" s="23" t="s">
        <v>88</v>
      </c>
      <c r="Q102" s="23" t="s">
        <v>88</v>
      </c>
      <c r="R102" s="25" t="n">
        <v>40165</v>
      </c>
      <c r="S102" s="25" t="s">
        <v>231</v>
      </c>
      <c r="T102" s="25" t="n">
        <v>0</v>
      </c>
      <c r="U102" s="25" t="n">
        <v>256</v>
      </c>
      <c r="V102" s="26"/>
      <c r="W102" s="26" t="s">
        <v>217</v>
      </c>
      <c r="X102" s="26"/>
      <c r="Y102" s="26" t="n">
        <v>0</v>
      </c>
      <c r="Z102" s="25"/>
      <c r="AA102" s="25"/>
      <c r="AB102" s="25"/>
      <c r="AC102" s="25"/>
      <c r="AD102" s="26"/>
      <c r="AE102" s="26"/>
      <c r="AF102" s="26"/>
      <c r="AG102" s="26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30"/>
    </row>
    <row r="103" customFormat="false" ht="15" hidden="true" customHeight="false" outlineLevel="0" collapsed="false">
      <c r="A103" s="17" t="n">
        <v>251</v>
      </c>
      <c r="B103" s="18" t="s">
        <v>63</v>
      </c>
      <c r="C103" s="19" t="str">
        <f aca="false">_xlfn.xlookup(B103,[1]Clients!B$1:B$1048576,[1]Clients!C$1:C$1048576)</f>
        <v>Digi</v>
      </c>
      <c r="D103" s="18" t="s">
        <v>63</v>
      </c>
      <c r="E103" s="19" t="str">
        <f aca="false">_xlfn.xlookup(D103,[1]Clients!B$1:B$1048576,[1]Clients!C$1:C$1048576)</f>
        <v>Digi</v>
      </c>
      <c r="F103" s="20" t="n">
        <v>45608</v>
      </c>
      <c r="G103" s="21" t="s">
        <v>58</v>
      </c>
      <c r="H103" s="19" t="n">
        <v>50008821</v>
      </c>
      <c r="I103" s="19" t="s">
        <v>64</v>
      </c>
      <c r="J103" s="21" t="n">
        <v>45616</v>
      </c>
      <c r="K103" s="19"/>
      <c r="L103" s="19" t="n">
        <v>0</v>
      </c>
      <c r="M103" s="19" t="s">
        <v>61</v>
      </c>
      <c r="N103" s="19" t="s">
        <v>65</v>
      </c>
      <c r="O103" s="22" t="n">
        <v>0</v>
      </c>
      <c r="P103" s="23" t="s">
        <v>77</v>
      </c>
      <c r="Q103" s="23" t="s">
        <v>77</v>
      </c>
      <c r="R103" s="25" t="n">
        <v>40103</v>
      </c>
      <c r="S103" s="25" t="s">
        <v>139</v>
      </c>
      <c r="T103" s="25" t="n">
        <v>72</v>
      </c>
      <c r="U103" s="25" t="n">
        <v>43200</v>
      </c>
      <c r="V103" s="26"/>
      <c r="W103" s="26" t="s">
        <v>217</v>
      </c>
      <c r="X103" s="26"/>
      <c r="Y103" s="26" t="n">
        <v>0</v>
      </c>
      <c r="Z103" s="25"/>
      <c r="AA103" s="25"/>
      <c r="AB103" s="25"/>
      <c r="AC103" s="25"/>
      <c r="AD103" s="26"/>
      <c r="AE103" s="26"/>
      <c r="AF103" s="26"/>
      <c r="AG103" s="26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30"/>
    </row>
    <row r="104" customFormat="false" ht="15" hidden="true" customHeight="false" outlineLevel="0" collapsed="false">
      <c r="A104" s="17" t="n">
        <v>252</v>
      </c>
      <c r="B104" s="18" t="s">
        <v>134</v>
      </c>
      <c r="C104" s="19" t="str">
        <f aca="false">_xlfn.xlookup(B104,[1]Clients!B$1:B$1048576,[1]Clients!C$1:C$1048576)</f>
        <v>Multi-Flex</v>
      </c>
      <c r="D104" s="18" t="s">
        <v>134</v>
      </c>
      <c r="E104" s="19" t="str">
        <f aca="false">_xlfn.xlookup(D104,[1]Clients!B$1:B$1048576,[1]Clients!C$1:C$1048576)</f>
        <v>Multi-Flex</v>
      </c>
      <c r="F104" s="20" t="n">
        <v>45608</v>
      </c>
      <c r="G104" s="21" t="s">
        <v>58</v>
      </c>
      <c r="H104" s="19" t="s">
        <v>208</v>
      </c>
      <c r="I104" s="19" t="s">
        <v>135</v>
      </c>
      <c r="J104" s="21" t="n">
        <v>45608</v>
      </c>
      <c r="K104" s="19"/>
      <c r="L104" s="19" t="n">
        <v>0</v>
      </c>
      <c r="M104" s="19" t="s">
        <v>74</v>
      </c>
      <c r="N104" s="19" t="s">
        <v>70</v>
      </c>
      <c r="O104" s="22" t="n">
        <v>0</v>
      </c>
      <c r="P104" s="23" t="s">
        <v>88</v>
      </c>
      <c r="Q104" s="23" t="s">
        <v>88</v>
      </c>
      <c r="R104" s="25" t="n">
        <v>40168</v>
      </c>
      <c r="S104" s="25" t="s">
        <v>232</v>
      </c>
      <c r="T104" s="25" t="n">
        <v>1</v>
      </c>
      <c r="U104" s="25" t="n">
        <v>296.25</v>
      </c>
      <c r="V104" s="26"/>
      <c r="W104" s="26" t="s">
        <v>217</v>
      </c>
      <c r="X104" s="26"/>
      <c r="Y104" s="26" t="n">
        <v>0</v>
      </c>
      <c r="Z104" s="25"/>
      <c r="AA104" s="25"/>
      <c r="AB104" s="25"/>
      <c r="AC104" s="25"/>
      <c r="AD104" s="26"/>
      <c r="AE104" s="26"/>
      <c r="AF104" s="26"/>
      <c r="AG104" s="26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30"/>
    </row>
    <row r="105" customFormat="false" ht="15" hidden="true" customHeight="false" outlineLevel="0" collapsed="false">
      <c r="A105" s="17" t="n">
        <v>253</v>
      </c>
      <c r="B105" s="18" t="s">
        <v>63</v>
      </c>
      <c r="C105" s="19" t="str">
        <f aca="false">_xlfn.xlookup(B105,[1]Clients!B$1:B$1048576,[1]Clients!C$1:C$1048576)</f>
        <v>Digi</v>
      </c>
      <c r="D105" s="18" t="s">
        <v>63</v>
      </c>
      <c r="E105" s="19" t="str">
        <f aca="false">_xlfn.xlookup(D105,[1]Clients!B$1:B$1048576,[1]Clients!C$1:C$1048576)</f>
        <v>Digi</v>
      </c>
      <c r="F105" s="20" t="n">
        <v>45608</v>
      </c>
      <c r="G105" s="21" t="s">
        <v>58</v>
      </c>
      <c r="H105" s="19" t="n">
        <v>50008822</v>
      </c>
      <c r="I105" s="19" t="s">
        <v>64</v>
      </c>
      <c r="J105" s="21" t="n">
        <v>45616</v>
      </c>
      <c r="K105" s="19"/>
      <c r="L105" s="19" t="n">
        <v>0</v>
      </c>
      <c r="M105" s="19" t="s">
        <v>61</v>
      </c>
      <c r="N105" s="19" t="s">
        <v>65</v>
      </c>
      <c r="O105" s="22" t="n">
        <v>0</v>
      </c>
      <c r="P105" s="23" t="s">
        <v>77</v>
      </c>
      <c r="Q105" s="23" t="s">
        <v>77</v>
      </c>
      <c r="R105" s="25" t="n">
        <v>40169</v>
      </c>
      <c r="S105" s="25" t="s">
        <v>233</v>
      </c>
      <c r="T105" s="25" t="n">
        <v>23</v>
      </c>
      <c r="U105" s="25" t="n">
        <v>9487.5</v>
      </c>
      <c r="V105" s="26" t="n">
        <v>40170</v>
      </c>
      <c r="W105" s="26" t="s">
        <v>234</v>
      </c>
      <c r="X105" s="26" t="n">
        <v>24</v>
      </c>
      <c r="Y105" s="26" t="n">
        <v>8460</v>
      </c>
      <c r="Z105" s="25"/>
      <c r="AA105" s="25"/>
      <c r="AB105" s="25"/>
      <c r="AC105" s="25"/>
      <c r="AD105" s="26"/>
      <c r="AE105" s="26"/>
      <c r="AF105" s="26"/>
      <c r="AG105" s="26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30"/>
    </row>
    <row r="106" customFormat="false" ht="15" hidden="true" customHeight="false" outlineLevel="0" collapsed="false">
      <c r="A106" s="17" t="n">
        <v>254</v>
      </c>
      <c r="B106" s="18" t="s">
        <v>120</v>
      </c>
      <c r="C106" s="19" t="str">
        <f aca="false">_xlfn.xlookup(B106,[1]Clients!B$1:B$1048576,[1]Clients!C$1:C$1048576)</f>
        <v>Mijo</v>
      </c>
      <c r="D106" s="18" t="s">
        <v>120</v>
      </c>
      <c r="E106" s="19" t="str">
        <f aca="false">_xlfn.xlookup(D106,[1]Clients!B$1:B$1048576,[1]Clients!C$1:C$1048576)</f>
        <v>Mijo</v>
      </c>
      <c r="F106" s="20" t="n">
        <v>45610</v>
      </c>
      <c r="G106" s="21" t="s">
        <v>58</v>
      </c>
      <c r="H106" s="19" t="n">
        <v>14287</v>
      </c>
      <c r="I106" s="19" t="s">
        <v>122</v>
      </c>
      <c r="J106" s="21" t="n">
        <v>45614</v>
      </c>
      <c r="K106" s="19"/>
      <c r="L106" s="19" t="n">
        <v>0</v>
      </c>
      <c r="M106" s="19" t="s">
        <v>74</v>
      </c>
      <c r="N106" s="19" t="s">
        <v>123</v>
      </c>
      <c r="O106" s="22" t="n">
        <v>0</v>
      </c>
      <c r="P106" s="23" t="s">
        <v>88</v>
      </c>
      <c r="Q106" s="23" t="s">
        <v>88</v>
      </c>
      <c r="R106" s="25" t="n">
        <v>40171</v>
      </c>
      <c r="S106" s="25" t="s">
        <v>165</v>
      </c>
      <c r="T106" s="25" t="n">
        <v>6</v>
      </c>
      <c r="U106" s="25" t="n">
        <v>7200</v>
      </c>
      <c r="V106" s="26"/>
      <c r="W106" s="26" t="s">
        <v>217</v>
      </c>
      <c r="X106" s="26"/>
      <c r="Y106" s="26" t="n">
        <v>0</v>
      </c>
      <c r="Z106" s="25"/>
      <c r="AA106" s="25"/>
      <c r="AB106" s="25"/>
      <c r="AC106" s="25"/>
      <c r="AD106" s="26"/>
      <c r="AE106" s="26"/>
      <c r="AF106" s="26"/>
      <c r="AG106" s="26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30"/>
    </row>
    <row r="107" customFormat="false" ht="15" hidden="true" customHeight="false" outlineLevel="0" collapsed="false">
      <c r="A107" s="17" t="n">
        <v>255</v>
      </c>
      <c r="B107" s="18" t="s">
        <v>127</v>
      </c>
      <c r="C107" s="19" t="str">
        <f aca="false">_xlfn.xlookup(B107,[1]Clients!B$1:B$1048576,[1]Clients!C$1:C$1048576)</f>
        <v>iFlex</v>
      </c>
      <c r="D107" s="18" t="s">
        <v>127</v>
      </c>
      <c r="E107" s="19" t="str">
        <f aca="false">_xlfn.xlookup(D107,[1]Clients!B$1:B$1048576,[1]Clients!C$1:C$1048576)</f>
        <v>iFlex</v>
      </c>
      <c r="F107" s="20" t="n">
        <v>45614</v>
      </c>
      <c r="G107" s="21" t="s">
        <v>58</v>
      </c>
      <c r="H107" s="19" t="n">
        <v>1003018</v>
      </c>
      <c r="I107" s="19" t="s">
        <v>235</v>
      </c>
      <c r="J107" s="21" t="n">
        <v>45616</v>
      </c>
      <c r="K107" s="19"/>
      <c r="L107" s="19" t="n">
        <v>0</v>
      </c>
      <c r="M107" s="19" t="s">
        <v>74</v>
      </c>
      <c r="N107" s="19" t="s">
        <v>70</v>
      </c>
      <c r="O107" s="22" t="n">
        <v>0</v>
      </c>
      <c r="P107" s="23" t="s">
        <v>88</v>
      </c>
      <c r="Q107" s="23" t="s">
        <v>88</v>
      </c>
      <c r="R107" s="25" t="n">
        <v>40172</v>
      </c>
      <c r="S107" s="25" t="s">
        <v>236</v>
      </c>
      <c r="T107" s="25" t="n">
        <v>6</v>
      </c>
      <c r="U107" s="25" t="n">
        <v>2025</v>
      </c>
      <c r="V107" s="26" t="n">
        <v>40086</v>
      </c>
      <c r="W107" s="26" t="s">
        <v>180</v>
      </c>
      <c r="X107" s="26" t="n">
        <v>2</v>
      </c>
      <c r="Y107" s="26" t="n">
        <v>1560</v>
      </c>
      <c r="Z107" s="25"/>
      <c r="AA107" s="25"/>
      <c r="AB107" s="25"/>
      <c r="AC107" s="25"/>
      <c r="AD107" s="26"/>
      <c r="AE107" s="26"/>
      <c r="AF107" s="26"/>
      <c r="AG107" s="26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30"/>
    </row>
    <row r="108" customFormat="false" ht="15" hidden="true" customHeight="false" outlineLevel="0" collapsed="false">
      <c r="A108" s="17" t="n">
        <v>256</v>
      </c>
      <c r="B108" s="18" t="s">
        <v>94</v>
      </c>
      <c r="C108" s="19" t="str">
        <f aca="false">_xlfn.xlookup(B108,[1]Clients!B$1:B$1048576,[1]Clients!C$1:C$1048576)</f>
        <v>IMPSJ</v>
      </c>
      <c r="D108" s="18" t="s">
        <v>94</v>
      </c>
      <c r="E108" s="19" t="str">
        <f aca="false">_xlfn.xlookup(D108,[1]Clients!B$1:B$1048576,[1]Clients!C$1:C$1048576)</f>
        <v>IMPSJ</v>
      </c>
      <c r="F108" s="20" t="n">
        <v>45614</v>
      </c>
      <c r="G108" s="21" t="s">
        <v>58</v>
      </c>
      <c r="H108" s="19" t="n">
        <v>105646</v>
      </c>
      <c r="I108" s="19" t="s">
        <v>118</v>
      </c>
      <c r="J108" s="21" t="n">
        <v>45621</v>
      </c>
      <c r="K108" s="19"/>
      <c r="L108" s="19" t="n">
        <v>0</v>
      </c>
      <c r="M108" s="19" t="s">
        <v>74</v>
      </c>
      <c r="N108" s="19" t="s">
        <v>107</v>
      </c>
      <c r="O108" s="22" t="n">
        <v>0</v>
      </c>
      <c r="P108" s="23" t="s">
        <v>77</v>
      </c>
      <c r="Q108" s="23" t="s">
        <v>77</v>
      </c>
      <c r="R108" s="25" t="n">
        <v>40048</v>
      </c>
      <c r="S108" s="25" t="s">
        <v>177</v>
      </c>
      <c r="T108" s="25" t="n">
        <v>5</v>
      </c>
      <c r="U108" s="25" t="n">
        <v>3600</v>
      </c>
      <c r="V108" s="26" t="n">
        <v>40173</v>
      </c>
      <c r="W108" s="26" t="s">
        <v>177</v>
      </c>
      <c r="X108" s="26" t="n">
        <v>5</v>
      </c>
      <c r="Y108" s="26" t="n">
        <v>7200</v>
      </c>
      <c r="Z108" s="25"/>
      <c r="AA108" s="25"/>
      <c r="AB108" s="25"/>
      <c r="AC108" s="25"/>
      <c r="AD108" s="26"/>
      <c r="AE108" s="26"/>
      <c r="AF108" s="26"/>
      <c r="AG108" s="26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30"/>
    </row>
    <row r="109" customFormat="false" ht="15" hidden="true" customHeight="false" outlineLevel="0" collapsed="false">
      <c r="A109" s="17" t="n">
        <v>257</v>
      </c>
      <c r="B109" s="18" t="s">
        <v>94</v>
      </c>
      <c r="C109" s="19" t="str">
        <f aca="false">_xlfn.xlookup(B109,[1]Clients!B$1:B$1048576,[1]Clients!C$1:C$1048576)</f>
        <v>IMPSJ</v>
      </c>
      <c r="D109" s="18" t="s">
        <v>94</v>
      </c>
      <c r="E109" s="19" t="str">
        <f aca="false">_xlfn.xlookup(D109,[1]Clients!B$1:B$1048576,[1]Clients!C$1:C$1048576)</f>
        <v>IMPSJ</v>
      </c>
      <c r="F109" s="20" t="n">
        <v>45614</v>
      </c>
      <c r="G109" s="21" t="s">
        <v>58</v>
      </c>
      <c r="H109" s="19" t="n">
        <v>105648</v>
      </c>
      <c r="I109" s="19" t="s">
        <v>118</v>
      </c>
      <c r="J109" s="21" t="n">
        <v>45621</v>
      </c>
      <c r="K109" s="19"/>
      <c r="L109" s="19" t="n">
        <v>0</v>
      </c>
      <c r="M109" s="19" t="s">
        <v>74</v>
      </c>
      <c r="N109" s="19" t="s">
        <v>107</v>
      </c>
      <c r="O109" s="22" t="n">
        <v>0</v>
      </c>
      <c r="P109" s="23" t="s">
        <v>77</v>
      </c>
      <c r="Q109" s="23" t="s">
        <v>77</v>
      </c>
      <c r="R109" s="25" t="n">
        <v>40117</v>
      </c>
      <c r="S109" s="25" t="s">
        <v>165</v>
      </c>
      <c r="T109" s="25" t="n">
        <v>6</v>
      </c>
      <c r="U109" s="25" t="n">
        <v>3600</v>
      </c>
      <c r="V109" s="26"/>
      <c r="W109" s="26" t="s">
        <v>217</v>
      </c>
      <c r="X109" s="26"/>
      <c r="Y109" s="26" t="n">
        <v>0</v>
      </c>
      <c r="Z109" s="25"/>
      <c r="AA109" s="25"/>
      <c r="AB109" s="25"/>
      <c r="AC109" s="25"/>
      <c r="AD109" s="26"/>
      <c r="AE109" s="26"/>
      <c r="AF109" s="26"/>
      <c r="AG109" s="26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30"/>
    </row>
    <row r="110" customFormat="false" ht="15" hidden="true" customHeight="false" outlineLevel="0" collapsed="false">
      <c r="A110" s="17" t="n">
        <v>258</v>
      </c>
      <c r="B110" s="18" t="s">
        <v>63</v>
      </c>
      <c r="C110" s="19" t="str">
        <f aca="false">_xlfn.xlookup(B110,[1]Clients!B$1:B$1048576,[1]Clients!C$1:C$1048576)</f>
        <v>Digi</v>
      </c>
      <c r="D110" s="18" t="s">
        <v>63</v>
      </c>
      <c r="E110" s="19" t="str">
        <f aca="false">_xlfn.xlookup(D110,[1]Clients!B$1:B$1048576,[1]Clients!C$1:C$1048576)</f>
        <v>Digi</v>
      </c>
      <c r="F110" s="20" t="n">
        <v>45616</v>
      </c>
      <c r="G110" s="21" t="s">
        <v>58</v>
      </c>
      <c r="H110" s="19" t="n">
        <v>50008774</v>
      </c>
      <c r="I110" s="19" t="s">
        <v>76</v>
      </c>
      <c r="J110" s="21"/>
      <c r="K110" s="19"/>
      <c r="L110" s="19" t="n">
        <v>0</v>
      </c>
      <c r="M110" s="19" t="s">
        <v>61</v>
      </c>
      <c r="N110" s="19" t="s">
        <v>65</v>
      </c>
      <c r="O110" s="22" t="n">
        <v>0</v>
      </c>
      <c r="P110" s="23" t="s">
        <v>77</v>
      </c>
      <c r="Q110" s="23" t="s">
        <v>77</v>
      </c>
      <c r="R110" s="25" t="n">
        <v>40103</v>
      </c>
      <c r="S110" s="25" t="s">
        <v>139</v>
      </c>
      <c r="T110" s="25" t="n">
        <v>-0.5</v>
      </c>
      <c r="U110" s="25" t="n">
        <v>-300</v>
      </c>
      <c r="V110" s="26"/>
      <c r="W110" s="26" t="s">
        <v>217</v>
      </c>
      <c r="X110" s="26"/>
      <c r="Y110" s="26" t="n">
        <v>0</v>
      </c>
      <c r="Z110" s="25"/>
      <c r="AA110" s="25"/>
      <c r="AB110" s="25"/>
      <c r="AC110" s="25"/>
      <c r="AD110" s="26"/>
      <c r="AE110" s="26"/>
      <c r="AF110" s="26"/>
      <c r="AG110" s="26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30"/>
    </row>
    <row r="111" customFormat="false" ht="15" hidden="true" customHeight="false" outlineLevel="0" collapsed="false">
      <c r="A111" s="17" t="n">
        <v>259</v>
      </c>
      <c r="B111" s="18" t="s">
        <v>94</v>
      </c>
      <c r="C111" s="19" t="str">
        <f aca="false">_xlfn.xlookup(B111,[1]Clients!B$1:B$1048576,[1]Clients!C$1:C$1048576)</f>
        <v>IMPSJ</v>
      </c>
      <c r="D111" s="18" t="s">
        <v>94</v>
      </c>
      <c r="E111" s="19" t="str">
        <f aca="false">_xlfn.xlookup(D111,[1]Clients!B$1:B$1048576,[1]Clients!C$1:C$1048576)</f>
        <v>IMPSJ</v>
      </c>
      <c r="F111" s="20" t="n">
        <v>45616</v>
      </c>
      <c r="G111" s="21" t="s">
        <v>58</v>
      </c>
      <c r="H111" s="19" t="n">
        <v>105765</v>
      </c>
      <c r="I111" s="19" t="s">
        <v>118</v>
      </c>
      <c r="J111" s="21" t="n">
        <v>45623</v>
      </c>
      <c r="K111" s="19"/>
      <c r="L111" s="19" t="n">
        <v>0</v>
      </c>
      <c r="M111" s="19" t="s">
        <v>74</v>
      </c>
      <c r="N111" s="19" t="s">
        <v>107</v>
      </c>
      <c r="O111" s="22" t="n">
        <v>0</v>
      </c>
      <c r="P111" s="23" t="s">
        <v>77</v>
      </c>
      <c r="Q111" s="23" t="s">
        <v>77</v>
      </c>
      <c r="R111" s="25" t="n">
        <v>40052</v>
      </c>
      <c r="S111" s="25" t="s">
        <v>181</v>
      </c>
      <c r="T111" s="25" t="n">
        <v>4</v>
      </c>
      <c r="U111" s="25" t="n">
        <v>3120</v>
      </c>
      <c r="V111" s="26" t="n">
        <v>40174</v>
      </c>
      <c r="W111" s="26" t="s">
        <v>237</v>
      </c>
      <c r="X111" s="26" t="n">
        <v>1</v>
      </c>
      <c r="Y111" s="26" t="n">
        <v>480</v>
      </c>
      <c r="Z111" s="25"/>
      <c r="AA111" s="25"/>
      <c r="AB111" s="25"/>
      <c r="AC111" s="25"/>
      <c r="AD111" s="26"/>
      <c r="AE111" s="26"/>
      <c r="AF111" s="26"/>
      <c r="AG111" s="26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30"/>
    </row>
    <row r="112" customFormat="false" ht="15" hidden="true" customHeight="false" outlineLevel="0" collapsed="false">
      <c r="A112" s="17" t="n">
        <v>260</v>
      </c>
      <c r="B112" s="18" t="s">
        <v>94</v>
      </c>
      <c r="C112" s="19" t="str">
        <f aca="false">_xlfn.xlookup(B112,[1]Clients!B$1:B$1048576,[1]Clients!C$1:C$1048576)</f>
        <v>IMPSJ</v>
      </c>
      <c r="D112" s="18" t="s">
        <v>94</v>
      </c>
      <c r="E112" s="19" t="str">
        <f aca="false">_xlfn.xlookup(D112,[1]Clients!B$1:B$1048576,[1]Clients!C$1:C$1048576)</f>
        <v>IMPSJ</v>
      </c>
      <c r="F112" s="20" t="n">
        <v>45617</v>
      </c>
      <c r="G112" s="21" t="s">
        <v>58</v>
      </c>
      <c r="H112" s="19" t="n">
        <v>105799</v>
      </c>
      <c r="I112" s="19" t="s">
        <v>118</v>
      </c>
      <c r="J112" s="21" t="n">
        <v>45624</v>
      </c>
      <c r="K112" s="19"/>
      <c r="L112" s="19" t="n">
        <v>0</v>
      </c>
      <c r="M112" s="19" t="s">
        <v>74</v>
      </c>
      <c r="N112" s="19" t="s">
        <v>107</v>
      </c>
      <c r="O112" s="22" t="n">
        <v>0</v>
      </c>
      <c r="P112" s="23" t="s">
        <v>77</v>
      </c>
      <c r="Q112" s="23" t="s">
        <v>77</v>
      </c>
      <c r="R112" s="25" t="n">
        <v>40117</v>
      </c>
      <c r="S112" s="25" t="s">
        <v>165</v>
      </c>
      <c r="T112" s="25" t="n">
        <v>6</v>
      </c>
      <c r="U112" s="25" t="n">
        <v>3600</v>
      </c>
      <c r="V112" s="26"/>
      <c r="W112" s="26" t="s">
        <v>217</v>
      </c>
      <c r="X112" s="26"/>
      <c r="Y112" s="26" t="n">
        <v>0</v>
      </c>
      <c r="Z112" s="25"/>
      <c r="AA112" s="25"/>
      <c r="AB112" s="25"/>
      <c r="AC112" s="25"/>
      <c r="AD112" s="26"/>
      <c r="AE112" s="26"/>
      <c r="AF112" s="26"/>
      <c r="AG112" s="26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30"/>
    </row>
    <row r="113" customFormat="false" ht="15" hidden="true" customHeight="false" outlineLevel="0" collapsed="false">
      <c r="A113" s="17" t="n">
        <v>261</v>
      </c>
      <c r="B113" s="18" t="s">
        <v>94</v>
      </c>
      <c r="C113" s="19" t="str">
        <f aca="false">_xlfn.xlookup(B113,[1]Clients!B$1:B$1048576,[1]Clients!C$1:C$1048576)</f>
        <v>IMPSJ</v>
      </c>
      <c r="D113" s="18" t="s">
        <v>94</v>
      </c>
      <c r="E113" s="19" t="str">
        <f aca="false">_xlfn.xlookup(D113,[1]Clients!B$1:B$1048576,[1]Clients!C$1:C$1048576)</f>
        <v>IMPSJ</v>
      </c>
      <c r="F113" s="20" t="n">
        <v>45618</v>
      </c>
      <c r="G113" s="21" t="s">
        <v>58</v>
      </c>
      <c r="H113" s="19" t="n">
        <v>105844</v>
      </c>
      <c r="I113" s="19" t="s">
        <v>118</v>
      </c>
      <c r="J113" s="21" t="n">
        <v>45625</v>
      </c>
      <c r="K113" s="19"/>
      <c r="L113" s="19" t="n">
        <v>0</v>
      </c>
      <c r="M113" s="19" t="s">
        <v>74</v>
      </c>
      <c r="N113" s="19" t="s">
        <v>107</v>
      </c>
      <c r="O113" s="22" t="n">
        <v>0</v>
      </c>
      <c r="P113" s="23" t="s">
        <v>77</v>
      </c>
      <c r="Q113" s="23" t="s">
        <v>77</v>
      </c>
      <c r="R113" s="25" t="n">
        <v>40177</v>
      </c>
      <c r="S113" s="25" t="s">
        <v>181</v>
      </c>
      <c r="T113" s="25" t="n">
        <v>4</v>
      </c>
      <c r="U113" s="25" t="n">
        <v>6240</v>
      </c>
      <c r="V113" s="26" t="n">
        <v>40178</v>
      </c>
      <c r="W113" s="26" t="s">
        <v>237</v>
      </c>
      <c r="X113" s="26" t="n">
        <v>1</v>
      </c>
      <c r="Y113" s="26" t="n">
        <v>960</v>
      </c>
      <c r="Z113" s="25"/>
      <c r="AA113" s="25"/>
      <c r="AB113" s="25"/>
      <c r="AC113" s="25"/>
      <c r="AD113" s="26"/>
      <c r="AE113" s="26"/>
      <c r="AF113" s="26"/>
      <c r="AG113" s="26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30"/>
    </row>
    <row r="114" customFormat="false" ht="15" hidden="true" customHeight="false" outlineLevel="0" collapsed="false">
      <c r="A114" s="17" t="n">
        <v>262</v>
      </c>
      <c r="B114" s="18" t="s">
        <v>210</v>
      </c>
      <c r="C114" s="19" t="str">
        <f aca="false">_xlfn.xlookup(B114,[1]Clients!B$1:B$1048576,[1]Clients!C$1:C$1048576)</f>
        <v>3G</v>
      </c>
      <c r="D114" s="18" t="s">
        <v>210</v>
      </c>
      <c r="E114" s="19" t="str">
        <f aca="false">_xlfn.xlookup(D114,[1]Clients!B$1:B$1048576,[1]Clients!C$1:C$1048576)</f>
        <v>3G</v>
      </c>
      <c r="F114" s="20" t="n">
        <v>45621</v>
      </c>
      <c r="G114" s="21" t="s">
        <v>58</v>
      </c>
      <c r="H114" s="19" t="n">
        <v>2898</v>
      </c>
      <c r="I114" s="19" t="s">
        <v>211</v>
      </c>
      <c r="J114" s="21" t="n">
        <v>45625</v>
      </c>
      <c r="K114" s="19"/>
      <c r="L114" s="19" t="n">
        <v>0</v>
      </c>
      <c r="M114" s="19" t="s">
        <v>61</v>
      </c>
      <c r="N114" s="19" t="s">
        <v>123</v>
      </c>
      <c r="O114" s="22" t="n">
        <v>0</v>
      </c>
      <c r="P114" s="23" t="s">
        <v>88</v>
      </c>
      <c r="Q114" s="23" t="s">
        <v>88</v>
      </c>
      <c r="R114" s="25" t="n">
        <v>40179</v>
      </c>
      <c r="S114" s="25" t="s">
        <v>177</v>
      </c>
      <c r="T114" s="25" t="n">
        <v>5</v>
      </c>
      <c r="U114" s="25" t="n">
        <v>7200</v>
      </c>
      <c r="V114" s="26"/>
      <c r="W114" s="26" t="s">
        <v>217</v>
      </c>
      <c r="X114" s="26"/>
      <c r="Y114" s="26" t="n">
        <v>0</v>
      </c>
      <c r="Z114" s="25"/>
      <c r="AA114" s="25"/>
      <c r="AB114" s="25"/>
      <c r="AC114" s="25"/>
      <c r="AD114" s="26"/>
      <c r="AE114" s="26"/>
      <c r="AF114" s="26"/>
      <c r="AG114" s="26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30"/>
    </row>
    <row r="115" customFormat="false" ht="15" hidden="true" customHeight="false" outlineLevel="0" collapsed="false">
      <c r="A115" s="17" t="n">
        <v>263</v>
      </c>
      <c r="B115" s="18" t="s">
        <v>134</v>
      </c>
      <c r="C115" s="19" t="str">
        <f aca="false">_xlfn.xlookup(B115,[1]Clients!B$1:B$1048576,[1]Clients!C$1:C$1048576)</f>
        <v>Multi-Flex</v>
      </c>
      <c r="D115" s="18" t="s">
        <v>134</v>
      </c>
      <c r="E115" s="19" t="str">
        <f aca="false">_xlfn.xlookup(D115,[1]Clients!B$1:B$1048576,[1]Clients!C$1:C$1048576)</f>
        <v>Multi-Flex</v>
      </c>
      <c r="F115" s="20" t="n">
        <v>45621</v>
      </c>
      <c r="G115" s="21" t="s">
        <v>58</v>
      </c>
      <c r="H115" s="19" t="n">
        <v>9869</v>
      </c>
      <c r="I115" s="19" t="s">
        <v>135</v>
      </c>
      <c r="J115" s="21" t="n">
        <v>45628</v>
      </c>
      <c r="K115" s="19"/>
      <c r="L115" s="19" t="n">
        <v>0</v>
      </c>
      <c r="M115" s="19" t="s">
        <v>74</v>
      </c>
      <c r="N115" s="19" t="s">
        <v>70</v>
      </c>
      <c r="O115" s="22" t="n">
        <v>0</v>
      </c>
      <c r="P115" s="23" t="s">
        <v>88</v>
      </c>
      <c r="Q115" s="23" t="s">
        <v>88</v>
      </c>
      <c r="R115" s="25" t="n">
        <v>40180</v>
      </c>
      <c r="S115" s="25" t="s">
        <v>202</v>
      </c>
      <c r="T115" s="25" t="n">
        <v>2</v>
      </c>
      <c r="U115" s="25" t="n">
        <v>2160</v>
      </c>
      <c r="V115" s="26"/>
      <c r="W115" s="26" t="s">
        <v>217</v>
      </c>
      <c r="X115" s="26"/>
      <c r="Y115" s="26" t="n">
        <v>0</v>
      </c>
      <c r="Z115" s="25"/>
      <c r="AA115" s="25"/>
      <c r="AB115" s="25"/>
      <c r="AC115" s="25"/>
      <c r="AD115" s="26"/>
      <c r="AE115" s="26"/>
      <c r="AF115" s="26"/>
      <c r="AG115" s="26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30"/>
    </row>
    <row r="116" customFormat="false" ht="15" hidden="true" customHeight="false" outlineLevel="0" collapsed="false">
      <c r="A116" s="17" t="n">
        <v>264</v>
      </c>
      <c r="B116" s="18" t="s">
        <v>96</v>
      </c>
      <c r="C116" s="19" t="str">
        <f aca="false">_xlfn.xlookup(B116,[1]Clients!B$1:B$1048576,[1]Clients!C$1:C$1048576)</f>
        <v>Luso-Flex</v>
      </c>
      <c r="D116" s="18" t="s">
        <v>96</v>
      </c>
      <c r="E116" s="19" t="str">
        <f aca="false">_xlfn.xlookup(D116,[1]Clients!B$1:B$1048576,[1]Clients!C$1:C$1048576)</f>
        <v>Luso-Flex</v>
      </c>
      <c r="F116" s="20" t="n">
        <v>45621</v>
      </c>
      <c r="G116" s="21" t="s">
        <v>58</v>
      </c>
      <c r="H116" s="19" t="n">
        <v>1952</v>
      </c>
      <c r="I116" s="19" t="s">
        <v>99</v>
      </c>
      <c r="J116" s="21" t="n">
        <v>45665</v>
      </c>
      <c r="K116" s="19"/>
      <c r="L116" s="19" t="n">
        <v>0</v>
      </c>
      <c r="M116" s="19" t="s">
        <v>74</v>
      </c>
      <c r="N116" s="19" t="s">
        <v>70</v>
      </c>
      <c r="O116" s="22" t="n">
        <v>0</v>
      </c>
      <c r="P116" s="23" t="s">
        <v>88</v>
      </c>
      <c r="Q116" s="23" t="s">
        <v>88</v>
      </c>
      <c r="R116" s="25" t="n">
        <v>40181</v>
      </c>
      <c r="S116" s="25" t="s">
        <v>200</v>
      </c>
      <c r="T116" s="25" t="n">
        <v>28</v>
      </c>
      <c r="U116" s="25" t="n">
        <v>28980</v>
      </c>
      <c r="V116" s="26" t="n">
        <v>40182</v>
      </c>
      <c r="W116" s="26" t="s">
        <v>200</v>
      </c>
      <c r="X116" s="26" t="n">
        <v>7</v>
      </c>
      <c r="Y116" s="26" t="n">
        <v>3622.5</v>
      </c>
      <c r="Z116" s="25"/>
      <c r="AA116" s="25"/>
      <c r="AB116" s="25"/>
      <c r="AC116" s="25"/>
      <c r="AD116" s="26"/>
      <c r="AE116" s="26"/>
      <c r="AF116" s="26"/>
      <c r="AG116" s="26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30"/>
    </row>
    <row r="117" customFormat="false" ht="15" hidden="true" customHeight="false" outlineLevel="0" collapsed="false">
      <c r="A117" s="17" t="n">
        <v>265</v>
      </c>
      <c r="B117" s="18" t="s">
        <v>134</v>
      </c>
      <c r="C117" s="19" t="str">
        <f aca="false">_xlfn.xlookup(B117,[1]Clients!B$1:B$1048576,[1]Clients!C$1:C$1048576)</f>
        <v>Multi-Flex</v>
      </c>
      <c r="D117" s="18" t="s">
        <v>134</v>
      </c>
      <c r="E117" s="19" t="str">
        <f aca="false">_xlfn.xlookup(D117,[1]Clients!B$1:B$1048576,[1]Clients!C$1:C$1048576)</f>
        <v>Multi-Flex</v>
      </c>
      <c r="F117" s="20" t="n">
        <v>45622</v>
      </c>
      <c r="G117" s="21" t="s">
        <v>58</v>
      </c>
      <c r="H117" s="19" t="n">
        <v>9875</v>
      </c>
      <c r="I117" s="19" t="s">
        <v>238</v>
      </c>
      <c r="J117" s="21" t="n">
        <v>45629</v>
      </c>
      <c r="K117" s="19"/>
      <c r="L117" s="19" t="n">
        <v>0</v>
      </c>
      <c r="M117" s="19" t="s">
        <v>74</v>
      </c>
      <c r="N117" s="19" t="s">
        <v>70</v>
      </c>
      <c r="O117" s="22" t="n">
        <v>0</v>
      </c>
      <c r="P117" s="23" t="s">
        <v>88</v>
      </c>
      <c r="Q117" s="23" t="s">
        <v>88</v>
      </c>
      <c r="R117" s="25" t="n">
        <v>40096</v>
      </c>
      <c r="S117" s="25" t="s">
        <v>213</v>
      </c>
      <c r="T117" s="25" t="n">
        <v>16</v>
      </c>
      <c r="U117" s="25" t="n">
        <v>12480</v>
      </c>
      <c r="V117" s="26" t="n">
        <v>40097</v>
      </c>
      <c r="W117" s="26" t="s">
        <v>239</v>
      </c>
      <c r="X117" s="26" t="n">
        <v>4</v>
      </c>
      <c r="Y117" s="26" t="n">
        <v>1920</v>
      </c>
      <c r="Z117" s="25"/>
      <c r="AA117" s="25"/>
      <c r="AB117" s="25"/>
      <c r="AC117" s="25"/>
      <c r="AD117" s="26"/>
      <c r="AE117" s="26"/>
      <c r="AF117" s="26"/>
      <c r="AG117" s="26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30"/>
    </row>
    <row r="118" customFormat="false" ht="15" hidden="true" customHeight="false" outlineLevel="0" collapsed="false">
      <c r="A118" s="17" t="n">
        <v>266</v>
      </c>
      <c r="B118" s="18" t="s">
        <v>96</v>
      </c>
      <c r="C118" s="19" t="str">
        <f aca="false">_xlfn.xlookup(B118,[1]Clients!B$1:B$1048576,[1]Clients!C$1:C$1048576)</f>
        <v>Luso-Flex</v>
      </c>
      <c r="D118" s="18" t="s">
        <v>96</v>
      </c>
      <c r="E118" s="19" t="str">
        <f aca="false">_xlfn.xlookup(D118,[1]Clients!B$1:B$1048576,[1]Clients!C$1:C$1048576)</f>
        <v>Luso-Flex</v>
      </c>
      <c r="F118" s="20" t="n">
        <v>45623</v>
      </c>
      <c r="G118" s="21" t="s">
        <v>58</v>
      </c>
      <c r="H118" s="19" t="n">
        <v>1954</v>
      </c>
      <c r="I118" s="19" t="s">
        <v>99</v>
      </c>
      <c r="J118" s="21" t="n">
        <v>45625</v>
      </c>
      <c r="K118" s="19"/>
      <c r="L118" s="19" t="n">
        <v>0</v>
      </c>
      <c r="M118" s="19" t="s">
        <v>74</v>
      </c>
      <c r="N118" s="19" t="s">
        <v>70</v>
      </c>
      <c r="O118" s="22" t="n">
        <v>0</v>
      </c>
      <c r="P118" s="23" t="s">
        <v>88</v>
      </c>
      <c r="Q118" s="23" t="s">
        <v>88</v>
      </c>
      <c r="R118" s="25" t="n">
        <v>40183</v>
      </c>
      <c r="S118" s="25" t="s">
        <v>240</v>
      </c>
      <c r="T118" s="25" t="n">
        <v>4</v>
      </c>
      <c r="U118" s="25" t="n">
        <v>2580</v>
      </c>
      <c r="V118" s="26" t="n">
        <v>40184</v>
      </c>
      <c r="W118" s="26" t="s">
        <v>175</v>
      </c>
      <c r="X118" s="26" t="n">
        <v>2</v>
      </c>
      <c r="Y118" s="26" t="n">
        <v>720</v>
      </c>
      <c r="Z118" s="25" t="n">
        <v>40185</v>
      </c>
      <c r="AA118" s="25" t="s">
        <v>241</v>
      </c>
      <c r="AB118" s="25" t="n">
        <v>1</v>
      </c>
      <c r="AC118" s="25" t="n">
        <v>300</v>
      </c>
      <c r="AD118" s="26"/>
      <c r="AE118" s="26"/>
      <c r="AF118" s="26"/>
      <c r="AG118" s="26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30"/>
    </row>
    <row r="119" customFormat="false" ht="15" hidden="true" customHeight="false" outlineLevel="0" collapsed="false">
      <c r="A119" s="17" t="n">
        <v>267</v>
      </c>
      <c r="B119" s="18" t="s">
        <v>210</v>
      </c>
      <c r="C119" s="19" t="str">
        <f aca="false">_xlfn.xlookup(B119,[1]Clients!B$1:B$1048576,[1]Clients!C$1:C$1048576)</f>
        <v>3G</v>
      </c>
      <c r="D119" s="18" t="s">
        <v>210</v>
      </c>
      <c r="E119" s="19" t="str">
        <f aca="false">_xlfn.xlookup(D119,[1]Clients!B$1:B$1048576,[1]Clients!C$1:C$1048576)</f>
        <v>3G</v>
      </c>
      <c r="F119" s="20" t="n">
        <v>45623</v>
      </c>
      <c r="G119" s="21" t="s">
        <v>58</v>
      </c>
      <c r="H119" s="19" t="n">
        <v>2905</v>
      </c>
      <c r="I119" s="19" t="s">
        <v>242</v>
      </c>
      <c r="J119" s="21" t="n">
        <v>45629</v>
      </c>
      <c r="K119" s="19"/>
      <c r="L119" s="19" t="n">
        <v>0</v>
      </c>
      <c r="M119" s="19" t="s">
        <v>61</v>
      </c>
      <c r="N119" s="19" t="s">
        <v>123</v>
      </c>
      <c r="O119" s="22" t="n">
        <v>0</v>
      </c>
      <c r="P119" s="23" t="s">
        <v>88</v>
      </c>
      <c r="Q119" s="23" t="s">
        <v>88</v>
      </c>
      <c r="R119" s="25" t="n">
        <v>40186</v>
      </c>
      <c r="S119" s="25" t="s">
        <v>213</v>
      </c>
      <c r="T119" s="25" t="n">
        <v>2</v>
      </c>
      <c r="U119" s="25" t="n">
        <v>3120</v>
      </c>
      <c r="V119" s="26" t="n">
        <v>40187</v>
      </c>
      <c r="W119" s="26" t="s">
        <v>243</v>
      </c>
      <c r="X119" s="26" t="n">
        <v>2</v>
      </c>
      <c r="Y119" s="26" t="n">
        <v>3000</v>
      </c>
      <c r="Z119" s="25" t="n">
        <v>40188</v>
      </c>
      <c r="AA119" s="25" t="s">
        <v>244</v>
      </c>
      <c r="AB119" s="25" t="n">
        <v>1</v>
      </c>
      <c r="AC119" s="25" t="n">
        <v>1080</v>
      </c>
      <c r="AD119" s="26" t="n">
        <v>40189</v>
      </c>
      <c r="AE119" s="26" t="s">
        <v>182</v>
      </c>
      <c r="AF119" s="26" t="n">
        <v>7</v>
      </c>
      <c r="AG119" s="26" t="n">
        <v>10920</v>
      </c>
      <c r="AH119" s="29" t="n">
        <v>40190</v>
      </c>
      <c r="AI119" s="29" t="s">
        <v>245</v>
      </c>
      <c r="AJ119" s="29" t="n">
        <v>5</v>
      </c>
      <c r="AK119" s="29" t="n">
        <v>7500</v>
      </c>
      <c r="AL119" s="29" t="n">
        <v>40191</v>
      </c>
      <c r="AM119" s="29" t="s">
        <v>246</v>
      </c>
      <c r="AN119" s="29" t="n">
        <v>2</v>
      </c>
      <c r="AO119" s="29" t="n">
        <v>2160</v>
      </c>
      <c r="AP119" s="29" t="n">
        <v>40192</v>
      </c>
      <c r="AQ119" s="29" t="s">
        <v>247</v>
      </c>
      <c r="AR119" s="29" t="n">
        <v>1</v>
      </c>
      <c r="AS119" s="29" t="n">
        <v>1020</v>
      </c>
      <c r="AT119" s="29" t="n">
        <v>40194</v>
      </c>
      <c r="AU119" s="29" t="s">
        <v>164</v>
      </c>
      <c r="AV119" s="29" t="n">
        <v>1</v>
      </c>
      <c r="AW119" s="29" t="n">
        <v>288</v>
      </c>
      <c r="AX119" s="29"/>
      <c r="AY119" s="29"/>
      <c r="AZ119" s="29"/>
      <c r="BA119" s="29"/>
      <c r="BB119" s="29"/>
      <c r="BC119" s="29"/>
      <c r="BD119" s="29"/>
      <c r="BE119" s="30"/>
    </row>
    <row r="120" customFormat="false" ht="15" hidden="true" customHeight="false" outlineLevel="0" collapsed="false">
      <c r="A120" s="17" t="n">
        <v>268</v>
      </c>
      <c r="B120" s="18" t="s">
        <v>134</v>
      </c>
      <c r="C120" s="19" t="str">
        <f aca="false">_xlfn.xlookup(B120,[1]Clients!B$1:B$1048576,[1]Clients!C$1:C$1048576)</f>
        <v>Multi-Flex</v>
      </c>
      <c r="D120" s="18" t="s">
        <v>134</v>
      </c>
      <c r="E120" s="19" t="str">
        <f aca="false">_xlfn.xlookup(D120,[1]Clients!B$1:B$1048576,[1]Clients!C$1:C$1048576)</f>
        <v>Multi-Flex</v>
      </c>
      <c r="F120" s="20" t="n">
        <v>45623</v>
      </c>
      <c r="G120" s="21" t="s">
        <v>58</v>
      </c>
      <c r="H120" s="19" t="n">
        <v>9889</v>
      </c>
      <c r="I120" s="19" t="s">
        <v>238</v>
      </c>
      <c r="J120" s="21" t="n">
        <v>45630</v>
      </c>
      <c r="K120" s="19"/>
      <c r="L120" s="19" t="n">
        <v>0</v>
      </c>
      <c r="M120" s="19" t="s">
        <v>74</v>
      </c>
      <c r="N120" s="19" t="s">
        <v>70</v>
      </c>
      <c r="O120" s="22" t="n">
        <v>0</v>
      </c>
      <c r="P120" s="23" t="s">
        <v>88</v>
      </c>
      <c r="Q120" s="23" t="s">
        <v>88</v>
      </c>
      <c r="R120" s="25" t="n">
        <v>40193</v>
      </c>
      <c r="S120" s="25" t="s">
        <v>166</v>
      </c>
      <c r="T120" s="25" t="n">
        <v>6</v>
      </c>
      <c r="U120" s="25" t="n">
        <v>7200</v>
      </c>
      <c r="V120" s="26"/>
      <c r="W120" s="26" t="s">
        <v>217</v>
      </c>
      <c r="X120" s="26"/>
      <c r="Y120" s="26" t="n">
        <v>0</v>
      </c>
      <c r="Z120" s="25"/>
      <c r="AA120" s="25" t="s">
        <v>217</v>
      </c>
      <c r="AB120" s="25"/>
      <c r="AC120" s="25" t="n">
        <v>0</v>
      </c>
      <c r="AD120" s="26"/>
      <c r="AE120" s="26"/>
      <c r="AF120" s="26"/>
      <c r="AG120" s="26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30"/>
    </row>
    <row r="121" customFormat="false" ht="15" hidden="true" customHeight="false" outlineLevel="0" collapsed="false">
      <c r="A121" s="17" t="n">
        <v>269</v>
      </c>
      <c r="B121" s="18" t="s">
        <v>94</v>
      </c>
      <c r="C121" s="19" t="str">
        <f aca="false">_xlfn.xlookup(B121,[1]Clients!B$1:B$1048576,[1]Clients!C$1:C$1048576)</f>
        <v>IMPSJ</v>
      </c>
      <c r="D121" s="18" t="s">
        <v>94</v>
      </c>
      <c r="E121" s="19" t="str">
        <f aca="false">_xlfn.xlookup(D121,[1]Clients!B$1:B$1048576,[1]Clients!C$1:C$1048576)</f>
        <v>IMPSJ</v>
      </c>
      <c r="F121" s="20" t="n">
        <v>45624</v>
      </c>
      <c r="G121" s="21" t="s">
        <v>58</v>
      </c>
      <c r="H121" s="19" t="n">
        <v>105970</v>
      </c>
      <c r="I121" s="19" t="s">
        <v>118</v>
      </c>
      <c r="J121" s="21" t="n">
        <v>45628</v>
      </c>
      <c r="K121" s="19"/>
      <c r="L121" s="19" t="n">
        <v>0</v>
      </c>
      <c r="M121" s="19" t="s">
        <v>74</v>
      </c>
      <c r="N121" s="19" t="s">
        <v>107</v>
      </c>
      <c r="O121" s="22" t="n">
        <v>0</v>
      </c>
      <c r="P121" s="23" t="s">
        <v>77</v>
      </c>
      <c r="Q121" s="23" t="s">
        <v>77</v>
      </c>
      <c r="R121" s="25" t="n">
        <v>40084</v>
      </c>
      <c r="S121" s="25" t="s">
        <v>167</v>
      </c>
      <c r="T121" s="25" t="n">
        <v>5</v>
      </c>
      <c r="U121" s="25" t="n">
        <v>3600</v>
      </c>
      <c r="V121" s="26"/>
      <c r="W121" s="26" t="s">
        <v>217</v>
      </c>
      <c r="X121" s="26"/>
      <c r="Y121" s="26" t="n">
        <v>0</v>
      </c>
      <c r="Z121" s="25"/>
      <c r="AA121" s="25" t="s">
        <v>217</v>
      </c>
      <c r="AB121" s="25"/>
      <c r="AC121" s="25" t="n">
        <v>0</v>
      </c>
      <c r="AD121" s="26"/>
      <c r="AE121" s="26"/>
      <c r="AF121" s="26"/>
      <c r="AG121" s="26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30"/>
    </row>
    <row r="122" customFormat="false" ht="15" hidden="true" customHeight="false" outlineLevel="0" collapsed="false">
      <c r="A122" s="17" t="n">
        <v>270</v>
      </c>
      <c r="B122" s="18" t="s">
        <v>248</v>
      </c>
      <c r="C122" s="19" t="str">
        <f aca="false">_xlfn.xlookup(B122,[1]Clients!B$1:B$1048576,[1]Clients!C$1:C$1048576)</f>
        <v>Unik</v>
      </c>
      <c r="D122" s="18" t="s">
        <v>248</v>
      </c>
      <c r="E122" s="19" t="str">
        <f aca="false">_xlfn.xlookup(D122,[1]Clients!B$1:B$1048576,[1]Clients!C$1:C$1048576)</f>
        <v>Unik</v>
      </c>
      <c r="F122" s="20" t="n">
        <v>45624</v>
      </c>
      <c r="G122" s="21" t="s">
        <v>58</v>
      </c>
      <c r="H122" s="19" t="s">
        <v>105</v>
      </c>
      <c r="I122" s="19" t="s">
        <v>249</v>
      </c>
      <c r="J122" s="21" t="n">
        <v>45632</v>
      </c>
      <c r="K122" s="19"/>
      <c r="L122" s="19" t="n">
        <v>0</v>
      </c>
      <c r="M122" s="19" t="s">
        <v>74</v>
      </c>
      <c r="N122" s="19" t="s">
        <v>70</v>
      </c>
      <c r="O122" s="22" t="n">
        <v>0</v>
      </c>
      <c r="P122" s="23" t="s">
        <v>88</v>
      </c>
      <c r="Q122" s="23" t="s">
        <v>88</v>
      </c>
      <c r="R122" s="25" t="n">
        <v>40195</v>
      </c>
      <c r="S122" s="25" t="s">
        <v>250</v>
      </c>
      <c r="T122" s="25" t="n">
        <v>1</v>
      </c>
      <c r="U122" s="25" t="n">
        <v>300</v>
      </c>
      <c r="V122" s="26" t="n">
        <v>40196</v>
      </c>
      <c r="W122" s="26" t="s">
        <v>251</v>
      </c>
      <c r="X122" s="26" t="n">
        <v>1</v>
      </c>
      <c r="Y122" s="26" t="n">
        <v>300</v>
      </c>
      <c r="Z122" s="25" t="n">
        <v>40197</v>
      </c>
      <c r="AA122" s="25" t="s">
        <v>165</v>
      </c>
      <c r="AB122" s="25" t="n">
        <v>1</v>
      </c>
      <c r="AC122" s="25" t="n">
        <v>300</v>
      </c>
      <c r="AD122" s="26"/>
      <c r="AE122" s="26"/>
      <c r="AF122" s="26"/>
      <c r="AG122" s="26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30"/>
    </row>
    <row r="123" customFormat="false" ht="15" hidden="true" customHeight="false" outlineLevel="0" collapsed="false">
      <c r="A123" s="17" t="n">
        <v>271</v>
      </c>
      <c r="B123" s="18" t="s">
        <v>120</v>
      </c>
      <c r="C123" s="19" t="str">
        <f aca="false">_xlfn.xlookup(B123,[1]Clients!B$1:B$1048576,[1]Clients!C$1:C$1048576)</f>
        <v>Mijo</v>
      </c>
      <c r="D123" s="18" t="s">
        <v>120</v>
      </c>
      <c r="E123" s="19" t="str">
        <f aca="false">_xlfn.xlookup(D123,[1]Clients!B$1:B$1048576,[1]Clients!C$1:C$1048576)</f>
        <v>Mijo</v>
      </c>
      <c r="F123" s="20" t="n">
        <v>45624</v>
      </c>
      <c r="G123" s="21" t="s">
        <v>58</v>
      </c>
      <c r="H123" s="19" t="n">
        <v>14302</v>
      </c>
      <c r="I123" s="19" t="s">
        <v>122</v>
      </c>
      <c r="J123" s="21" t="n">
        <v>45631</v>
      </c>
      <c r="K123" s="19"/>
      <c r="L123" s="19" t="n">
        <v>0</v>
      </c>
      <c r="M123" s="19" t="s">
        <v>74</v>
      </c>
      <c r="N123" s="19" t="s">
        <v>123</v>
      </c>
      <c r="O123" s="22" t="n">
        <v>0</v>
      </c>
      <c r="P123" s="23" t="s">
        <v>88</v>
      </c>
      <c r="Q123" s="23" t="s">
        <v>88</v>
      </c>
      <c r="R123" s="25" t="n">
        <v>40171</v>
      </c>
      <c r="S123" s="25" t="s">
        <v>165</v>
      </c>
      <c r="T123" s="25" t="n">
        <v>6</v>
      </c>
      <c r="U123" s="25" t="n">
        <v>7200</v>
      </c>
      <c r="V123" s="26" t="n">
        <v>40198</v>
      </c>
      <c r="W123" s="26" t="s">
        <v>164</v>
      </c>
      <c r="X123" s="26" t="n">
        <v>10</v>
      </c>
      <c r="Y123" s="26" t="n">
        <v>10800</v>
      </c>
      <c r="Z123" s="25"/>
      <c r="AA123" s="25" t="s">
        <v>217</v>
      </c>
      <c r="AB123" s="25"/>
      <c r="AC123" s="25" t="n">
        <v>0</v>
      </c>
      <c r="AD123" s="26"/>
      <c r="AE123" s="26"/>
      <c r="AF123" s="26"/>
      <c r="AG123" s="26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30"/>
    </row>
    <row r="124" customFormat="false" ht="15" hidden="true" customHeight="false" outlineLevel="0" collapsed="false">
      <c r="A124" s="17" t="n">
        <v>272</v>
      </c>
      <c r="B124" s="18" t="s">
        <v>85</v>
      </c>
      <c r="C124" s="19" t="str">
        <f aca="false">_xlfn.xlookup(B124,[1]Clients!B$1:B$1048576,[1]Clients!C$1:C$1048576)</f>
        <v>Étiquettes Rive-Sud</v>
      </c>
      <c r="D124" s="18" t="s">
        <v>85</v>
      </c>
      <c r="E124" s="19" t="str">
        <f aca="false">_xlfn.xlookup(D124,[1]Clients!B$1:B$1048576,[1]Clients!C$1:C$1048576)</f>
        <v>Étiquettes Rive-Sud</v>
      </c>
      <c r="F124" s="20" t="n">
        <v>45624</v>
      </c>
      <c r="G124" s="21" t="s">
        <v>58</v>
      </c>
      <c r="H124" s="19" t="n">
        <v>281124</v>
      </c>
      <c r="I124" s="19" t="s">
        <v>86</v>
      </c>
      <c r="J124" s="21" t="n">
        <v>45628</v>
      </c>
      <c r="K124" s="19"/>
      <c r="L124" s="19" t="n">
        <v>0</v>
      </c>
      <c r="M124" s="19" t="s">
        <v>74</v>
      </c>
      <c r="N124" s="19" t="s">
        <v>70</v>
      </c>
      <c r="O124" s="22" t="n">
        <v>0</v>
      </c>
      <c r="P124" s="23" t="s">
        <v>88</v>
      </c>
      <c r="Q124" s="23" t="s">
        <v>88</v>
      </c>
      <c r="R124" s="25" t="n">
        <v>40199</v>
      </c>
      <c r="S124" s="25" t="s">
        <v>169</v>
      </c>
      <c r="T124" s="25" t="n">
        <v>9</v>
      </c>
      <c r="U124" s="25" t="n">
        <v>4725</v>
      </c>
      <c r="V124" s="26"/>
      <c r="W124" s="26" t="s">
        <v>217</v>
      </c>
      <c r="X124" s="26"/>
      <c r="Y124" s="26" t="n">
        <v>0</v>
      </c>
      <c r="Z124" s="25"/>
      <c r="AA124" s="25" t="s">
        <v>217</v>
      </c>
      <c r="AB124" s="25"/>
      <c r="AC124" s="25" t="n">
        <v>0</v>
      </c>
      <c r="AD124" s="26"/>
      <c r="AE124" s="26"/>
      <c r="AF124" s="26"/>
      <c r="AG124" s="26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30"/>
    </row>
    <row r="125" customFormat="false" ht="15" hidden="true" customHeight="false" outlineLevel="0" collapsed="false">
      <c r="A125" s="17" t="n">
        <v>273</v>
      </c>
      <c r="B125" s="18" t="s">
        <v>252</v>
      </c>
      <c r="C125" s="19" t="str">
        <f aca="false">_xlfn.xlookup(B125,[1]Clients!B$1:B$1048576,[1]Clients!C$1:C$1048576)</f>
        <v>Interflex</v>
      </c>
      <c r="D125" s="18" t="s">
        <v>252</v>
      </c>
      <c r="E125" s="19" t="str">
        <f aca="false">_xlfn.xlookup(D125,[1]Clients!B$1:B$1048576,[1]Clients!C$1:C$1048576)</f>
        <v>Interflex</v>
      </c>
      <c r="F125" s="20" t="n">
        <v>45627</v>
      </c>
      <c r="G125" s="21" t="s">
        <v>58</v>
      </c>
      <c r="H125" s="19" t="s">
        <v>253</v>
      </c>
      <c r="I125" s="19" t="s">
        <v>254</v>
      </c>
      <c r="J125" s="21" t="n">
        <v>45306</v>
      </c>
      <c r="K125" s="19"/>
      <c r="L125" s="19" t="n">
        <v>0</v>
      </c>
      <c r="M125" s="19" t="s">
        <v>74</v>
      </c>
      <c r="N125" s="19"/>
      <c r="O125" s="22" t="n">
        <v>0</v>
      </c>
      <c r="P125" s="23" t="s">
        <v>88</v>
      </c>
      <c r="Q125" s="23" t="s">
        <v>88</v>
      </c>
      <c r="R125" s="25" t="n">
        <v>40200</v>
      </c>
      <c r="S125" s="25" t="s">
        <v>217</v>
      </c>
      <c r="T125" s="25"/>
      <c r="U125" s="25" t="n">
        <v>1</v>
      </c>
      <c r="V125" s="26"/>
      <c r="W125" s="26" t="s">
        <v>217</v>
      </c>
      <c r="X125" s="26"/>
      <c r="Y125" s="26" t="n">
        <v>0</v>
      </c>
      <c r="Z125" s="25"/>
      <c r="AA125" s="25" t="s">
        <v>217</v>
      </c>
      <c r="AB125" s="25"/>
      <c r="AC125" s="25" t="n">
        <v>0</v>
      </c>
      <c r="AD125" s="26"/>
      <c r="AE125" s="26"/>
      <c r="AF125" s="26"/>
      <c r="AG125" s="26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30"/>
    </row>
    <row r="126" customFormat="false" ht="15" hidden="true" customHeight="false" outlineLevel="0" collapsed="false">
      <c r="A126" s="17" t="n">
        <v>274</v>
      </c>
      <c r="B126" s="18" t="s">
        <v>94</v>
      </c>
      <c r="C126" s="19" t="str">
        <f aca="false">_xlfn.xlookup(B126,[1]Clients!B$1:B$1048576,[1]Clients!C$1:C$1048576)</f>
        <v>IMPSJ</v>
      </c>
      <c r="D126" s="18" t="s">
        <v>94</v>
      </c>
      <c r="E126" s="19" t="str">
        <f aca="false">_xlfn.xlookup(D126,[1]Clients!B$1:B$1048576,[1]Clients!C$1:C$1048576)</f>
        <v>IMPSJ</v>
      </c>
      <c r="F126" s="20" t="n">
        <v>45628</v>
      </c>
      <c r="G126" s="21" t="s">
        <v>58</v>
      </c>
      <c r="H126" s="19" t="n">
        <v>106059</v>
      </c>
      <c r="I126" s="19" t="s">
        <v>118</v>
      </c>
      <c r="J126" s="21" t="n">
        <v>45635</v>
      </c>
      <c r="K126" s="19"/>
      <c r="L126" s="19" t="n">
        <v>0</v>
      </c>
      <c r="M126" s="19" t="s">
        <v>74</v>
      </c>
      <c r="N126" s="19" t="s">
        <v>107</v>
      </c>
      <c r="O126" s="22" t="n">
        <v>0</v>
      </c>
      <c r="P126" s="23" t="s">
        <v>77</v>
      </c>
      <c r="Q126" s="23" t="s">
        <v>77</v>
      </c>
      <c r="R126" s="25" t="n">
        <v>40048</v>
      </c>
      <c r="S126" s="25" t="s">
        <v>177</v>
      </c>
      <c r="T126" s="25" t="n">
        <v>5</v>
      </c>
      <c r="U126" s="25" t="n">
        <v>3600</v>
      </c>
      <c r="V126" s="26"/>
      <c r="W126" s="26" t="s">
        <v>217</v>
      </c>
      <c r="X126" s="26"/>
      <c r="Y126" s="26" t="n">
        <v>0</v>
      </c>
      <c r="Z126" s="25"/>
      <c r="AA126" s="25" t="s">
        <v>217</v>
      </c>
      <c r="AB126" s="25"/>
      <c r="AC126" s="25" t="n">
        <v>0</v>
      </c>
      <c r="AD126" s="26"/>
      <c r="AE126" s="26"/>
      <c r="AF126" s="26"/>
      <c r="AG126" s="26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30"/>
    </row>
    <row r="127" customFormat="false" ht="15" hidden="true" customHeight="false" outlineLevel="0" collapsed="false">
      <c r="A127" s="17" t="n">
        <v>275</v>
      </c>
      <c r="B127" s="18" t="s">
        <v>63</v>
      </c>
      <c r="C127" s="19" t="str">
        <f aca="false">_xlfn.xlookup(B127,[1]Clients!B$1:B$1048576,[1]Clients!C$1:C$1048576)</f>
        <v>Digi</v>
      </c>
      <c r="D127" s="18" t="s">
        <v>63</v>
      </c>
      <c r="E127" s="19" t="str">
        <f aca="false">_xlfn.xlookup(D127,[1]Clients!B$1:B$1048576,[1]Clients!C$1:C$1048576)</f>
        <v>Digi</v>
      </c>
      <c r="F127" s="20" t="n">
        <v>45630</v>
      </c>
      <c r="G127" s="21" t="s">
        <v>58</v>
      </c>
      <c r="H127" s="19" t="n">
        <v>50008916</v>
      </c>
      <c r="I127" s="19" t="s">
        <v>64</v>
      </c>
      <c r="J127" s="21" t="n">
        <v>45637</v>
      </c>
      <c r="K127" s="19"/>
      <c r="L127" s="19" t="n">
        <v>0</v>
      </c>
      <c r="M127" s="19" t="s">
        <v>61</v>
      </c>
      <c r="N127" s="19" t="s">
        <v>65</v>
      </c>
      <c r="O127" s="22" t="n">
        <v>0</v>
      </c>
      <c r="P127" s="23" t="s">
        <v>77</v>
      </c>
      <c r="Q127" s="23" t="s">
        <v>77</v>
      </c>
      <c r="R127" s="25" t="n">
        <v>40103</v>
      </c>
      <c r="S127" s="25" t="s">
        <v>139</v>
      </c>
      <c r="T127" s="25" t="n">
        <v>72</v>
      </c>
      <c r="U127" s="25" t="n">
        <v>43200</v>
      </c>
      <c r="V127" s="26" t="n">
        <v>40054</v>
      </c>
      <c r="W127" s="26" t="s">
        <v>255</v>
      </c>
      <c r="X127" s="26" t="n">
        <v>24</v>
      </c>
      <c r="Y127" s="26" t="n">
        <v>12960</v>
      </c>
      <c r="Z127" s="25"/>
      <c r="AA127" s="25" t="s">
        <v>217</v>
      </c>
      <c r="AB127" s="25"/>
      <c r="AC127" s="25" t="n">
        <v>0</v>
      </c>
      <c r="AD127" s="26"/>
      <c r="AE127" s="26"/>
      <c r="AF127" s="26"/>
      <c r="AG127" s="26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30"/>
    </row>
    <row r="128" customFormat="false" ht="15" hidden="true" customHeight="false" outlineLevel="0" collapsed="false">
      <c r="A128" s="17" t="n">
        <v>276</v>
      </c>
      <c r="B128" s="18" t="s">
        <v>96</v>
      </c>
      <c r="C128" s="19" t="str">
        <f aca="false">_xlfn.xlookup(B128,[1]Clients!B$1:B$1048576,[1]Clients!C$1:C$1048576)</f>
        <v>Luso-Flex</v>
      </c>
      <c r="D128" s="18" t="s">
        <v>96</v>
      </c>
      <c r="E128" s="19" t="str">
        <f aca="false">_xlfn.xlookup(D128,[1]Clients!B$1:B$1048576,[1]Clients!C$1:C$1048576)</f>
        <v>Luso-Flex</v>
      </c>
      <c r="F128" s="20" t="n">
        <v>45631</v>
      </c>
      <c r="G128" s="21" t="s">
        <v>58</v>
      </c>
      <c r="H128" s="19" t="n">
        <v>1958</v>
      </c>
      <c r="I128" s="19" t="s">
        <v>99</v>
      </c>
      <c r="J128" s="21" t="n">
        <v>45638</v>
      </c>
      <c r="K128" s="19"/>
      <c r="L128" s="19" t="n">
        <v>0</v>
      </c>
      <c r="M128" s="19" t="s">
        <v>74</v>
      </c>
      <c r="N128" s="19" t="s">
        <v>70</v>
      </c>
      <c r="O128" s="22" t="n">
        <v>0</v>
      </c>
      <c r="P128" s="23" t="s">
        <v>88</v>
      </c>
      <c r="Q128" s="23" t="s">
        <v>88</v>
      </c>
      <c r="R128" s="25" t="n">
        <v>40156</v>
      </c>
      <c r="S128" s="25" t="s">
        <v>216</v>
      </c>
      <c r="T128" s="25" t="n">
        <v>14</v>
      </c>
      <c r="U128" s="25" t="n">
        <v>14448</v>
      </c>
      <c r="V128" s="26"/>
      <c r="W128" s="26" t="s">
        <v>217</v>
      </c>
      <c r="X128" s="26"/>
      <c r="Y128" s="26" t="n">
        <v>0</v>
      </c>
      <c r="Z128" s="25"/>
      <c r="AA128" s="25" t="s">
        <v>217</v>
      </c>
      <c r="AB128" s="25"/>
      <c r="AC128" s="25" t="n">
        <v>0</v>
      </c>
      <c r="AD128" s="26"/>
      <c r="AE128" s="26"/>
      <c r="AF128" s="26"/>
      <c r="AG128" s="26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30"/>
    </row>
    <row r="129" customFormat="false" ht="15" hidden="true" customHeight="false" outlineLevel="0" collapsed="false">
      <c r="A129" s="17" t="n">
        <v>277</v>
      </c>
      <c r="B129" s="18" t="s">
        <v>96</v>
      </c>
      <c r="C129" s="19" t="str">
        <f aca="false">_xlfn.xlookup(B129,[1]Clients!B$1:B$1048576,[1]Clients!C$1:C$1048576)</f>
        <v>Luso-Flex</v>
      </c>
      <c r="D129" s="18" t="s">
        <v>96</v>
      </c>
      <c r="E129" s="19" t="str">
        <f aca="false">_xlfn.xlookup(D129,[1]Clients!B$1:B$1048576,[1]Clients!C$1:C$1048576)</f>
        <v>Luso-Flex</v>
      </c>
      <c r="F129" s="20" t="n">
        <v>45631</v>
      </c>
      <c r="G129" s="21" t="s">
        <v>58</v>
      </c>
      <c r="H129" s="19" t="n">
        <v>1959</v>
      </c>
      <c r="I129" s="19" t="s">
        <v>99</v>
      </c>
      <c r="J129" s="21" t="n">
        <v>45638</v>
      </c>
      <c r="K129" s="19"/>
      <c r="L129" s="19" t="n">
        <v>0</v>
      </c>
      <c r="M129" s="19" t="s">
        <v>74</v>
      </c>
      <c r="N129" s="19" t="s">
        <v>70</v>
      </c>
      <c r="O129" s="22" t="n">
        <v>0</v>
      </c>
      <c r="P129" s="23" t="s">
        <v>88</v>
      </c>
      <c r="Q129" s="23" t="s">
        <v>88</v>
      </c>
      <c r="R129" s="25" t="n">
        <v>40202</v>
      </c>
      <c r="S129" s="25" t="s">
        <v>256</v>
      </c>
      <c r="T129" s="25" t="n">
        <v>2</v>
      </c>
      <c r="U129" s="25" t="n">
        <v>285</v>
      </c>
      <c r="V129" s="26"/>
      <c r="W129" s="26" t="s">
        <v>217</v>
      </c>
      <c r="X129" s="26"/>
      <c r="Y129" s="26" t="n">
        <v>0</v>
      </c>
      <c r="Z129" s="25"/>
      <c r="AA129" s="25" t="s">
        <v>217</v>
      </c>
      <c r="AB129" s="25"/>
      <c r="AC129" s="25" t="n">
        <v>0</v>
      </c>
      <c r="AD129" s="26"/>
      <c r="AE129" s="26"/>
      <c r="AF129" s="26"/>
      <c r="AG129" s="26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30"/>
    </row>
    <row r="130" customFormat="false" ht="15" hidden="true" customHeight="false" outlineLevel="0" collapsed="false">
      <c r="A130" s="17" t="n">
        <v>278</v>
      </c>
      <c r="B130" s="18" t="s">
        <v>94</v>
      </c>
      <c r="C130" s="19" t="str">
        <f aca="false">_xlfn.xlookup(B130,[1]Clients!B$1:B$1048576,[1]Clients!C$1:C$1048576)</f>
        <v>IMPSJ</v>
      </c>
      <c r="D130" s="18" t="s">
        <v>94</v>
      </c>
      <c r="E130" s="19" t="str">
        <f aca="false">_xlfn.xlookup(D130,[1]Clients!B$1:B$1048576,[1]Clients!C$1:C$1048576)</f>
        <v>IMPSJ</v>
      </c>
      <c r="F130" s="20" t="n">
        <v>45632</v>
      </c>
      <c r="G130" s="21" t="s">
        <v>58</v>
      </c>
      <c r="H130" s="19" t="n">
        <v>106205</v>
      </c>
      <c r="I130" s="19" t="s">
        <v>118</v>
      </c>
      <c r="J130" s="21" t="n">
        <v>45639</v>
      </c>
      <c r="K130" s="19"/>
      <c r="L130" s="19" t="n">
        <v>0</v>
      </c>
      <c r="M130" s="19" t="s">
        <v>74</v>
      </c>
      <c r="N130" s="19" t="s">
        <v>107</v>
      </c>
      <c r="O130" s="22" t="n">
        <v>0</v>
      </c>
      <c r="P130" s="23" t="s">
        <v>77</v>
      </c>
      <c r="Q130" s="23" t="s">
        <v>77</v>
      </c>
      <c r="R130" s="25" t="n">
        <v>40117</v>
      </c>
      <c r="S130" s="25" t="s">
        <v>165</v>
      </c>
      <c r="T130" s="25" t="n">
        <v>4</v>
      </c>
      <c r="U130" s="25" t="n">
        <v>2400</v>
      </c>
      <c r="V130" s="26" t="n">
        <v>40052</v>
      </c>
      <c r="W130" s="26" t="s">
        <v>181</v>
      </c>
      <c r="X130" s="26" t="n">
        <v>1</v>
      </c>
      <c r="Y130" s="26" t="n">
        <v>780</v>
      </c>
      <c r="Z130" s="25" t="n">
        <v>40203</v>
      </c>
      <c r="AA130" s="25" t="s">
        <v>257</v>
      </c>
      <c r="AB130" s="25" t="n">
        <v>1</v>
      </c>
      <c r="AC130" s="25" t="n">
        <v>420</v>
      </c>
      <c r="AD130" s="26"/>
      <c r="AE130" s="26"/>
      <c r="AF130" s="26"/>
      <c r="AG130" s="26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30"/>
    </row>
    <row r="131" customFormat="false" ht="15" hidden="true" customHeight="false" outlineLevel="0" collapsed="false">
      <c r="A131" s="17" t="n">
        <v>279</v>
      </c>
      <c r="B131" s="18" t="s">
        <v>159</v>
      </c>
      <c r="C131" s="19" t="str">
        <f aca="false">_xlfn.xlookup(B131,[1]Clients!B$1:B$1048576,[1]Clients!C$1:C$1048576)</f>
        <v>Damaflex</v>
      </c>
      <c r="D131" s="18" t="s">
        <v>160</v>
      </c>
      <c r="E131" s="19" t="str">
        <f aca="false">_xlfn.xlookup(D131,[1]Clients!B$1:B$1048576,[1]Clients!C$1:C$1048576)</f>
        <v>Damaflex livraison</v>
      </c>
      <c r="F131" s="20" t="n">
        <v>45635</v>
      </c>
      <c r="G131" s="21" t="s">
        <v>58</v>
      </c>
      <c r="H131" s="19" t="n">
        <v>179977</v>
      </c>
      <c r="I131" s="19" t="s">
        <v>161</v>
      </c>
      <c r="J131" s="21" t="n">
        <v>45642</v>
      </c>
      <c r="K131" s="19"/>
      <c r="L131" s="19" t="n">
        <v>0</v>
      </c>
      <c r="M131" s="19" t="s">
        <v>74</v>
      </c>
      <c r="N131" s="19" t="s">
        <v>70</v>
      </c>
      <c r="O131" s="22" t="n">
        <v>0</v>
      </c>
      <c r="P131" s="23" t="s">
        <v>88</v>
      </c>
      <c r="Q131" s="23" t="s">
        <v>88</v>
      </c>
      <c r="R131" s="25" t="n">
        <v>40144</v>
      </c>
      <c r="S131" s="25" t="s">
        <v>202</v>
      </c>
      <c r="T131" s="25" t="n">
        <v>2</v>
      </c>
      <c r="U131" s="25" t="n">
        <v>1080</v>
      </c>
      <c r="V131" s="26" t="n">
        <v>40145</v>
      </c>
      <c r="W131" s="26" t="s">
        <v>203</v>
      </c>
      <c r="X131" s="26" t="n">
        <v>8</v>
      </c>
      <c r="Y131" s="26" t="n">
        <v>4560</v>
      </c>
      <c r="Z131" s="25" t="n">
        <v>40204</v>
      </c>
      <c r="AA131" s="25" t="s">
        <v>258</v>
      </c>
      <c r="AB131" s="25" t="n">
        <v>4</v>
      </c>
      <c r="AC131" s="25" t="n">
        <v>1560</v>
      </c>
      <c r="AD131" s="26"/>
      <c r="AE131" s="26"/>
      <c r="AF131" s="26"/>
      <c r="AG131" s="26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30"/>
    </row>
    <row r="132" customFormat="false" ht="15" hidden="true" customHeight="false" outlineLevel="0" collapsed="false">
      <c r="A132" s="17" t="n">
        <v>280</v>
      </c>
      <c r="B132" s="18" t="s">
        <v>96</v>
      </c>
      <c r="C132" s="19" t="str">
        <f aca="false">_xlfn.xlookup(B132,[1]Clients!B$1:B$1048576,[1]Clients!C$1:C$1048576)</f>
        <v>Luso-Flex</v>
      </c>
      <c r="D132" s="18" t="s">
        <v>96</v>
      </c>
      <c r="E132" s="19" t="str">
        <f aca="false">_xlfn.xlookup(D132,[1]Clients!B$1:B$1048576,[1]Clients!C$1:C$1048576)</f>
        <v>Luso-Flex</v>
      </c>
      <c r="F132" s="20" t="n">
        <v>45632</v>
      </c>
      <c r="G132" s="21" t="s">
        <v>58</v>
      </c>
      <c r="H132" s="19" t="n">
        <v>1960</v>
      </c>
      <c r="I132" s="19" t="s">
        <v>99</v>
      </c>
      <c r="J132" s="21" t="n">
        <v>45672</v>
      </c>
      <c r="K132" s="19"/>
      <c r="L132" s="19" t="n">
        <v>0</v>
      </c>
      <c r="M132" s="19" t="s">
        <v>74</v>
      </c>
      <c r="N132" s="19" t="s">
        <v>70</v>
      </c>
      <c r="O132" s="22" t="n">
        <v>0</v>
      </c>
      <c r="P132" s="23" t="s">
        <v>88</v>
      </c>
      <c r="Q132" s="23" t="s">
        <v>88</v>
      </c>
      <c r="R132" s="25" t="n">
        <v>40137</v>
      </c>
      <c r="S132" s="25" t="s">
        <v>145</v>
      </c>
      <c r="T132" s="25" t="n">
        <v>10</v>
      </c>
      <c r="U132" s="25" t="n">
        <v>15450</v>
      </c>
      <c r="V132" s="26"/>
      <c r="W132" s="26" t="s">
        <v>217</v>
      </c>
      <c r="X132" s="26"/>
      <c r="Y132" s="26" t="n">
        <v>0</v>
      </c>
      <c r="Z132" s="25"/>
      <c r="AA132" s="25" t="s">
        <v>217</v>
      </c>
      <c r="AB132" s="25"/>
      <c r="AC132" s="25" t="n">
        <v>0</v>
      </c>
      <c r="AD132" s="26"/>
      <c r="AE132" s="26"/>
      <c r="AF132" s="26"/>
      <c r="AG132" s="26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30"/>
    </row>
    <row r="133" customFormat="false" ht="15" hidden="true" customHeight="false" outlineLevel="0" collapsed="false">
      <c r="A133" s="17" t="n">
        <v>281</v>
      </c>
      <c r="B133" s="18" t="s">
        <v>94</v>
      </c>
      <c r="C133" s="19" t="str">
        <f aca="false">_xlfn.xlookup(B133,[1]Clients!B$1:B$1048576,[1]Clients!C$1:C$1048576)</f>
        <v>IMPSJ</v>
      </c>
      <c r="D133" s="18" t="s">
        <v>94</v>
      </c>
      <c r="E133" s="19" t="str">
        <f aca="false">_xlfn.xlookup(D133,[1]Clients!B$1:B$1048576,[1]Clients!C$1:C$1048576)</f>
        <v>IMPSJ</v>
      </c>
      <c r="F133" s="20" t="n">
        <v>45636</v>
      </c>
      <c r="G133" s="21" t="s">
        <v>58</v>
      </c>
      <c r="H133" s="19" t="n">
        <v>106247</v>
      </c>
      <c r="I133" s="19" t="s">
        <v>118</v>
      </c>
      <c r="J133" s="21" t="n">
        <v>45643</v>
      </c>
      <c r="K133" s="19"/>
      <c r="L133" s="19" t="n">
        <v>0</v>
      </c>
      <c r="M133" s="19" t="s">
        <v>74</v>
      </c>
      <c r="N133" s="19" t="s">
        <v>107</v>
      </c>
      <c r="O133" s="22" t="n">
        <v>0</v>
      </c>
      <c r="P133" s="23" t="s">
        <v>77</v>
      </c>
      <c r="Q133" s="23" t="s">
        <v>77</v>
      </c>
      <c r="R133" s="25" t="n">
        <v>40081</v>
      </c>
      <c r="S133" s="25" t="s">
        <v>176</v>
      </c>
      <c r="T133" s="25" t="n">
        <v>4</v>
      </c>
      <c r="U133" s="25" t="n">
        <v>2400</v>
      </c>
      <c r="V133" s="26" t="n">
        <v>40082</v>
      </c>
      <c r="W133" s="26" t="s">
        <v>180</v>
      </c>
      <c r="X133" s="26" t="n">
        <v>1</v>
      </c>
      <c r="Y133" s="26" t="n">
        <v>780</v>
      </c>
      <c r="Z133" s="25" t="n">
        <v>40205</v>
      </c>
      <c r="AA133" s="25" t="s">
        <v>259</v>
      </c>
      <c r="AB133" s="25" t="n">
        <v>1</v>
      </c>
      <c r="AC133" s="25" t="n">
        <v>420</v>
      </c>
      <c r="AD133" s="26"/>
      <c r="AE133" s="26"/>
      <c r="AF133" s="26"/>
      <c r="AG133" s="26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30"/>
    </row>
    <row r="134" customFormat="false" ht="15" hidden="true" customHeight="false" outlineLevel="0" collapsed="false">
      <c r="A134" s="17" t="n">
        <v>282</v>
      </c>
      <c r="B134" s="18" t="s">
        <v>120</v>
      </c>
      <c r="C134" s="19" t="str">
        <f aca="false">_xlfn.xlookup(B134,[1]Clients!B$1:B$1048576,[1]Clients!C$1:C$1048576)</f>
        <v>Mijo</v>
      </c>
      <c r="D134" s="18" t="s">
        <v>120</v>
      </c>
      <c r="E134" s="19" t="str">
        <f aca="false">_xlfn.xlookup(D134,[1]Clients!B$1:B$1048576,[1]Clients!C$1:C$1048576)</f>
        <v>Mijo</v>
      </c>
      <c r="F134" s="20" t="n">
        <v>45636</v>
      </c>
      <c r="G134" s="21" t="s">
        <v>58</v>
      </c>
      <c r="H134" s="19" t="n">
        <v>14315</v>
      </c>
      <c r="I134" s="19" t="s">
        <v>122</v>
      </c>
      <c r="J134" s="21" t="n">
        <v>45643</v>
      </c>
      <c r="K134" s="19"/>
      <c r="L134" s="19" t="n">
        <v>0</v>
      </c>
      <c r="M134" s="19" t="s">
        <v>74</v>
      </c>
      <c r="N134" s="19" t="s">
        <v>123</v>
      </c>
      <c r="O134" s="22" t="n">
        <v>0</v>
      </c>
      <c r="P134" s="23" t="s">
        <v>88</v>
      </c>
      <c r="Q134" s="23" t="s">
        <v>88</v>
      </c>
      <c r="R134" s="25" t="n">
        <v>40171</v>
      </c>
      <c r="S134" s="25" t="s">
        <v>165</v>
      </c>
      <c r="T134" s="25" t="n">
        <v>6</v>
      </c>
      <c r="U134" s="25" t="n">
        <v>7200</v>
      </c>
      <c r="V134" s="26"/>
      <c r="W134" s="26" t="s">
        <v>217</v>
      </c>
      <c r="X134" s="26"/>
      <c r="Y134" s="26" t="n">
        <v>0</v>
      </c>
      <c r="Z134" s="25"/>
      <c r="AA134" s="25" t="s">
        <v>217</v>
      </c>
      <c r="AB134" s="25"/>
      <c r="AC134" s="25" t="n">
        <v>0</v>
      </c>
      <c r="AD134" s="26"/>
      <c r="AE134" s="26"/>
      <c r="AF134" s="26"/>
      <c r="AG134" s="26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30"/>
    </row>
    <row r="135" customFormat="false" ht="15" hidden="true" customHeight="false" outlineLevel="0" collapsed="false">
      <c r="A135" s="17" t="n">
        <v>283</v>
      </c>
      <c r="B135" s="18" t="s">
        <v>94</v>
      </c>
      <c r="C135" s="19" t="str">
        <f aca="false">_xlfn.xlookup(B135,[1]Clients!B$1:B$1048576,[1]Clients!C$1:C$1048576)</f>
        <v>IMPSJ</v>
      </c>
      <c r="D135" s="18" t="s">
        <v>94</v>
      </c>
      <c r="E135" s="19" t="str">
        <f aca="false">_xlfn.xlookup(D135,[1]Clients!B$1:B$1048576,[1]Clients!C$1:C$1048576)</f>
        <v>IMPSJ</v>
      </c>
      <c r="F135" s="20" t="n">
        <v>45637</v>
      </c>
      <c r="G135" s="21" t="s">
        <v>58</v>
      </c>
      <c r="H135" s="19" t="n">
        <v>106272</v>
      </c>
      <c r="I135" s="19" t="s">
        <v>118</v>
      </c>
      <c r="J135" s="21" t="n">
        <v>45644</v>
      </c>
      <c r="K135" s="19"/>
      <c r="L135" s="19" t="n">
        <v>0</v>
      </c>
      <c r="M135" s="19" t="s">
        <v>74</v>
      </c>
      <c r="N135" s="19" t="s">
        <v>107</v>
      </c>
      <c r="O135" s="22" t="n">
        <v>0</v>
      </c>
      <c r="P135" s="23" t="s">
        <v>77</v>
      </c>
      <c r="Q135" s="23" t="s">
        <v>77</v>
      </c>
      <c r="R135" s="25" t="n">
        <v>40084</v>
      </c>
      <c r="S135" s="25" t="s">
        <v>167</v>
      </c>
      <c r="T135" s="25" t="n">
        <v>5</v>
      </c>
      <c r="U135" s="25" t="n">
        <v>3600</v>
      </c>
      <c r="V135" s="26"/>
      <c r="W135" s="26" t="s">
        <v>217</v>
      </c>
      <c r="X135" s="26"/>
      <c r="Y135" s="26" t="n">
        <v>0</v>
      </c>
      <c r="Z135" s="25"/>
      <c r="AA135" s="25" t="s">
        <v>217</v>
      </c>
      <c r="AB135" s="25"/>
      <c r="AC135" s="25" t="n">
        <v>0</v>
      </c>
      <c r="AD135" s="26"/>
      <c r="AE135" s="26"/>
      <c r="AF135" s="26"/>
      <c r="AG135" s="26"/>
      <c r="AH135" s="25"/>
      <c r="AI135" s="25"/>
      <c r="AJ135" s="25"/>
      <c r="AK135" s="25"/>
      <c r="AL135" s="26"/>
      <c r="AM135" s="26"/>
      <c r="AN135" s="26"/>
      <c r="AO135" s="26"/>
      <c r="AP135" s="25"/>
      <c r="AQ135" s="25"/>
      <c r="AR135" s="25"/>
      <c r="AS135" s="25"/>
      <c r="AT135" s="26"/>
      <c r="AU135" s="26"/>
      <c r="AV135" s="26"/>
      <c r="AW135" s="26"/>
      <c r="AX135" s="25"/>
      <c r="AY135" s="25"/>
      <c r="AZ135" s="25"/>
      <c r="BA135" s="25"/>
      <c r="BB135" s="26"/>
      <c r="BC135" s="26"/>
      <c r="BD135" s="26"/>
      <c r="BE135" s="33"/>
    </row>
    <row r="136" customFormat="false" ht="15" hidden="true" customHeight="false" outlineLevel="0" collapsed="false">
      <c r="A136" s="17" t="n">
        <v>284</v>
      </c>
      <c r="B136" s="18" t="s">
        <v>134</v>
      </c>
      <c r="C136" s="19" t="str">
        <f aca="false">_xlfn.xlookup(B136,[1]Clients!B$1:B$1048576,[1]Clients!C$1:C$1048576)</f>
        <v>Multi-Flex</v>
      </c>
      <c r="D136" s="18" t="s">
        <v>134</v>
      </c>
      <c r="E136" s="19" t="str">
        <f aca="false">_xlfn.xlookup(D136,[1]Clients!B$1:B$1048576,[1]Clients!C$1:C$1048576)</f>
        <v>Multi-Flex</v>
      </c>
      <c r="F136" s="20" t="n">
        <v>45637</v>
      </c>
      <c r="G136" s="21" t="s">
        <v>58</v>
      </c>
      <c r="H136" s="19" t="n">
        <v>9936</v>
      </c>
      <c r="I136" s="19" t="s">
        <v>238</v>
      </c>
      <c r="J136" s="21" t="n">
        <v>45644</v>
      </c>
      <c r="K136" s="19"/>
      <c r="L136" s="19" t="n">
        <v>0</v>
      </c>
      <c r="M136" s="19" t="s">
        <v>74</v>
      </c>
      <c r="N136" s="19" t="s">
        <v>70</v>
      </c>
      <c r="O136" s="22" t="n">
        <v>0</v>
      </c>
      <c r="P136" s="23" t="s">
        <v>88</v>
      </c>
      <c r="Q136" s="23" t="s">
        <v>88</v>
      </c>
      <c r="R136" s="25" t="n">
        <v>40206</v>
      </c>
      <c r="S136" s="25" t="s">
        <v>165</v>
      </c>
      <c r="T136" s="25" t="n">
        <v>6</v>
      </c>
      <c r="U136" s="25" t="n">
        <v>7200</v>
      </c>
      <c r="V136" s="26" t="n">
        <v>40207</v>
      </c>
      <c r="W136" s="26" t="s">
        <v>260</v>
      </c>
      <c r="X136" s="26" t="n">
        <v>6</v>
      </c>
      <c r="Y136" s="26" t="n">
        <v>6300</v>
      </c>
      <c r="Z136" s="25" t="n">
        <v>40208</v>
      </c>
      <c r="AA136" s="25" t="s">
        <v>261</v>
      </c>
      <c r="AB136" s="25" t="n">
        <v>1</v>
      </c>
      <c r="AC136" s="25" t="n">
        <v>900</v>
      </c>
      <c r="AD136" s="26"/>
      <c r="AE136" s="26"/>
      <c r="AF136" s="26"/>
      <c r="AG136" s="26"/>
      <c r="AH136" s="25"/>
      <c r="AI136" s="25"/>
      <c r="AJ136" s="25"/>
      <c r="AK136" s="25"/>
      <c r="AL136" s="26"/>
      <c r="AM136" s="26"/>
      <c r="AN136" s="26"/>
      <c r="AO136" s="26"/>
      <c r="AP136" s="25"/>
      <c r="AQ136" s="25"/>
      <c r="AR136" s="25"/>
      <c r="AS136" s="25"/>
      <c r="AT136" s="26"/>
      <c r="AU136" s="26"/>
      <c r="AV136" s="26"/>
      <c r="AW136" s="26"/>
      <c r="AX136" s="25"/>
      <c r="AY136" s="25"/>
      <c r="AZ136" s="25"/>
      <c r="BA136" s="25"/>
      <c r="BB136" s="26"/>
      <c r="BC136" s="26"/>
      <c r="BD136" s="26"/>
      <c r="BE136" s="33"/>
    </row>
    <row r="137" customFormat="false" ht="15" hidden="true" customHeight="false" outlineLevel="0" collapsed="false">
      <c r="A137" s="17" t="n">
        <v>285</v>
      </c>
      <c r="B137" s="18" t="s">
        <v>262</v>
      </c>
      <c r="C137" s="19" t="str">
        <f aca="false">_xlfn.xlookup(B137,[1]Clients!B$1:B$1048576,[1]Clients!C$1:C$1048576)</f>
        <v>REDEMAC</v>
      </c>
      <c r="D137" s="18" t="s">
        <v>262</v>
      </c>
      <c r="E137" s="19" t="str">
        <f aca="false">_xlfn.xlookup(D137,[1]Clients!B$1:B$1048576,[1]Clients!C$1:C$1048576)</f>
        <v>REDEMAC</v>
      </c>
      <c r="F137" s="20" t="n">
        <v>45638</v>
      </c>
      <c r="G137" s="21" t="s">
        <v>58</v>
      </c>
      <c r="H137" s="19"/>
      <c r="I137" s="19" t="s">
        <v>263</v>
      </c>
      <c r="J137" s="21"/>
      <c r="K137" s="19"/>
      <c r="L137" s="19" t="n">
        <v>0</v>
      </c>
      <c r="M137" s="19" t="s">
        <v>74</v>
      </c>
      <c r="N137" s="19" t="n">
        <v>0</v>
      </c>
      <c r="O137" s="22" t="n">
        <v>0</v>
      </c>
      <c r="P137" s="23" t="s">
        <v>88</v>
      </c>
      <c r="Q137" s="23" t="s">
        <v>88</v>
      </c>
      <c r="R137" s="25" t="n">
        <v>40209</v>
      </c>
      <c r="S137" s="25" t="s">
        <v>217</v>
      </c>
      <c r="T137" s="25" t="n">
        <v>0</v>
      </c>
      <c r="U137" s="25" t="n">
        <v>0.5</v>
      </c>
      <c r="V137" s="26"/>
      <c r="W137" s="26" t="s">
        <v>217</v>
      </c>
      <c r="X137" s="26"/>
      <c r="Y137" s="26" t="n">
        <v>0</v>
      </c>
      <c r="Z137" s="25"/>
      <c r="AA137" s="25" t="s">
        <v>217</v>
      </c>
      <c r="AB137" s="25"/>
      <c r="AC137" s="25" t="n">
        <v>0</v>
      </c>
      <c r="AD137" s="26"/>
      <c r="AE137" s="26"/>
      <c r="AF137" s="26"/>
      <c r="AG137" s="26"/>
      <c r="AH137" s="25"/>
      <c r="AI137" s="25"/>
      <c r="AJ137" s="25"/>
      <c r="AK137" s="25"/>
      <c r="AL137" s="26"/>
      <c r="AM137" s="26"/>
      <c r="AN137" s="26"/>
      <c r="AO137" s="26"/>
      <c r="AP137" s="25"/>
      <c r="AQ137" s="25"/>
      <c r="AR137" s="25"/>
      <c r="AS137" s="25"/>
      <c r="AT137" s="26"/>
      <c r="AU137" s="26"/>
      <c r="AV137" s="26"/>
      <c r="AW137" s="26"/>
      <c r="AX137" s="25"/>
      <c r="AY137" s="25"/>
      <c r="AZ137" s="25"/>
      <c r="BA137" s="25"/>
      <c r="BB137" s="26"/>
      <c r="BC137" s="26"/>
      <c r="BD137" s="26"/>
      <c r="BE137" s="33"/>
    </row>
    <row r="138" customFormat="false" ht="15" hidden="true" customHeight="false" outlineLevel="0" collapsed="false">
      <c r="A138" s="17" t="n">
        <v>286</v>
      </c>
      <c r="B138" s="18" t="s">
        <v>63</v>
      </c>
      <c r="C138" s="19" t="str">
        <f aca="false">_xlfn.xlookup(B138,[1]Clients!B$1:B$1048576,[1]Clients!C$1:C$1048576)</f>
        <v>Digi</v>
      </c>
      <c r="D138" s="18" t="s">
        <v>63</v>
      </c>
      <c r="E138" s="19" t="str">
        <f aca="false">_xlfn.xlookup(D138,[1]Clients!B$1:B$1048576,[1]Clients!C$1:C$1048576)</f>
        <v>Digi</v>
      </c>
      <c r="F138" s="20" t="n">
        <v>45643</v>
      </c>
      <c r="G138" s="21" t="s">
        <v>58</v>
      </c>
      <c r="H138" s="19" t="n">
        <v>50008960</v>
      </c>
      <c r="I138" s="19" t="s">
        <v>76</v>
      </c>
      <c r="J138" s="21" t="n">
        <v>45649</v>
      </c>
      <c r="K138" s="19"/>
      <c r="L138" s="19" t="n">
        <v>0</v>
      </c>
      <c r="M138" s="19" t="s">
        <v>61</v>
      </c>
      <c r="N138" s="19" t="s">
        <v>65</v>
      </c>
      <c r="O138" s="22" t="n">
        <v>0</v>
      </c>
      <c r="P138" s="23" t="s">
        <v>77</v>
      </c>
      <c r="Q138" s="23" t="s">
        <v>77</v>
      </c>
      <c r="R138" s="25" t="n">
        <v>40103</v>
      </c>
      <c r="S138" s="25" t="s">
        <v>139</v>
      </c>
      <c r="T138" s="25" t="n">
        <v>84</v>
      </c>
      <c r="U138" s="25" t="n">
        <v>50400</v>
      </c>
      <c r="V138" s="26" t="n">
        <v>40210</v>
      </c>
      <c r="W138" s="26" t="s">
        <v>255</v>
      </c>
      <c r="X138" s="26" t="n">
        <v>12</v>
      </c>
      <c r="Y138" s="26" t="n">
        <v>6480</v>
      </c>
      <c r="Z138" s="25" t="n">
        <v>40170</v>
      </c>
      <c r="AA138" s="25" t="s">
        <v>234</v>
      </c>
      <c r="AB138" s="25" t="n">
        <v>22</v>
      </c>
      <c r="AC138" s="25" t="n">
        <v>7755</v>
      </c>
      <c r="AD138" s="26"/>
      <c r="AE138" s="26"/>
      <c r="AF138" s="26"/>
      <c r="AG138" s="26"/>
      <c r="AH138" s="25"/>
      <c r="AI138" s="25"/>
      <c r="AJ138" s="25"/>
      <c r="AK138" s="25"/>
      <c r="AL138" s="26"/>
      <c r="AM138" s="26"/>
      <c r="AN138" s="26"/>
      <c r="AO138" s="26"/>
      <c r="AP138" s="25"/>
      <c r="AQ138" s="25"/>
      <c r="AR138" s="25"/>
      <c r="AS138" s="25"/>
      <c r="AT138" s="26"/>
      <c r="AU138" s="26"/>
      <c r="AV138" s="26"/>
      <c r="AW138" s="26"/>
      <c r="AX138" s="25"/>
      <c r="AY138" s="25"/>
      <c r="AZ138" s="25"/>
      <c r="BA138" s="25"/>
      <c r="BB138" s="26"/>
      <c r="BC138" s="26"/>
      <c r="BD138" s="26"/>
      <c r="BE138" s="33"/>
    </row>
    <row r="139" customFormat="false" ht="15" hidden="true" customHeight="false" outlineLevel="0" collapsed="false">
      <c r="A139" s="17" t="n">
        <v>287</v>
      </c>
      <c r="B139" s="18" t="s">
        <v>96</v>
      </c>
      <c r="C139" s="19" t="str">
        <f aca="false">_xlfn.xlookup(B139,[1]Clients!B$1:B$1048576,[1]Clients!C$1:C$1048576)</f>
        <v>Luso-Flex</v>
      </c>
      <c r="D139" s="18" t="s">
        <v>96</v>
      </c>
      <c r="E139" s="19" t="str">
        <f aca="false">_xlfn.xlookup(D139,[1]Clients!B$1:B$1048576,[1]Clients!C$1:C$1048576)</f>
        <v>Luso-Flex</v>
      </c>
      <c r="F139" s="20" t="n">
        <v>45643</v>
      </c>
      <c r="G139" s="21" t="s">
        <v>58</v>
      </c>
      <c r="H139" s="19" t="n">
        <v>1966</v>
      </c>
      <c r="I139" s="19" t="s">
        <v>99</v>
      </c>
      <c r="J139" s="21" t="n">
        <v>45666</v>
      </c>
      <c r="K139" s="19"/>
      <c r="L139" s="19" t="n">
        <v>0</v>
      </c>
      <c r="M139" s="19" t="s">
        <v>74</v>
      </c>
      <c r="N139" s="19" t="s">
        <v>70</v>
      </c>
      <c r="O139" s="22" t="n">
        <v>0</v>
      </c>
      <c r="P139" s="23" t="s">
        <v>88</v>
      </c>
      <c r="Q139" s="23" t="s">
        <v>88</v>
      </c>
      <c r="R139" s="25" t="n">
        <v>40212</v>
      </c>
      <c r="S139" s="25" t="s">
        <v>264</v>
      </c>
      <c r="T139" s="25" t="n">
        <v>5</v>
      </c>
      <c r="U139" s="25" t="n">
        <v>1425</v>
      </c>
      <c r="V139" s="26" t="n">
        <v>40184</v>
      </c>
      <c r="W139" s="26" t="s">
        <v>175</v>
      </c>
      <c r="X139" s="26" t="n">
        <v>5</v>
      </c>
      <c r="Y139" s="26" t="n">
        <v>1800</v>
      </c>
      <c r="Z139" s="25" t="n">
        <v>40213</v>
      </c>
      <c r="AA139" s="25" t="s">
        <v>265</v>
      </c>
      <c r="AB139" s="25" t="n">
        <v>1</v>
      </c>
      <c r="AC139" s="25" t="n">
        <v>375</v>
      </c>
      <c r="AD139" s="26"/>
      <c r="AE139" s="26"/>
      <c r="AF139" s="26"/>
      <c r="AG139" s="26"/>
      <c r="AH139" s="25"/>
      <c r="AI139" s="25"/>
      <c r="AJ139" s="25"/>
      <c r="AK139" s="25"/>
      <c r="AL139" s="26"/>
      <c r="AM139" s="26"/>
      <c r="AN139" s="26"/>
      <c r="AO139" s="26"/>
      <c r="AP139" s="25"/>
      <c r="AQ139" s="25"/>
      <c r="AR139" s="25"/>
      <c r="AS139" s="25"/>
      <c r="AT139" s="26"/>
      <c r="AU139" s="26"/>
      <c r="AV139" s="26"/>
      <c r="AW139" s="26"/>
      <c r="AX139" s="25"/>
      <c r="AY139" s="25"/>
      <c r="AZ139" s="25"/>
      <c r="BA139" s="25"/>
      <c r="BB139" s="26"/>
      <c r="BC139" s="26"/>
      <c r="BD139" s="26"/>
      <c r="BE139" s="33"/>
    </row>
    <row r="140" customFormat="false" ht="15" hidden="true" customHeight="false" outlineLevel="0" collapsed="false">
      <c r="A140" s="17" t="n">
        <v>288</v>
      </c>
      <c r="B140" s="18" t="s">
        <v>115</v>
      </c>
      <c r="C140" s="19" t="str">
        <f aca="false">_xlfn.xlookup(B140,[1]Clients!B$1:B$1048576,[1]Clients!C$1:C$1048576)</f>
        <v>Corsair</v>
      </c>
      <c r="D140" s="18" t="s">
        <v>115</v>
      </c>
      <c r="E140" s="19" t="str">
        <f aca="false">_xlfn.xlookup(D140,[1]Clients!B$1:B$1048576,[1]Clients!C$1:C$1048576)</f>
        <v>Corsair</v>
      </c>
      <c r="F140" s="20" t="n">
        <v>45593</v>
      </c>
      <c r="G140" s="21" t="s">
        <v>58</v>
      </c>
      <c r="H140" s="19" t="n">
        <v>31758</v>
      </c>
      <c r="I140" s="19" t="s">
        <v>116</v>
      </c>
      <c r="J140" s="21" t="n">
        <v>45680</v>
      </c>
      <c r="K140" s="19"/>
      <c r="L140" s="19" t="n">
        <v>0</v>
      </c>
      <c r="M140" s="19" t="s">
        <v>74</v>
      </c>
      <c r="N140" s="19" t="s">
        <v>70</v>
      </c>
      <c r="O140" s="22" t="n">
        <v>0</v>
      </c>
      <c r="P140" s="23" t="s">
        <v>88</v>
      </c>
      <c r="Q140" s="23" t="s">
        <v>88</v>
      </c>
      <c r="R140" s="25" t="n">
        <v>40214</v>
      </c>
      <c r="S140" s="25" t="s">
        <v>158</v>
      </c>
      <c r="T140" s="25" t="n">
        <v>2</v>
      </c>
      <c r="U140" s="25" t="n">
        <v>2100</v>
      </c>
      <c r="V140" s="26" t="n">
        <v>40215</v>
      </c>
      <c r="W140" s="26" t="s">
        <v>200</v>
      </c>
      <c r="X140" s="26" t="n">
        <v>4</v>
      </c>
      <c r="Y140" s="26" t="n">
        <v>4140</v>
      </c>
      <c r="Z140" s="25" t="n">
        <v>40216</v>
      </c>
      <c r="AA140" s="25" t="s">
        <v>266</v>
      </c>
      <c r="AB140" s="25" t="n">
        <v>1</v>
      </c>
      <c r="AC140" s="25" t="n">
        <v>945</v>
      </c>
      <c r="AD140" s="26"/>
      <c r="AE140" s="26"/>
      <c r="AF140" s="26"/>
      <c r="AG140" s="26"/>
      <c r="AH140" s="25"/>
      <c r="AI140" s="25"/>
      <c r="AJ140" s="25"/>
      <c r="AK140" s="25"/>
      <c r="AL140" s="26"/>
      <c r="AM140" s="26"/>
      <c r="AN140" s="26"/>
      <c r="AO140" s="26"/>
      <c r="AP140" s="25"/>
      <c r="AQ140" s="25"/>
      <c r="AR140" s="25"/>
      <c r="AS140" s="25"/>
      <c r="AT140" s="26"/>
      <c r="AU140" s="26"/>
      <c r="AV140" s="26"/>
      <c r="AW140" s="26"/>
      <c r="AX140" s="25"/>
      <c r="AY140" s="25"/>
      <c r="AZ140" s="25"/>
      <c r="BA140" s="25"/>
      <c r="BB140" s="26"/>
      <c r="BC140" s="26"/>
      <c r="BD140" s="26"/>
      <c r="BE140" s="33"/>
    </row>
    <row r="141" customFormat="false" ht="15" hidden="true" customHeight="false" outlineLevel="0" collapsed="false">
      <c r="A141" s="17" t="n">
        <v>289</v>
      </c>
      <c r="B141" s="18" t="s">
        <v>89</v>
      </c>
      <c r="C141" s="19" t="str">
        <f aca="false">_xlfn.xlookup(B141,[1]Clients!B$1:B$1048576,[1]Clients!C$1:C$1048576)</f>
        <v>Produlith</v>
      </c>
      <c r="D141" s="18" t="s">
        <v>89</v>
      </c>
      <c r="E141" s="19" t="str">
        <f aca="false">_xlfn.xlookup(D141,[1]Clients!B$1:B$1048576,[1]Clients!C$1:C$1048576)</f>
        <v>Produlith</v>
      </c>
      <c r="F141" s="20" t="n">
        <v>45645</v>
      </c>
      <c r="G141" s="21" t="s">
        <v>58</v>
      </c>
      <c r="H141" s="19" t="s">
        <v>267</v>
      </c>
      <c r="I141" s="19" t="s">
        <v>90</v>
      </c>
      <c r="J141" s="21" t="n">
        <v>45646</v>
      </c>
      <c r="K141" s="19"/>
      <c r="L141" s="19" t="s">
        <v>98</v>
      </c>
      <c r="M141" s="19" t="s">
        <v>74</v>
      </c>
      <c r="N141" s="19" t="s">
        <v>103</v>
      </c>
      <c r="O141" s="22" t="n">
        <v>0</v>
      </c>
      <c r="P141" s="23" t="s">
        <v>77</v>
      </c>
      <c r="Q141" s="23" t="s">
        <v>77</v>
      </c>
      <c r="R141" s="25" t="n">
        <v>40089</v>
      </c>
      <c r="S141" s="25" t="s">
        <v>268</v>
      </c>
      <c r="T141" s="25" t="n">
        <v>4</v>
      </c>
      <c r="U141" s="25" t="n">
        <v>3600</v>
      </c>
      <c r="V141" s="26"/>
      <c r="W141" s="26" t="s">
        <v>217</v>
      </c>
      <c r="X141" s="26"/>
      <c r="Y141" s="26" t="n">
        <v>0</v>
      </c>
      <c r="Z141" s="25"/>
      <c r="AA141" s="25" t="s">
        <v>217</v>
      </c>
      <c r="AB141" s="25"/>
      <c r="AC141" s="25" t="n">
        <v>0</v>
      </c>
      <c r="AD141" s="26"/>
      <c r="AE141" s="26"/>
      <c r="AF141" s="26"/>
      <c r="AG141" s="26"/>
      <c r="AH141" s="25"/>
      <c r="AI141" s="25"/>
      <c r="AJ141" s="25"/>
      <c r="AK141" s="25"/>
      <c r="AL141" s="26"/>
      <c r="AM141" s="26"/>
      <c r="AN141" s="26"/>
      <c r="AO141" s="26"/>
      <c r="AP141" s="25"/>
      <c r="AQ141" s="25"/>
      <c r="AR141" s="25"/>
      <c r="AS141" s="25"/>
      <c r="AT141" s="26"/>
      <c r="AU141" s="26"/>
      <c r="AV141" s="26"/>
      <c r="AW141" s="26"/>
      <c r="AX141" s="25"/>
      <c r="AY141" s="25"/>
      <c r="AZ141" s="25"/>
      <c r="BA141" s="25"/>
      <c r="BB141" s="26"/>
      <c r="BC141" s="26"/>
      <c r="BD141" s="26"/>
      <c r="BE141" s="33"/>
    </row>
    <row r="142" customFormat="false" ht="15" hidden="true" customHeight="false" outlineLevel="0" collapsed="false">
      <c r="A142" s="17" t="n">
        <v>290</v>
      </c>
      <c r="B142" s="18" t="s">
        <v>221</v>
      </c>
      <c r="C142" s="19" t="str">
        <f aca="false">_xlfn.xlookup(B142,[1]Clients!B$1:B$1048576,[1]Clients!C$1:C$1048576)</f>
        <v>Bas St-Laurent</v>
      </c>
      <c r="D142" s="18" t="s">
        <v>221</v>
      </c>
      <c r="E142" s="19" t="str">
        <f aca="false">_xlfn.xlookup(D142,[1]Clients!B$1:B$1048576,[1]Clients!C$1:C$1048576)</f>
        <v>Bas St-Laurent</v>
      </c>
      <c r="F142" s="20" t="n">
        <v>45645</v>
      </c>
      <c r="G142" s="21" t="s">
        <v>58</v>
      </c>
      <c r="H142" s="19" t="s">
        <v>269</v>
      </c>
      <c r="I142" s="19" t="s">
        <v>222</v>
      </c>
      <c r="J142" s="21" t="n">
        <v>45300</v>
      </c>
      <c r="K142" s="19"/>
      <c r="L142" s="19" t="n">
        <v>0</v>
      </c>
      <c r="M142" s="19" t="s">
        <v>74</v>
      </c>
      <c r="N142" s="19" t="s">
        <v>70</v>
      </c>
      <c r="O142" s="22" t="n">
        <v>0</v>
      </c>
      <c r="P142" s="23" t="s">
        <v>88</v>
      </c>
      <c r="Q142" s="23" t="s">
        <v>88</v>
      </c>
      <c r="R142" s="25" t="n">
        <v>40217</v>
      </c>
      <c r="S142" s="25" t="s">
        <v>270</v>
      </c>
      <c r="T142" s="25" t="n">
        <v>14</v>
      </c>
      <c r="U142" s="25" t="n">
        <v>11970</v>
      </c>
      <c r="V142" s="26" t="n">
        <v>40218</v>
      </c>
      <c r="W142" s="26" t="s">
        <v>271</v>
      </c>
      <c r="X142" s="26" t="n">
        <v>2</v>
      </c>
      <c r="Y142" s="26" t="n">
        <v>1620</v>
      </c>
      <c r="Z142" s="25" t="n">
        <v>40219</v>
      </c>
      <c r="AA142" s="25" t="s">
        <v>272</v>
      </c>
      <c r="AB142" s="25" t="n">
        <v>2</v>
      </c>
      <c r="AC142" s="25" t="n">
        <v>810</v>
      </c>
      <c r="AD142" s="26"/>
      <c r="AE142" s="26"/>
      <c r="AF142" s="26"/>
      <c r="AG142" s="26"/>
      <c r="AH142" s="25"/>
      <c r="AI142" s="25"/>
      <c r="AJ142" s="25"/>
      <c r="AK142" s="25"/>
      <c r="AL142" s="26"/>
      <c r="AM142" s="26"/>
      <c r="AN142" s="26"/>
      <c r="AO142" s="26"/>
      <c r="AP142" s="25"/>
      <c r="AQ142" s="25"/>
      <c r="AR142" s="25"/>
      <c r="AS142" s="25"/>
      <c r="AT142" s="26"/>
      <c r="AU142" s="26"/>
      <c r="AV142" s="26"/>
      <c r="AW142" s="26"/>
      <c r="AX142" s="25"/>
      <c r="AY142" s="25"/>
      <c r="AZ142" s="25"/>
      <c r="BA142" s="25"/>
      <c r="BB142" s="26"/>
      <c r="BC142" s="26"/>
      <c r="BD142" s="26"/>
      <c r="BE142" s="33"/>
    </row>
    <row r="143" customFormat="false" ht="15" hidden="true" customHeight="false" outlineLevel="0" collapsed="false">
      <c r="A143" s="17" t="n">
        <v>291</v>
      </c>
      <c r="B143" s="18" t="s">
        <v>159</v>
      </c>
      <c r="C143" s="19" t="str">
        <f aca="false">_xlfn.xlookup(B143,[1]Clients!B$1:B$1048576,[1]Clients!C$1:C$1048576)</f>
        <v>Damaflex</v>
      </c>
      <c r="D143" s="18" t="s">
        <v>160</v>
      </c>
      <c r="E143" s="19" t="str">
        <f aca="false">_xlfn.xlookup(D143,[1]Clients!B$1:B$1048576,[1]Clients!C$1:C$1048576)</f>
        <v>Damaflex livraison</v>
      </c>
      <c r="F143" s="20" t="n">
        <v>45663</v>
      </c>
      <c r="G143" s="21" t="s">
        <v>58</v>
      </c>
      <c r="H143" s="19" t="n">
        <v>179984</v>
      </c>
      <c r="I143" s="19" t="s">
        <v>161</v>
      </c>
      <c r="J143" s="21" t="n">
        <v>45304</v>
      </c>
      <c r="K143" s="19"/>
      <c r="L143" s="19" t="n">
        <v>0</v>
      </c>
      <c r="M143" s="19" t="s">
        <v>74</v>
      </c>
      <c r="N143" s="19" t="s">
        <v>70</v>
      </c>
      <c r="O143" s="22" t="n">
        <v>0</v>
      </c>
      <c r="P143" s="23" t="s">
        <v>88</v>
      </c>
      <c r="Q143" s="23" t="s">
        <v>88</v>
      </c>
      <c r="R143" s="25" t="n">
        <v>40220</v>
      </c>
      <c r="S143" s="25" t="s">
        <v>250</v>
      </c>
      <c r="T143" s="25" t="n">
        <v>12</v>
      </c>
      <c r="U143" s="25" t="n">
        <v>7200</v>
      </c>
      <c r="V143" s="26"/>
      <c r="W143" s="26" t="s">
        <v>217</v>
      </c>
      <c r="X143" s="26"/>
      <c r="Y143" s="26" t="n">
        <v>0</v>
      </c>
      <c r="Z143" s="25"/>
      <c r="AA143" s="25" t="s">
        <v>217</v>
      </c>
      <c r="AB143" s="25"/>
      <c r="AC143" s="25" t="n">
        <v>0</v>
      </c>
      <c r="AD143" s="26"/>
      <c r="AE143" s="26"/>
      <c r="AF143" s="26"/>
      <c r="AG143" s="26"/>
      <c r="AH143" s="25"/>
      <c r="AI143" s="25"/>
      <c r="AJ143" s="25"/>
      <c r="AK143" s="25"/>
      <c r="AL143" s="26"/>
      <c r="AM143" s="26"/>
      <c r="AN143" s="26"/>
      <c r="AO143" s="26"/>
      <c r="AP143" s="25"/>
      <c r="AQ143" s="25"/>
      <c r="AR143" s="25"/>
      <c r="AS143" s="25"/>
      <c r="AT143" s="26"/>
      <c r="AU143" s="26"/>
      <c r="AV143" s="26"/>
      <c r="AW143" s="26"/>
      <c r="AX143" s="25"/>
      <c r="AY143" s="25"/>
      <c r="AZ143" s="25"/>
      <c r="BA143" s="25"/>
      <c r="BB143" s="26"/>
      <c r="BC143" s="26"/>
      <c r="BD143" s="26"/>
      <c r="BE143" s="33"/>
    </row>
    <row r="144" customFormat="false" ht="15" hidden="true" customHeight="false" outlineLevel="0" collapsed="false">
      <c r="A144" s="17" t="n">
        <v>292</v>
      </c>
      <c r="B144" s="18" t="s">
        <v>94</v>
      </c>
      <c r="C144" s="19" t="str">
        <f aca="false">_xlfn.xlookup(B144,[1]Clients!B$1:B$1048576,[1]Clients!C$1:C$1048576)</f>
        <v>IMPSJ</v>
      </c>
      <c r="D144" s="18" t="s">
        <v>94</v>
      </c>
      <c r="E144" s="19" t="str">
        <f aca="false">_xlfn.xlookup(D144,[1]Clients!B$1:B$1048576,[1]Clients!C$1:C$1048576)</f>
        <v>IMPSJ</v>
      </c>
      <c r="F144" s="20" t="n">
        <v>45663</v>
      </c>
      <c r="G144" s="21" t="s">
        <v>58</v>
      </c>
      <c r="H144" s="19" t="n">
        <v>106618</v>
      </c>
      <c r="I144" s="19" t="s">
        <v>118</v>
      </c>
      <c r="J144" s="21" t="n">
        <v>45304</v>
      </c>
      <c r="K144" s="19"/>
      <c r="L144" s="19" t="n">
        <v>0</v>
      </c>
      <c r="M144" s="19" t="s">
        <v>74</v>
      </c>
      <c r="N144" s="19" t="s">
        <v>107</v>
      </c>
      <c r="O144" s="22" t="n">
        <v>0</v>
      </c>
      <c r="P144" s="23" t="s">
        <v>77</v>
      </c>
      <c r="Q144" s="23" t="s">
        <v>77</v>
      </c>
      <c r="R144" s="25" t="n">
        <v>40221</v>
      </c>
      <c r="S144" s="25" t="s">
        <v>273</v>
      </c>
      <c r="T144" s="25" t="n">
        <v>4</v>
      </c>
      <c r="U144" s="25" t="n">
        <v>3360</v>
      </c>
      <c r="V144" s="26" t="n">
        <v>40222</v>
      </c>
      <c r="W144" s="26" t="s">
        <v>274</v>
      </c>
      <c r="X144" s="26" t="n">
        <v>1</v>
      </c>
      <c r="Y144" s="26" t="n">
        <v>240</v>
      </c>
      <c r="Z144" s="25" t="n">
        <v>40173</v>
      </c>
      <c r="AA144" s="25" t="s">
        <v>177</v>
      </c>
      <c r="AB144" s="25" t="n">
        <v>5</v>
      </c>
      <c r="AC144" s="25" t="n">
        <v>7200</v>
      </c>
      <c r="AD144" s="26" t="n">
        <v>40048</v>
      </c>
      <c r="AE144" s="26" t="s">
        <v>177</v>
      </c>
      <c r="AF144" s="26" t="n">
        <v>5</v>
      </c>
      <c r="AG144" s="26" t="n">
        <v>3600</v>
      </c>
      <c r="AH144" s="25"/>
      <c r="AI144" s="25" t="s">
        <v>217</v>
      </c>
      <c r="AJ144" s="25"/>
      <c r="AK144" s="25" t="n">
        <v>0</v>
      </c>
      <c r="AL144" s="26"/>
      <c r="AM144" s="26" t="s">
        <v>217</v>
      </c>
      <c r="AN144" s="26"/>
      <c r="AO144" s="26" t="n">
        <v>0</v>
      </c>
      <c r="AP144" s="25"/>
      <c r="AQ144" s="25" t="s">
        <v>217</v>
      </c>
      <c r="AR144" s="25"/>
      <c r="AS144" s="25" t="n">
        <v>0</v>
      </c>
      <c r="AT144" s="26"/>
      <c r="AU144" s="26" t="s">
        <v>217</v>
      </c>
      <c r="AV144" s="26"/>
      <c r="AW144" s="26" t="n">
        <v>0</v>
      </c>
      <c r="AX144" s="25"/>
      <c r="AY144" s="25"/>
      <c r="AZ144" s="25"/>
      <c r="BA144" s="25"/>
      <c r="BB144" s="26"/>
      <c r="BC144" s="26"/>
      <c r="BD144" s="26"/>
      <c r="BE144" s="33"/>
    </row>
    <row r="145" customFormat="false" ht="15" hidden="true" customHeight="false" outlineLevel="0" collapsed="false">
      <c r="A145" s="17" t="n">
        <v>293</v>
      </c>
      <c r="B145" s="18" t="s">
        <v>94</v>
      </c>
      <c r="C145" s="19" t="str">
        <f aca="false">_xlfn.xlookup(B145,[1]Clients!B$1:B$1048576,[1]Clients!C$1:C$1048576)</f>
        <v>IMPSJ</v>
      </c>
      <c r="D145" s="18" t="s">
        <v>94</v>
      </c>
      <c r="E145" s="19" t="str">
        <f aca="false">_xlfn.xlookup(D145,[1]Clients!B$1:B$1048576,[1]Clients!C$1:C$1048576)</f>
        <v>IMPSJ</v>
      </c>
      <c r="F145" s="20" t="n">
        <v>45663</v>
      </c>
      <c r="G145" s="21" t="s">
        <v>58</v>
      </c>
      <c r="H145" s="19" t="n">
        <v>106246</v>
      </c>
      <c r="I145" s="19"/>
      <c r="J145" s="21" t="n">
        <v>45304</v>
      </c>
      <c r="K145" s="19"/>
      <c r="L145" s="19" t="n">
        <v>0</v>
      </c>
      <c r="M145" s="19" t="s">
        <v>74</v>
      </c>
      <c r="N145" s="19" t="s">
        <v>107</v>
      </c>
      <c r="O145" s="22" t="n">
        <v>0</v>
      </c>
      <c r="P145" s="23" t="s">
        <v>77</v>
      </c>
      <c r="Q145" s="23" t="s">
        <v>77</v>
      </c>
      <c r="R145" s="25" t="n">
        <v>40067</v>
      </c>
      <c r="S145" s="25" t="s">
        <v>164</v>
      </c>
      <c r="T145" s="25" t="n">
        <v>5</v>
      </c>
      <c r="U145" s="25" t="n">
        <v>3600</v>
      </c>
      <c r="V145" s="26"/>
      <c r="W145" s="26" t="s">
        <v>217</v>
      </c>
      <c r="X145" s="26"/>
      <c r="Y145" s="26" t="n">
        <v>0</v>
      </c>
      <c r="Z145" s="25"/>
      <c r="AA145" s="25" t="s">
        <v>217</v>
      </c>
      <c r="AB145" s="25"/>
      <c r="AC145" s="25" t="n">
        <v>0</v>
      </c>
      <c r="AD145" s="26"/>
      <c r="AE145" s="26" t="s">
        <v>217</v>
      </c>
      <c r="AF145" s="26"/>
      <c r="AG145" s="26" t="n">
        <v>0</v>
      </c>
      <c r="AH145" s="25"/>
      <c r="AI145" s="25" t="s">
        <v>217</v>
      </c>
      <c r="AJ145" s="25"/>
      <c r="AK145" s="25" t="n">
        <v>0</v>
      </c>
      <c r="AL145" s="26"/>
      <c r="AM145" s="26" t="s">
        <v>217</v>
      </c>
      <c r="AN145" s="26"/>
      <c r="AO145" s="26" t="n">
        <v>0</v>
      </c>
      <c r="AP145" s="25"/>
      <c r="AQ145" s="25" t="s">
        <v>217</v>
      </c>
      <c r="AR145" s="25"/>
      <c r="AS145" s="25" t="n">
        <v>0</v>
      </c>
      <c r="AT145" s="26"/>
      <c r="AU145" s="26" t="s">
        <v>217</v>
      </c>
      <c r="AV145" s="26"/>
      <c r="AW145" s="26" t="n">
        <v>0</v>
      </c>
      <c r="AX145" s="25"/>
      <c r="AY145" s="25"/>
      <c r="AZ145" s="25"/>
      <c r="BA145" s="25"/>
      <c r="BB145" s="26"/>
      <c r="BC145" s="26"/>
      <c r="BD145" s="26"/>
      <c r="BE145" s="33"/>
    </row>
    <row r="146" customFormat="false" ht="15" hidden="true" customHeight="false" outlineLevel="0" collapsed="false">
      <c r="A146" s="17" t="n">
        <v>294</v>
      </c>
      <c r="B146" s="18" t="s">
        <v>63</v>
      </c>
      <c r="C146" s="19" t="str">
        <f aca="false">_xlfn.xlookup(B146,[1]Clients!B$1:B$1048576,[1]Clients!C$1:C$1048576)</f>
        <v>Digi</v>
      </c>
      <c r="D146" s="18" t="s">
        <v>63</v>
      </c>
      <c r="E146" s="19" t="str">
        <f aca="false">_xlfn.xlookup(D146,[1]Clients!B$1:B$1048576,[1]Clients!C$1:C$1048576)</f>
        <v>Digi</v>
      </c>
      <c r="F146" s="20" t="n">
        <v>45665</v>
      </c>
      <c r="G146" s="21" t="s">
        <v>58</v>
      </c>
      <c r="H146" s="19" t="n">
        <v>50009018</v>
      </c>
      <c r="I146" s="19" t="s">
        <v>76</v>
      </c>
      <c r="J146" s="21" t="n">
        <v>45679</v>
      </c>
      <c r="K146" s="19"/>
      <c r="L146" s="19" t="n">
        <v>0</v>
      </c>
      <c r="M146" s="19" t="s">
        <v>61</v>
      </c>
      <c r="N146" s="19" t="s">
        <v>65</v>
      </c>
      <c r="O146" s="22" t="n">
        <v>0</v>
      </c>
      <c r="P146" s="23" t="s">
        <v>77</v>
      </c>
      <c r="Q146" s="23" t="s">
        <v>77</v>
      </c>
      <c r="R146" s="25" t="n">
        <v>40103</v>
      </c>
      <c r="S146" s="25" t="s">
        <v>139</v>
      </c>
      <c r="T146" s="25" t="n">
        <v>72</v>
      </c>
      <c r="U146" s="25" t="n">
        <v>43200</v>
      </c>
      <c r="V146" s="26"/>
      <c r="W146" s="26" t="s">
        <v>217</v>
      </c>
      <c r="X146" s="26"/>
      <c r="Y146" s="26" t="n">
        <v>0</v>
      </c>
      <c r="Z146" s="25"/>
      <c r="AA146" s="25" t="s">
        <v>217</v>
      </c>
      <c r="AB146" s="25"/>
      <c r="AC146" s="25" t="n">
        <v>0</v>
      </c>
      <c r="AD146" s="26"/>
      <c r="AE146" s="26" t="s">
        <v>217</v>
      </c>
      <c r="AF146" s="26"/>
      <c r="AG146" s="26" t="n">
        <v>0</v>
      </c>
      <c r="AH146" s="25"/>
      <c r="AI146" s="25" t="s">
        <v>217</v>
      </c>
      <c r="AJ146" s="25"/>
      <c r="AK146" s="25" t="n">
        <v>0</v>
      </c>
      <c r="AL146" s="26"/>
      <c r="AM146" s="26" t="s">
        <v>217</v>
      </c>
      <c r="AN146" s="26"/>
      <c r="AO146" s="26" t="n">
        <v>0</v>
      </c>
      <c r="AP146" s="25"/>
      <c r="AQ146" s="25" t="s">
        <v>217</v>
      </c>
      <c r="AR146" s="25"/>
      <c r="AS146" s="25" t="n">
        <v>0</v>
      </c>
      <c r="AT146" s="26"/>
      <c r="AU146" s="26" t="s">
        <v>217</v>
      </c>
      <c r="AV146" s="26"/>
      <c r="AW146" s="26" t="n">
        <v>0</v>
      </c>
      <c r="AX146" s="25"/>
      <c r="AY146" s="25"/>
      <c r="AZ146" s="25"/>
      <c r="BA146" s="25"/>
      <c r="BB146" s="26"/>
      <c r="BC146" s="26"/>
      <c r="BD146" s="26"/>
      <c r="BE146" s="33"/>
    </row>
    <row r="147" customFormat="false" ht="15" hidden="true" customHeight="false" outlineLevel="0" collapsed="false">
      <c r="A147" s="17" t="n">
        <v>295</v>
      </c>
      <c r="B147" s="18" t="s">
        <v>194</v>
      </c>
      <c r="C147" s="19" t="str">
        <f aca="false">_xlfn.xlookup(B147,[1]Clients!B$1:B$1048576,[1]Clients!C$1:C$1048576)</f>
        <v>IMS</v>
      </c>
      <c r="D147" s="18" t="s">
        <v>194</v>
      </c>
      <c r="E147" s="19" t="str">
        <f aca="false">_xlfn.xlookup(D147,[1]Clients!B$1:B$1048576,[1]Clients!C$1:C$1048576)</f>
        <v>IMS</v>
      </c>
      <c r="F147" s="20" t="n">
        <v>45666</v>
      </c>
      <c r="G147" s="21" t="s">
        <v>58</v>
      </c>
      <c r="H147" s="19" t="n">
        <v>2501687</v>
      </c>
      <c r="I147" s="19" t="s">
        <v>275</v>
      </c>
      <c r="J147" s="21" t="n">
        <v>45679</v>
      </c>
      <c r="K147" s="19"/>
      <c r="L147" s="19" t="n">
        <v>0</v>
      </c>
      <c r="M147" s="19" t="s">
        <v>74</v>
      </c>
      <c r="N147" s="19" t="s">
        <v>70</v>
      </c>
      <c r="O147" s="22" t="n">
        <v>0</v>
      </c>
      <c r="P147" s="23" t="s">
        <v>88</v>
      </c>
      <c r="Q147" s="23" t="s">
        <v>88</v>
      </c>
      <c r="R147" s="25" t="n">
        <v>40223</v>
      </c>
      <c r="S147" s="25" t="s">
        <v>197</v>
      </c>
      <c r="T147" s="25" t="n">
        <v>4</v>
      </c>
      <c r="U147" s="25" t="n">
        <v>6120</v>
      </c>
      <c r="V147" s="26" t="n">
        <v>40224</v>
      </c>
      <c r="W147" s="26" t="s">
        <v>276</v>
      </c>
      <c r="X147" s="26" t="n">
        <v>1</v>
      </c>
      <c r="Y147" s="26" t="n">
        <v>1080</v>
      </c>
      <c r="Z147" s="25"/>
      <c r="AA147" s="25" t="s">
        <v>217</v>
      </c>
      <c r="AB147" s="25"/>
      <c r="AC147" s="25" t="n">
        <v>0</v>
      </c>
      <c r="AD147" s="26"/>
      <c r="AE147" s="26" t="s">
        <v>217</v>
      </c>
      <c r="AF147" s="26"/>
      <c r="AG147" s="26" t="n">
        <v>0</v>
      </c>
      <c r="AH147" s="25"/>
      <c r="AI147" s="25" t="s">
        <v>217</v>
      </c>
      <c r="AJ147" s="25"/>
      <c r="AK147" s="25" t="n">
        <v>0</v>
      </c>
      <c r="AL147" s="26"/>
      <c r="AM147" s="26" t="s">
        <v>217</v>
      </c>
      <c r="AN147" s="26"/>
      <c r="AO147" s="26" t="n">
        <v>0</v>
      </c>
      <c r="AP147" s="25"/>
      <c r="AQ147" s="25" t="s">
        <v>217</v>
      </c>
      <c r="AR147" s="25"/>
      <c r="AS147" s="25" t="n">
        <v>0</v>
      </c>
      <c r="AT147" s="26"/>
      <c r="AU147" s="26" t="s">
        <v>217</v>
      </c>
      <c r="AV147" s="26"/>
      <c r="AW147" s="26" t="n">
        <v>0</v>
      </c>
      <c r="AX147" s="25"/>
      <c r="AY147" s="25"/>
      <c r="AZ147" s="25"/>
      <c r="BA147" s="25"/>
      <c r="BB147" s="26"/>
      <c r="BC147" s="26"/>
      <c r="BD147" s="26"/>
      <c r="BE147" s="33"/>
    </row>
    <row r="148" customFormat="false" ht="15" hidden="true" customHeight="false" outlineLevel="0" collapsed="false">
      <c r="A148" s="17" t="n">
        <v>296</v>
      </c>
      <c r="B148" s="18" t="s">
        <v>194</v>
      </c>
      <c r="C148" s="19" t="str">
        <f aca="false">_xlfn.xlookup(B148,[1]Clients!B$1:B$1048576,[1]Clients!C$1:C$1048576)</f>
        <v>IMS</v>
      </c>
      <c r="D148" s="18" t="s">
        <v>194</v>
      </c>
      <c r="E148" s="19" t="str">
        <f aca="false">_xlfn.xlookup(D148,[1]Clients!B$1:B$1048576,[1]Clients!C$1:C$1048576)</f>
        <v>IMS</v>
      </c>
      <c r="F148" s="20" t="n">
        <v>45666</v>
      </c>
      <c r="G148" s="21" t="s">
        <v>58</v>
      </c>
      <c r="H148" s="19" t="n">
        <v>2501688</v>
      </c>
      <c r="I148" s="19" t="s">
        <v>275</v>
      </c>
      <c r="J148" s="21" t="n">
        <v>45679</v>
      </c>
      <c r="K148" s="19"/>
      <c r="L148" s="19" t="n">
        <v>0</v>
      </c>
      <c r="M148" s="19" t="s">
        <v>74</v>
      </c>
      <c r="N148" s="19" t="s">
        <v>70</v>
      </c>
      <c r="O148" s="22" t="n">
        <v>0</v>
      </c>
      <c r="P148" s="23" t="s">
        <v>88</v>
      </c>
      <c r="Q148" s="23" t="s">
        <v>88</v>
      </c>
      <c r="R148" s="25" t="n">
        <v>40224</v>
      </c>
      <c r="S148" s="25" t="s">
        <v>276</v>
      </c>
      <c r="T148" s="25" t="n">
        <v>5</v>
      </c>
      <c r="U148" s="25" t="n">
        <v>5400</v>
      </c>
      <c r="V148" s="26" t="n">
        <v>40225</v>
      </c>
      <c r="W148" s="26" t="s">
        <v>224</v>
      </c>
      <c r="X148" s="26" t="n">
        <v>2</v>
      </c>
      <c r="Y148" s="26" t="n">
        <v>1080</v>
      </c>
      <c r="Z148" s="25" t="n">
        <v>40226</v>
      </c>
      <c r="AA148" s="25" t="s">
        <v>277</v>
      </c>
      <c r="AB148" s="25" t="n">
        <v>1</v>
      </c>
      <c r="AC148" s="25" t="n">
        <v>720</v>
      </c>
      <c r="AD148" s="26"/>
      <c r="AE148" s="26" t="s">
        <v>217</v>
      </c>
      <c r="AF148" s="26"/>
      <c r="AG148" s="26" t="n">
        <v>0</v>
      </c>
      <c r="AH148" s="25"/>
      <c r="AI148" s="25" t="s">
        <v>217</v>
      </c>
      <c r="AJ148" s="25"/>
      <c r="AK148" s="25" t="n">
        <v>0</v>
      </c>
      <c r="AL148" s="26"/>
      <c r="AM148" s="26" t="s">
        <v>217</v>
      </c>
      <c r="AN148" s="26"/>
      <c r="AO148" s="26" t="n">
        <v>0</v>
      </c>
      <c r="AP148" s="25"/>
      <c r="AQ148" s="25" t="s">
        <v>217</v>
      </c>
      <c r="AR148" s="25"/>
      <c r="AS148" s="25" t="n">
        <v>0</v>
      </c>
      <c r="AT148" s="26"/>
      <c r="AU148" s="26" t="s">
        <v>217</v>
      </c>
      <c r="AV148" s="26"/>
      <c r="AW148" s="26" t="n">
        <v>0</v>
      </c>
      <c r="AX148" s="25"/>
      <c r="AY148" s="25"/>
      <c r="AZ148" s="25"/>
      <c r="BA148" s="25"/>
      <c r="BB148" s="26"/>
      <c r="BC148" s="26"/>
      <c r="BD148" s="26"/>
      <c r="BE148" s="33"/>
    </row>
    <row r="149" customFormat="false" ht="15" hidden="true" customHeight="false" outlineLevel="0" collapsed="false">
      <c r="A149" s="17" t="n">
        <v>297</v>
      </c>
      <c r="B149" s="18" t="s">
        <v>94</v>
      </c>
      <c r="C149" s="19" t="str">
        <f aca="false">_xlfn.xlookup(B149,[1]Clients!B$1:B$1048576,[1]Clients!C$1:C$1048576)</f>
        <v>IMPSJ</v>
      </c>
      <c r="D149" s="18" t="s">
        <v>94</v>
      </c>
      <c r="E149" s="19" t="str">
        <f aca="false">_xlfn.xlookup(D149,[1]Clients!B$1:B$1048576,[1]Clients!C$1:C$1048576)</f>
        <v>IMPSJ</v>
      </c>
      <c r="F149" s="20" t="n">
        <v>45666</v>
      </c>
      <c r="G149" s="21" t="s">
        <v>58</v>
      </c>
      <c r="H149" s="19" t="n">
        <v>106713</v>
      </c>
      <c r="I149" s="19" t="s">
        <v>118</v>
      </c>
      <c r="J149" s="21" t="n">
        <v>45673</v>
      </c>
      <c r="K149" s="19"/>
      <c r="L149" s="19" t="n">
        <v>0</v>
      </c>
      <c r="M149" s="19" t="s">
        <v>74</v>
      </c>
      <c r="N149" s="19" t="s">
        <v>107</v>
      </c>
      <c r="O149" s="22" t="n">
        <v>0</v>
      </c>
      <c r="P149" s="23" t="s">
        <v>77</v>
      </c>
      <c r="Q149" s="23" t="s">
        <v>77</v>
      </c>
      <c r="R149" s="25" t="n">
        <v>40117</v>
      </c>
      <c r="S149" s="25" t="s">
        <v>165</v>
      </c>
      <c r="T149" s="25" t="n">
        <v>6</v>
      </c>
      <c r="U149" s="25" t="n">
        <v>3600</v>
      </c>
      <c r="V149" s="26"/>
      <c r="W149" s="26" t="s">
        <v>217</v>
      </c>
      <c r="X149" s="26"/>
      <c r="Y149" s="26" t="n">
        <v>0</v>
      </c>
      <c r="Z149" s="25"/>
      <c r="AA149" s="25" t="s">
        <v>217</v>
      </c>
      <c r="AB149" s="25"/>
      <c r="AC149" s="25" t="n">
        <v>0</v>
      </c>
      <c r="AD149" s="26"/>
      <c r="AE149" s="26" t="s">
        <v>217</v>
      </c>
      <c r="AF149" s="26"/>
      <c r="AG149" s="26" t="n">
        <v>0</v>
      </c>
      <c r="AH149" s="25"/>
      <c r="AI149" s="25" t="s">
        <v>217</v>
      </c>
      <c r="AJ149" s="25"/>
      <c r="AK149" s="25" t="n">
        <v>0</v>
      </c>
      <c r="AL149" s="26"/>
      <c r="AM149" s="26" t="s">
        <v>217</v>
      </c>
      <c r="AN149" s="26"/>
      <c r="AO149" s="26" t="n">
        <v>0</v>
      </c>
      <c r="AP149" s="25"/>
      <c r="AQ149" s="25" t="s">
        <v>217</v>
      </c>
      <c r="AR149" s="25"/>
      <c r="AS149" s="25" t="n">
        <v>0</v>
      </c>
      <c r="AT149" s="26"/>
      <c r="AU149" s="26" t="s">
        <v>217</v>
      </c>
      <c r="AV149" s="26"/>
      <c r="AW149" s="26" t="n">
        <v>0</v>
      </c>
      <c r="AX149" s="25"/>
      <c r="AY149" s="25"/>
      <c r="AZ149" s="25"/>
      <c r="BA149" s="25"/>
      <c r="BB149" s="26"/>
      <c r="BC149" s="26"/>
      <c r="BD149" s="26"/>
      <c r="BE149" s="33"/>
    </row>
    <row r="150" customFormat="false" ht="15" hidden="true" customHeight="false" outlineLevel="0" collapsed="false">
      <c r="A150" s="17" t="n">
        <v>298</v>
      </c>
      <c r="B150" s="18" t="s">
        <v>210</v>
      </c>
      <c r="C150" s="19" t="str">
        <f aca="false">_xlfn.xlookup(B150,[1]Clients!B$1:B$1048576,[1]Clients!C$1:C$1048576)</f>
        <v>3G</v>
      </c>
      <c r="D150" s="18" t="s">
        <v>210</v>
      </c>
      <c r="E150" s="19" t="str">
        <f aca="false">_xlfn.xlookup(D150,[1]Clients!B$1:B$1048576,[1]Clients!C$1:C$1048576)</f>
        <v>3G</v>
      </c>
      <c r="F150" s="20" t="n">
        <v>45666</v>
      </c>
      <c r="G150" s="21" t="s">
        <v>58</v>
      </c>
      <c r="H150" s="19" t="n">
        <v>2985</v>
      </c>
      <c r="I150" s="19" t="s">
        <v>211</v>
      </c>
      <c r="J150" s="21" t="n">
        <v>45677</v>
      </c>
      <c r="K150" s="19"/>
      <c r="L150" s="19" t="n">
        <v>0</v>
      </c>
      <c r="M150" s="19" t="s">
        <v>61</v>
      </c>
      <c r="N150" s="19" t="s">
        <v>123</v>
      </c>
      <c r="O150" s="22" t="n">
        <v>0</v>
      </c>
      <c r="P150" s="23" t="s">
        <v>88</v>
      </c>
      <c r="Q150" s="23" t="s">
        <v>88</v>
      </c>
      <c r="R150" s="25" t="n">
        <v>40227</v>
      </c>
      <c r="S150" s="25" t="s">
        <v>164</v>
      </c>
      <c r="T150" s="25" t="n">
        <v>5</v>
      </c>
      <c r="U150" s="25" t="n">
        <v>7200</v>
      </c>
      <c r="V150" s="26"/>
      <c r="W150" s="26" t="s">
        <v>217</v>
      </c>
      <c r="X150" s="26"/>
      <c r="Y150" s="26" t="n">
        <v>0</v>
      </c>
      <c r="Z150" s="25"/>
      <c r="AA150" s="25" t="s">
        <v>217</v>
      </c>
      <c r="AB150" s="25"/>
      <c r="AC150" s="25" t="n">
        <v>0</v>
      </c>
      <c r="AD150" s="26"/>
      <c r="AE150" s="26" t="s">
        <v>217</v>
      </c>
      <c r="AF150" s="26"/>
      <c r="AG150" s="26" t="n">
        <v>0</v>
      </c>
      <c r="AH150" s="25"/>
      <c r="AI150" s="25" t="s">
        <v>217</v>
      </c>
      <c r="AJ150" s="25"/>
      <c r="AK150" s="25" t="n">
        <v>0</v>
      </c>
      <c r="AL150" s="26"/>
      <c r="AM150" s="26" t="s">
        <v>217</v>
      </c>
      <c r="AN150" s="26"/>
      <c r="AO150" s="26" t="n">
        <v>0</v>
      </c>
      <c r="AP150" s="25"/>
      <c r="AQ150" s="25" t="s">
        <v>217</v>
      </c>
      <c r="AR150" s="25"/>
      <c r="AS150" s="25" t="n">
        <v>0</v>
      </c>
      <c r="AT150" s="26"/>
      <c r="AU150" s="26" t="s">
        <v>217</v>
      </c>
      <c r="AV150" s="26"/>
      <c r="AW150" s="26" t="n">
        <v>0</v>
      </c>
      <c r="AX150" s="25"/>
      <c r="AY150" s="25"/>
      <c r="AZ150" s="25"/>
      <c r="BA150" s="25"/>
      <c r="BB150" s="26"/>
      <c r="BC150" s="26"/>
      <c r="BD150" s="26"/>
      <c r="BE150" s="33"/>
    </row>
    <row r="151" customFormat="false" ht="15" hidden="true" customHeight="false" outlineLevel="0" collapsed="false">
      <c r="A151" s="17" t="n">
        <v>299</v>
      </c>
      <c r="B151" s="18" t="s">
        <v>262</v>
      </c>
      <c r="C151" s="19" t="str">
        <f aca="false">_xlfn.xlookup(B151,[1]Clients!B$1:B$1048576,[1]Clients!C$1:C$1048576)</f>
        <v>REDEMAC</v>
      </c>
      <c r="D151" s="18" t="s">
        <v>262</v>
      </c>
      <c r="E151" s="19" t="str">
        <f aca="false">_xlfn.xlookup(D151,[1]Clients!B$1:B$1048576,[1]Clients!C$1:C$1048576)</f>
        <v>REDEMAC</v>
      </c>
      <c r="F151" s="20" t="n">
        <v>45671</v>
      </c>
      <c r="G151" s="21" t="s">
        <v>58</v>
      </c>
      <c r="H151" s="19" t="s">
        <v>208</v>
      </c>
      <c r="I151" s="19" t="s">
        <v>263</v>
      </c>
      <c r="J151" s="21" t="n">
        <v>45678</v>
      </c>
      <c r="K151" s="19"/>
      <c r="L151" s="19" t="n">
        <v>0</v>
      </c>
      <c r="M151" s="19" t="s">
        <v>74</v>
      </c>
      <c r="N151" s="19" t="n">
        <v>0</v>
      </c>
      <c r="O151" s="22" t="n">
        <v>0</v>
      </c>
      <c r="P151" s="23" t="s">
        <v>88</v>
      </c>
      <c r="Q151" s="23" t="s">
        <v>88</v>
      </c>
      <c r="R151" s="25" t="n">
        <v>40230</v>
      </c>
      <c r="S151" s="25" t="s">
        <v>278</v>
      </c>
      <c r="T151" s="25" t="n">
        <v>3</v>
      </c>
      <c r="U151" s="25" t="n">
        <v>2550.06</v>
      </c>
      <c r="V151" s="26"/>
      <c r="W151" s="26" t="s">
        <v>217</v>
      </c>
      <c r="X151" s="26"/>
      <c r="Y151" s="26" t="n">
        <v>0</v>
      </c>
      <c r="Z151" s="25"/>
      <c r="AA151" s="25" t="s">
        <v>217</v>
      </c>
      <c r="AB151" s="25"/>
      <c r="AC151" s="25" t="n">
        <v>0</v>
      </c>
      <c r="AD151" s="26"/>
      <c r="AE151" s="26" t="s">
        <v>217</v>
      </c>
      <c r="AF151" s="26"/>
      <c r="AG151" s="26" t="n">
        <v>0</v>
      </c>
      <c r="AH151" s="25"/>
      <c r="AI151" s="25" t="s">
        <v>217</v>
      </c>
      <c r="AJ151" s="25"/>
      <c r="AK151" s="25" t="n">
        <v>0</v>
      </c>
      <c r="AL151" s="26"/>
      <c r="AM151" s="26" t="s">
        <v>217</v>
      </c>
      <c r="AN151" s="26"/>
      <c r="AO151" s="26" t="n">
        <v>0</v>
      </c>
      <c r="AP151" s="25"/>
      <c r="AQ151" s="25" t="s">
        <v>217</v>
      </c>
      <c r="AR151" s="25"/>
      <c r="AS151" s="25" t="n">
        <v>0</v>
      </c>
      <c r="AT151" s="26"/>
      <c r="AU151" s="26" t="s">
        <v>217</v>
      </c>
      <c r="AV151" s="26"/>
      <c r="AW151" s="26" t="n">
        <v>0</v>
      </c>
      <c r="AX151" s="25"/>
      <c r="AY151" s="25"/>
      <c r="AZ151" s="25"/>
      <c r="BA151" s="25"/>
      <c r="BB151" s="26"/>
      <c r="BC151" s="26"/>
      <c r="BD151" s="26"/>
      <c r="BE151" s="33"/>
    </row>
    <row r="152" customFormat="false" ht="15" hidden="true" customHeight="false" outlineLevel="0" collapsed="false">
      <c r="A152" s="17" t="n">
        <v>300</v>
      </c>
      <c r="B152" s="18" t="s">
        <v>159</v>
      </c>
      <c r="C152" s="19" t="str">
        <f aca="false">_xlfn.xlookup(B152,[1]Clients!B$1:B$1048576,[1]Clients!C$1:C$1048576)</f>
        <v>Damaflex</v>
      </c>
      <c r="D152" s="18" t="s">
        <v>160</v>
      </c>
      <c r="E152" s="19" t="str">
        <f aca="false">_xlfn.xlookup(D152,[1]Clients!B$1:B$1048576,[1]Clients!C$1:C$1048576)</f>
        <v>Damaflex livraison</v>
      </c>
      <c r="F152" s="20" t="n">
        <v>45671</v>
      </c>
      <c r="G152" s="21" t="s">
        <v>58</v>
      </c>
      <c r="H152" s="19" t="n">
        <v>179986</v>
      </c>
      <c r="I152" s="19" t="s">
        <v>161</v>
      </c>
      <c r="J152" s="21" t="n">
        <v>45678</v>
      </c>
      <c r="K152" s="19"/>
      <c r="L152" s="19" t="n">
        <v>0</v>
      </c>
      <c r="M152" s="19" t="s">
        <v>74</v>
      </c>
      <c r="N152" s="19" t="s">
        <v>70</v>
      </c>
      <c r="O152" s="22" t="n">
        <v>0</v>
      </c>
      <c r="P152" s="23" t="s">
        <v>88</v>
      </c>
      <c r="Q152" s="23" t="s">
        <v>88</v>
      </c>
      <c r="R152" s="25" t="n">
        <v>40228</v>
      </c>
      <c r="S152" s="25" t="s">
        <v>279</v>
      </c>
      <c r="T152" s="25" t="n">
        <v>7</v>
      </c>
      <c r="U152" s="25" t="n">
        <v>6720</v>
      </c>
      <c r="V152" s="26" t="n">
        <v>40229</v>
      </c>
      <c r="W152" s="26" t="s">
        <v>280</v>
      </c>
      <c r="X152" s="26" t="n">
        <v>1</v>
      </c>
      <c r="Y152" s="26" t="n">
        <v>480</v>
      </c>
      <c r="Z152" s="25"/>
      <c r="AA152" s="25" t="s">
        <v>217</v>
      </c>
      <c r="AB152" s="25"/>
      <c r="AC152" s="25" t="n">
        <v>0</v>
      </c>
      <c r="AD152" s="26"/>
      <c r="AE152" s="26" t="s">
        <v>217</v>
      </c>
      <c r="AF152" s="26"/>
      <c r="AG152" s="26" t="n">
        <v>0</v>
      </c>
      <c r="AH152" s="25"/>
      <c r="AI152" s="25" t="s">
        <v>217</v>
      </c>
      <c r="AJ152" s="25"/>
      <c r="AK152" s="25" t="n">
        <v>0</v>
      </c>
      <c r="AL152" s="26"/>
      <c r="AM152" s="26" t="s">
        <v>217</v>
      </c>
      <c r="AN152" s="26"/>
      <c r="AO152" s="26" t="n">
        <v>0</v>
      </c>
      <c r="AP152" s="25"/>
      <c r="AQ152" s="25" t="s">
        <v>217</v>
      </c>
      <c r="AR152" s="25"/>
      <c r="AS152" s="25" t="n">
        <v>0</v>
      </c>
      <c r="AT152" s="26"/>
      <c r="AU152" s="26" t="s">
        <v>217</v>
      </c>
      <c r="AV152" s="26"/>
      <c r="AW152" s="26" t="n">
        <v>0</v>
      </c>
      <c r="AX152" s="25"/>
      <c r="AY152" s="25"/>
      <c r="AZ152" s="25"/>
      <c r="BA152" s="25"/>
      <c r="BB152" s="26"/>
      <c r="BC152" s="26"/>
      <c r="BD152" s="26"/>
      <c r="BE152" s="33"/>
    </row>
    <row r="153" customFormat="false" ht="15" hidden="true" customHeight="false" outlineLevel="0" collapsed="false">
      <c r="A153" s="17" t="n">
        <v>301</v>
      </c>
      <c r="B153" s="18" t="s">
        <v>120</v>
      </c>
      <c r="C153" s="19" t="str">
        <f aca="false">_xlfn.xlookup(B153,[1]Clients!B$1:B$1048576,[1]Clients!C$1:C$1048576)</f>
        <v>Mijo</v>
      </c>
      <c r="D153" s="18" t="s">
        <v>120</v>
      </c>
      <c r="E153" s="19" t="str">
        <f aca="false">_xlfn.xlookup(D153,[1]Clients!B$1:B$1048576,[1]Clients!C$1:C$1048576)</f>
        <v>Mijo</v>
      </c>
      <c r="F153" s="20" t="n">
        <v>45671</v>
      </c>
      <c r="G153" s="21" t="s">
        <v>58</v>
      </c>
      <c r="H153" s="19" t="n">
        <v>14339</v>
      </c>
      <c r="I153" s="19" t="s">
        <v>122</v>
      </c>
      <c r="J153" s="21" t="n">
        <v>45680</v>
      </c>
      <c r="K153" s="19"/>
      <c r="L153" s="19" t="n">
        <v>0</v>
      </c>
      <c r="M153" s="19" t="s">
        <v>74</v>
      </c>
      <c r="N153" s="19" t="s">
        <v>123</v>
      </c>
      <c r="O153" s="22" t="n">
        <v>0</v>
      </c>
      <c r="P153" s="23" t="s">
        <v>88</v>
      </c>
      <c r="Q153" s="23" t="s">
        <v>88</v>
      </c>
      <c r="R153" s="25" t="n">
        <v>40231</v>
      </c>
      <c r="S153" s="25" t="s">
        <v>251</v>
      </c>
      <c r="T153" s="25" t="n">
        <v>6</v>
      </c>
      <c r="U153" s="25" t="n">
        <v>7200</v>
      </c>
      <c r="V153" s="26"/>
      <c r="W153" s="26" t="s">
        <v>217</v>
      </c>
      <c r="X153" s="26"/>
      <c r="Y153" s="26" t="n">
        <v>0</v>
      </c>
      <c r="Z153" s="25"/>
      <c r="AA153" s="25" t="s">
        <v>217</v>
      </c>
      <c r="AB153" s="25"/>
      <c r="AC153" s="25" t="n">
        <v>0</v>
      </c>
      <c r="AD153" s="26"/>
      <c r="AE153" s="26" t="s">
        <v>217</v>
      </c>
      <c r="AF153" s="26"/>
      <c r="AG153" s="26" t="n">
        <v>0</v>
      </c>
      <c r="AH153" s="25"/>
      <c r="AI153" s="25" t="s">
        <v>217</v>
      </c>
      <c r="AJ153" s="25"/>
      <c r="AK153" s="25" t="n">
        <v>0</v>
      </c>
      <c r="AL153" s="26"/>
      <c r="AM153" s="26" t="s">
        <v>217</v>
      </c>
      <c r="AN153" s="26"/>
      <c r="AO153" s="26" t="n">
        <v>0</v>
      </c>
      <c r="AP153" s="25"/>
      <c r="AQ153" s="25" t="s">
        <v>217</v>
      </c>
      <c r="AR153" s="25"/>
      <c r="AS153" s="25" t="n">
        <v>0</v>
      </c>
      <c r="AT153" s="26"/>
      <c r="AU153" s="26" t="s">
        <v>217</v>
      </c>
      <c r="AV153" s="26"/>
      <c r="AW153" s="26" t="n">
        <v>0</v>
      </c>
      <c r="AX153" s="25"/>
      <c r="AY153" s="25"/>
      <c r="AZ153" s="25"/>
      <c r="BA153" s="25"/>
      <c r="BB153" s="26"/>
      <c r="BC153" s="26"/>
      <c r="BD153" s="26"/>
      <c r="BE153" s="33"/>
    </row>
    <row r="154" customFormat="false" ht="15" hidden="true" customHeight="false" outlineLevel="0" collapsed="false">
      <c r="A154" s="17" t="n">
        <v>302</v>
      </c>
      <c r="B154" s="18" t="s">
        <v>94</v>
      </c>
      <c r="C154" s="19" t="str">
        <f aca="false">_xlfn.xlookup(B154,[1]Clients!B$1:B$1048576,[1]Clients!C$1:C$1048576)</f>
        <v>IMPSJ</v>
      </c>
      <c r="D154" s="18" t="s">
        <v>94</v>
      </c>
      <c r="E154" s="19" t="str">
        <f aca="false">_xlfn.xlookup(D154,[1]Clients!B$1:B$1048576,[1]Clients!C$1:C$1048576)</f>
        <v>IMPSJ</v>
      </c>
      <c r="F154" s="20" t="n">
        <v>45672</v>
      </c>
      <c r="G154" s="21" t="s">
        <v>58</v>
      </c>
      <c r="H154" s="19" t="n">
        <v>106855</v>
      </c>
      <c r="I154" s="19" t="s">
        <v>118</v>
      </c>
      <c r="J154" s="21" t="n">
        <v>45679</v>
      </c>
      <c r="K154" s="19"/>
      <c r="L154" s="19" t="n">
        <v>0</v>
      </c>
      <c r="M154" s="19" t="s">
        <v>74</v>
      </c>
      <c r="N154" s="19" t="s">
        <v>107</v>
      </c>
      <c r="O154" s="22" t="n">
        <v>0</v>
      </c>
      <c r="P154" s="23" t="s">
        <v>77</v>
      </c>
      <c r="Q154" s="23" t="s">
        <v>77</v>
      </c>
      <c r="R154" s="25" t="n">
        <v>40081</v>
      </c>
      <c r="S154" s="25" t="s">
        <v>176</v>
      </c>
      <c r="T154" s="25" t="n">
        <v>6</v>
      </c>
      <c r="U154" s="25" t="n">
        <v>3600</v>
      </c>
      <c r="V154" s="26" t="n">
        <v>40048</v>
      </c>
      <c r="W154" s="26" t="s">
        <v>177</v>
      </c>
      <c r="X154" s="26" t="n">
        <v>5</v>
      </c>
      <c r="Y154" s="26" t="n">
        <v>3600</v>
      </c>
      <c r="Z154" s="25"/>
      <c r="AA154" s="25" t="s">
        <v>217</v>
      </c>
      <c r="AB154" s="25"/>
      <c r="AC154" s="25" t="n">
        <v>0</v>
      </c>
      <c r="AD154" s="26"/>
      <c r="AE154" s="26" t="s">
        <v>217</v>
      </c>
      <c r="AF154" s="26"/>
      <c r="AG154" s="26" t="n">
        <v>0</v>
      </c>
      <c r="AH154" s="25"/>
      <c r="AI154" s="25" t="s">
        <v>217</v>
      </c>
      <c r="AJ154" s="25"/>
      <c r="AK154" s="25" t="n">
        <v>0</v>
      </c>
      <c r="AL154" s="26"/>
      <c r="AM154" s="26" t="s">
        <v>217</v>
      </c>
      <c r="AN154" s="26"/>
      <c r="AO154" s="26" t="n">
        <v>0</v>
      </c>
      <c r="AP154" s="25"/>
      <c r="AQ154" s="25" t="s">
        <v>217</v>
      </c>
      <c r="AR154" s="25"/>
      <c r="AS154" s="25" t="n">
        <v>0</v>
      </c>
      <c r="AT154" s="26"/>
      <c r="AU154" s="26" t="s">
        <v>217</v>
      </c>
      <c r="AV154" s="26"/>
      <c r="AW154" s="26" t="n">
        <v>0</v>
      </c>
      <c r="AX154" s="25"/>
      <c r="AY154" s="25"/>
      <c r="AZ154" s="25"/>
      <c r="BA154" s="25"/>
      <c r="BB154" s="26"/>
      <c r="BC154" s="26"/>
      <c r="BD154" s="26"/>
      <c r="BE154" s="33"/>
    </row>
    <row r="155" customFormat="false" ht="15" hidden="true" customHeight="false" outlineLevel="0" collapsed="false">
      <c r="A155" s="17" t="n">
        <v>303</v>
      </c>
      <c r="B155" s="18" t="s">
        <v>120</v>
      </c>
      <c r="C155" s="19" t="str">
        <f aca="false">_xlfn.xlookup(B155,[1]Clients!B$1:B$1048576,[1]Clients!C$1:C$1048576)</f>
        <v>Mijo</v>
      </c>
      <c r="D155" s="18" t="s">
        <v>120</v>
      </c>
      <c r="E155" s="19" t="str">
        <f aca="false">_xlfn.xlookup(D155,[1]Clients!B$1:B$1048576,[1]Clients!C$1:C$1048576)</f>
        <v>Mijo</v>
      </c>
      <c r="F155" s="20" t="n">
        <v>45673</v>
      </c>
      <c r="G155" s="21" t="s">
        <v>58</v>
      </c>
      <c r="H155" s="19" t="n">
        <v>14342</v>
      </c>
      <c r="I155" s="19" t="s">
        <v>122</v>
      </c>
      <c r="J155" s="21" t="n">
        <v>45679</v>
      </c>
      <c r="K155" s="19"/>
      <c r="L155" s="19" t="n">
        <v>0</v>
      </c>
      <c r="M155" s="19" t="s">
        <v>74</v>
      </c>
      <c r="N155" s="19" t="s">
        <v>123</v>
      </c>
      <c r="O155" s="22" t="n">
        <v>0</v>
      </c>
      <c r="P155" s="23" t="s">
        <v>88</v>
      </c>
      <c r="Q155" s="23" t="s">
        <v>88</v>
      </c>
      <c r="R155" s="25" t="n">
        <v>40126</v>
      </c>
      <c r="S155" s="25" t="s">
        <v>164</v>
      </c>
      <c r="T155" s="25" t="n">
        <v>10</v>
      </c>
      <c r="U155" s="25" t="n">
        <v>14400</v>
      </c>
      <c r="V155" s="26"/>
      <c r="W155" s="26" t="s">
        <v>217</v>
      </c>
      <c r="X155" s="26"/>
      <c r="Y155" s="26" t="n">
        <v>0</v>
      </c>
      <c r="Z155" s="25"/>
      <c r="AA155" s="25" t="s">
        <v>217</v>
      </c>
      <c r="AB155" s="25"/>
      <c r="AC155" s="25" t="n">
        <v>0</v>
      </c>
      <c r="AD155" s="26"/>
      <c r="AE155" s="26" t="s">
        <v>217</v>
      </c>
      <c r="AF155" s="26"/>
      <c r="AG155" s="26" t="n">
        <v>0</v>
      </c>
      <c r="AH155" s="25"/>
      <c r="AI155" s="25" t="s">
        <v>217</v>
      </c>
      <c r="AJ155" s="25"/>
      <c r="AK155" s="25" t="n">
        <v>0</v>
      </c>
      <c r="AL155" s="26"/>
      <c r="AM155" s="26" t="s">
        <v>217</v>
      </c>
      <c r="AN155" s="26"/>
      <c r="AO155" s="26" t="n">
        <v>0</v>
      </c>
      <c r="AP155" s="25"/>
      <c r="AQ155" s="25" t="s">
        <v>217</v>
      </c>
      <c r="AR155" s="25"/>
      <c r="AS155" s="25" t="n">
        <v>0</v>
      </c>
      <c r="AT155" s="26"/>
      <c r="AU155" s="26" t="s">
        <v>217</v>
      </c>
      <c r="AV155" s="26"/>
      <c r="AW155" s="26" t="n">
        <v>0</v>
      </c>
      <c r="AX155" s="25"/>
      <c r="AY155" s="25"/>
      <c r="AZ155" s="25"/>
      <c r="BA155" s="25"/>
      <c r="BB155" s="26"/>
      <c r="BC155" s="26"/>
      <c r="BD155" s="26"/>
      <c r="BE155" s="33"/>
    </row>
    <row r="156" customFormat="false" ht="15" hidden="true" customHeight="false" outlineLevel="0" collapsed="false">
      <c r="A156" s="17" t="n">
        <v>304</v>
      </c>
      <c r="B156" s="18" t="s">
        <v>159</v>
      </c>
      <c r="C156" s="19" t="str">
        <f aca="false">_xlfn.xlookup(B156,[1]Clients!B$1:B$1048576,[1]Clients!C$1:C$1048576)</f>
        <v>Damaflex</v>
      </c>
      <c r="D156" s="18" t="s">
        <v>160</v>
      </c>
      <c r="E156" s="19" t="str">
        <f aca="false">_xlfn.xlookup(D156,[1]Clients!B$1:B$1048576,[1]Clients!C$1:C$1048576)</f>
        <v>Damaflex livraison</v>
      </c>
      <c r="F156" s="20" t="n">
        <v>45673</v>
      </c>
      <c r="G156" s="21" t="s">
        <v>58</v>
      </c>
      <c r="H156" s="19" t="n">
        <v>179989</v>
      </c>
      <c r="I156" s="19" t="s">
        <v>161</v>
      </c>
      <c r="J156" s="21" t="n">
        <v>45680</v>
      </c>
      <c r="K156" s="19"/>
      <c r="L156" s="19" t="n">
        <v>0</v>
      </c>
      <c r="M156" s="19" t="s">
        <v>74</v>
      </c>
      <c r="N156" s="19" t="s">
        <v>70</v>
      </c>
      <c r="O156" s="22" t="n">
        <v>0</v>
      </c>
      <c r="P156" s="23" t="s">
        <v>88</v>
      </c>
      <c r="Q156" s="23" t="s">
        <v>88</v>
      </c>
      <c r="R156" s="25" t="n">
        <v>40145</v>
      </c>
      <c r="S156" s="25" t="s">
        <v>203</v>
      </c>
      <c r="T156" s="25" t="n">
        <v>10</v>
      </c>
      <c r="U156" s="25" t="n">
        <v>5700</v>
      </c>
      <c r="V156" s="26" t="n">
        <v>40232</v>
      </c>
      <c r="W156" s="26" t="s">
        <v>281</v>
      </c>
      <c r="X156" s="26" t="n">
        <v>2</v>
      </c>
      <c r="Y156" s="26" t="n">
        <v>1440</v>
      </c>
      <c r="Z156" s="25" t="n">
        <v>40233</v>
      </c>
      <c r="AA156" s="25" t="s">
        <v>282</v>
      </c>
      <c r="AB156" s="25" t="n">
        <v>2</v>
      </c>
      <c r="AC156" s="25" t="n">
        <v>60</v>
      </c>
      <c r="AD156" s="26"/>
      <c r="AE156" s="26" t="s">
        <v>217</v>
      </c>
      <c r="AF156" s="26"/>
      <c r="AG156" s="26" t="n">
        <v>0</v>
      </c>
      <c r="AH156" s="25"/>
      <c r="AI156" s="25" t="s">
        <v>217</v>
      </c>
      <c r="AJ156" s="25"/>
      <c r="AK156" s="25" t="n">
        <v>0</v>
      </c>
      <c r="AL156" s="26"/>
      <c r="AM156" s="26" t="s">
        <v>217</v>
      </c>
      <c r="AN156" s="26"/>
      <c r="AO156" s="26" t="n">
        <v>0</v>
      </c>
      <c r="AP156" s="25"/>
      <c r="AQ156" s="25" t="s">
        <v>217</v>
      </c>
      <c r="AR156" s="25"/>
      <c r="AS156" s="25" t="n">
        <v>0</v>
      </c>
      <c r="AT156" s="26"/>
      <c r="AU156" s="26" t="s">
        <v>217</v>
      </c>
      <c r="AV156" s="26"/>
      <c r="AW156" s="26" t="n">
        <v>0</v>
      </c>
      <c r="AX156" s="25"/>
      <c r="AY156" s="25"/>
      <c r="AZ156" s="25"/>
      <c r="BA156" s="25"/>
      <c r="BB156" s="26"/>
      <c r="BC156" s="26"/>
      <c r="BD156" s="26"/>
      <c r="BE156" s="33"/>
    </row>
    <row r="157" customFormat="false" ht="15" hidden="true" customHeight="false" outlineLevel="0" collapsed="false">
      <c r="A157" s="17" t="n">
        <v>305</v>
      </c>
      <c r="B157" s="18" t="s">
        <v>115</v>
      </c>
      <c r="C157" s="19" t="str">
        <f aca="false">_xlfn.xlookup(B157,[1]Clients!B$1:B$1048576,[1]Clients!C$1:C$1048576)</f>
        <v>Corsair</v>
      </c>
      <c r="D157" s="18" t="s">
        <v>115</v>
      </c>
      <c r="E157" s="19" t="str">
        <f aca="false">_xlfn.xlookup(D157,[1]Clients!B$1:B$1048576,[1]Clients!C$1:C$1048576)</f>
        <v>Corsair</v>
      </c>
      <c r="F157" s="20" t="n">
        <v>45673</v>
      </c>
      <c r="G157" s="21" t="s">
        <v>58</v>
      </c>
      <c r="H157" s="19" t="n">
        <v>31970</v>
      </c>
      <c r="I157" s="19" t="s">
        <v>116</v>
      </c>
      <c r="J157" s="21" t="n">
        <v>45680</v>
      </c>
      <c r="K157" s="19"/>
      <c r="L157" s="19" t="n">
        <v>0</v>
      </c>
      <c r="M157" s="19" t="s">
        <v>74</v>
      </c>
      <c r="N157" s="19" t="s">
        <v>70</v>
      </c>
      <c r="O157" s="22" t="n">
        <v>0</v>
      </c>
      <c r="P157" s="23" t="s">
        <v>88</v>
      </c>
      <c r="Q157" s="23" t="s">
        <v>88</v>
      </c>
      <c r="R157" s="25" t="n">
        <v>40234</v>
      </c>
      <c r="S157" s="25" t="s">
        <v>283</v>
      </c>
      <c r="T157" s="25" t="n">
        <v>3</v>
      </c>
      <c r="U157" s="25" t="n">
        <v>3195</v>
      </c>
      <c r="V157" s="26" t="n">
        <v>40235</v>
      </c>
      <c r="W157" s="26" t="s">
        <v>284</v>
      </c>
      <c r="X157" s="26" t="n">
        <v>1</v>
      </c>
      <c r="Y157" s="26" t="n">
        <v>885</v>
      </c>
      <c r="Z157" s="25" t="n">
        <v>40236</v>
      </c>
      <c r="AA157" s="25" t="s">
        <v>285</v>
      </c>
      <c r="AB157" s="25" t="n">
        <v>1</v>
      </c>
      <c r="AC157" s="25" t="n">
        <v>795</v>
      </c>
      <c r="AD157" s="26" t="n">
        <v>40237</v>
      </c>
      <c r="AE157" s="26" t="s">
        <v>286</v>
      </c>
      <c r="AF157" s="26" t="n">
        <v>3</v>
      </c>
      <c r="AG157" s="26" t="n">
        <v>1755</v>
      </c>
      <c r="AH157" s="25" t="n">
        <v>40238</v>
      </c>
      <c r="AI157" s="25" t="s">
        <v>287</v>
      </c>
      <c r="AJ157" s="25" t="n">
        <v>1</v>
      </c>
      <c r="AK157" s="25" t="n">
        <v>570</v>
      </c>
      <c r="AL157" s="26"/>
      <c r="AM157" s="26" t="s">
        <v>217</v>
      </c>
      <c r="AN157" s="26"/>
      <c r="AO157" s="26" t="n">
        <v>0</v>
      </c>
      <c r="AP157" s="25"/>
      <c r="AQ157" s="25" t="s">
        <v>217</v>
      </c>
      <c r="AR157" s="25"/>
      <c r="AS157" s="25" t="n">
        <v>0</v>
      </c>
      <c r="AT157" s="26"/>
      <c r="AU157" s="26" t="s">
        <v>217</v>
      </c>
      <c r="AV157" s="26"/>
      <c r="AW157" s="26" t="n">
        <v>0</v>
      </c>
      <c r="AX157" s="25"/>
      <c r="AY157" s="25"/>
      <c r="AZ157" s="25"/>
      <c r="BA157" s="25"/>
      <c r="BB157" s="26"/>
      <c r="BC157" s="26"/>
      <c r="BD157" s="26"/>
      <c r="BE157" s="33"/>
    </row>
    <row r="158" customFormat="false" ht="15" hidden="true" customHeight="false" outlineLevel="0" collapsed="false">
      <c r="A158" s="17" t="n">
        <v>306</v>
      </c>
      <c r="B158" s="18" t="s">
        <v>94</v>
      </c>
      <c r="C158" s="19" t="str">
        <f aca="false">_xlfn.xlookup(B158,[1]Clients!B$1:B$1048576,[1]Clients!C$1:C$1048576)</f>
        <v>IMPSJ</v>
      </c>
      <c r="D158" s="18" t="s">
        <v>94</v>
      </c>
      <c r="E158" s="19" t="str">
        <f aca="false">_xlfn.xlookup(D158,[1]Clients!B$1:B$1048576,[1]Clients!C$1:C$1048576)</f>
        <v>IMPSJ</v>
      </c>
      <c r="F158" s="20" t="n">
        <v>45674</v>
      </c>
      <c r="G158" s="21" t="s">
        <v>58</v>
      </c>
      <c r="H158" s="19" t="n">
        <v>106925</v>
      </c>
      <c r="I158" s="19" t="s">
        <v>118</v>
      </c>
      <c r="J158" s="21" t="n">
        <v>45681</v>
      </c>
      <c r="K158" s="19"/>
      <c r="L158" s="19" t="n">
        <v>0</v>
      </c>
      <c r="M158" s="19" t="s">
        <v>74</v>
      </c>
      <c r="N158" s="19" t="s">
        <v>107</v>
      </c>
      <c r="O158" s="22" t="n">
        <v>0</v>
      </c>
      <c r="P158" s="23" t="s">
        <v>77</v>
      </c>
      <c r="Q158" s="23" t="s">
        <v>77</v>
      </c>
      <c r="R158" s="25" t="n">
        <v>40052</v>
      </c>
      <c r="S158" s="25" t="s">
        <v>288</v>
      </c>
      <c r="T158" s="25" t="n">
        <v>2</v>
      </c>
      <c r="U158" s="25" t="n">
        <v>1560</v>
      </c>
      <c r="V158" s="26" t="n">
        <v>40067</v>
      </c>
      <c r="W158" s="26" t="s">
        <v>289</v>
      </c>
      <c r="X158" s="26" t="n">
        <v>2</v>
      </c>
      <c r="Y158" s="26" t="n">
        <v>1440</v>
      </c>
      <c r="Z158" s="25" t="n">
        <v>40117</v>
      </c>
      <c r="AA158" s="25" t="s">
        <v>290</v>
      </c>
      <c r="AB158" s="25" t="n">
        <v>1</v>
      </c>
      <c r="AC158" s="25" t="n">
        <v>600</v>
      </c>
      <c r="AD158" s="26"/>
      <c r="AE158" s="26" t="s">
        <v>291</v>
      </c>
      <c r="AF158" s="26"/>
      <c r="AG158" s="26" t="n">
        <v>0</v>
      </c>
      <c r="AH158" s="25"/>
      <c r="AI158" s="25" t="s">
        <v>291</v>
      </c>
      <c r="AJ158" s="25"/>
      <c r="AK158" s="25" t="n">
        <v>0</v>
      </c>
      <c r="AL158" s="26"/>
      <c r="AM158" s="26" t="s">
        <v>291</v>
      </c>
      <c r="AN158" s="26"/>
      <c r="AO158" s="26" t="n">
        <v>0</v>
      </c>
      <c r="AP158" s="25"/>
      <c r="AQ158" s="25" t="s">
        <v>291</v>
      </c>
      <c r="AR158" s="25"/>
      <c r="AS158" s="25" t="n">
        <v>0</v>
      </c>
      <c r="AT158" s="26"/>
      <c r="AU158" s="26" t="s">
        <v>291</v>
      </c>
      <c r="AV158" s="26"/>
      <c r="AW158" s="26" t="n">
        <v>0</v>
      </c>
      <c r="AX158" s="25"/>
      <c r="AY158" s="25"/>
      <c r="AZ158" s="25"/>
      <c r="BA158" s="25"/>
      <c r="BB158" s="26"/>
      <c r="BC158" s="26"/>
      <c r="BD158" s="26"/>
      <c r="BE158" s="33"/>
    </row>
    <row r="159" customFormat="false" ht="15" hidden="true" customHeight="false" outlineLevel="0" collapsed="false">
      <c r="A159" s="17" t="n">
        <v>307</v>
      </c>
      <c r="B159" s="18" t="s">
        <v>94</v>
      </c>
      <c r="C159" s="19" t="str">
        <f aca="false">_xlfn.xlookup(B159,[1]Clients!B$1:B$1048576,[1]Clients!C$1:C$1048576)</f>
        <v>IMPSJ</v>
      </c>
      <c r="D159" s="18" t="s">
        <v>94</v>
      </c>
      <c r="E159" s="19" t="str">
        <f aca="false">_xlfn.xlookup(D159,[1]Clients!B$1:B$1048576,[1]Clients!C$1:C$1048576)</f>
        <v>IMPSJ</v>
      </c>
      <c r="F159" s="20" t="n">
        <v>45677</v>
      </c>
      <c r="G159" s="21" t="s">
        <v>58</v>
      </c>
      <c r="H159" s="19" t="s">
        <v>292</v>
      </c>
      <c r="I159" s="19"/>
      <c r="J159" s="21"/>
      <c r="K159" s="19"/>
      <c r="L159" s="19" t="n">
        <v>0</v>
      </c>
      <c r="M159" s="19" t="s">
        <v>74</v>
      </c>
      <c r="N159" s="19" t="s">
        <v>107</v>
      </c>
      <c r="O159" s="22" t="n">
        <v>0</v>
      </c>
      <c r="P159" s="23" t="s">
        <v>77</v>
      </c>
      <c r="Q159" s="23" t="s">
        <v>77</v>
      </c>
      <c r="R159" s="25" t="n">
        <v>40239</v>
      </c>
      <c r="S159" s="25" t="s">
        <v>293</v>
      </c>
      <c r="T159" s="25"/>
      <c r="U159" s="25" t="n">
        <v>0</v>
      </c>
      <c r="V159" s="26"/>
      <c r="W159" s="26" t="s">
        <v>291</v>
      </c>
      <c r="X159" s="26"/>
      <c r="Y159" s="26" t="n">
        <v>0</v>
      </c>
      <c r="Z159" s="25"/>
      <c r="AA159" s="25" t="s">
        <v>291</v>
      </c>
      <c r="AB159" s="25"/>
      <c r="AC159" s="25" t="n">
        <v>0</v>
      </c>
      <c r="AD159" s="26"/>
      <c r="AE159" s="26" t="s">
        <v>291</v>
      </c>
      <c r="AF159" s="26"/>
      <c r="AG159" s="26" t="n">
        <v>0</v>
      </c>
      <c r="AH159" s="25"/>
      <c r="AI159" s="25" t="s">
        <v>291</v>
      </c>
      <c r="AJ159" s="25"/>
      <c r="AK159" s="25" t="n">
        <v>0</v>
      </c>
      <c r="AL159" s="26"/>
      <c r="AM159" s="26" t="s">
        <v>291</v>
      </c>
      <c r="AN159" s="26"/>
      <c r="AO159" s="26" t="n">
        <v>0</v>
      </c>
      <c r="AP159" s="25"/>
      <c r="AQ159" s="25" t="s">
        <v>291</v>
      </c>
      <c r="AR159" s="25"/>
      <c r="AS159" s="25" t="n">
        <v>0</v>
      </c>
      <c r="AT159" s="26"/>
      <c r="AU159" s="26" t="s">
        <v>291</v>
      </c>
      <c r="AV159" s="26"/>
      <c r="AW159" s="26" t="n">
        <v>0</v>
      </c>
      <c r="AX159" s="25"/>
      <c r="AY159" s="25"/>
      <c r="AZ159" s="25"/>
      <c r="BA159" s="25"/>
      <c r="BB159" s="26"/>
      <c r="BC159" s="26"/>
      <c r="BD159" s="26"/>
      <c r="BE159" s="33"/>
    </row>
    <row r="160" customFormat="false" ht="15" hidden="true" customHeight="false" outlineLevel="0" collapsed="false">
      <c r="A160" s="17" t="n">
        <v>308</v>
      </c>
      <c r="B160" s="18" t="s">
        <v>120</v>
      </c>
      <c r="C160" s="19" t="str">
        <f aca="false">_xlfn.xlookup(B160,[1]Clients!B$1:B$1048576,[1]Clients!C$1:C$1048576)</f>
        <v>Mijo</v>
      </c>
      <c r="D160" s="18" t="s">
        <v>120</v>
      </c>
      <c r="E160" s="19" t="str">
        <f aca="false">_xlfn.xlookup(D160,[1]Clients!B$1:B$1048576,[1]Clients!C$1:C$1048576)</f>
        <v>Mijo</v>
      </c>
      <c r="F160" s="20" t="n">
        <v>45677</v>
      </c>
      <c r="G160" s="21" t="s">
        <v>58</v>
      </c>
      <c r="H160" s="19" t="n">
        <v>14344</v>
      </c>
      <c r="I160" s="19" t="s">
        <v>122</v>
      </c>
      <c r="J160" s="21" t="n">
        <v>45684</v>
      </c>
      <c r="K160" s="19"/>
      <c r="L160" s="19" t="n">
        <v>0</v>
      </c>
      <c r="M160" s="19" t="s">
        <v>74</v>
      </c>
      <c r="N160" s="19" t="s">
        <v>123</v>
      </c>
      <c r="O160" s="22" t="n">
        <v>0</v>
      </c>
      <c r="P160" s="23" t="s">
        <v>88</v>
      </c>
      <c r="Q160" s="23" t="s">
        <v>88</v>
      </c>
      <c r="R160" s="25" t="n">
        <v>40240</v>
      </c>
      <c r="S160" s="25" t="s">
        <v>294</v>
      </c>
      <c r="T160" s="25" t="n">
        <v>4</v>
      </c>
      <c r="U160" s="25" t="n">
        <v>3840</v>
      </c>
      <c r="V160" s="26" t="n">
        <v>40241</v>
      </c>
      <c r="W160" s="26" t="s">
        <v>295</v>
      </c>
      <c r="X160" s="26" t="n">
        <v>8</v>
      </c>
      <c r="Y160" s="26" t="n">
        <v>10560</v>
      </c>
      <c r="Z160" s="25"/>
      <c r="AA160" s="25" t="s">
        <v>291</v>
      </c>
      <c r="AB160" s="25"/>
      <c r="AC160" s="25" t="n">
        <v>0</v>
      </c>
      <c r="AD160" s="26"/>
      <c r="AE160" s="26" t="s">
        <v>291</v>
      </c>
      <c r="AF160" s="26"/>
      <c r="AG160" s="26" t="n">
        <v>0</v>
      </c>
      <c r="AH160" s="25"/>
      <c r="AI160" s="25" t="s">
        <v>291</v>
      </c>
      <c r="AJ160" s="25"/>
      <c r="AK160" s="25" t="n">
        <v>0</v>
      </c>
      <c r="AL160" s="26"/>
      <c r="AM160" s="26" t="s">
        <v>291</v>
      </c>
      <c r="AN160" s="26"/>
      <c r="AO160" s="26" t="n">
        <v>0</v>
      </c>
      <c r="AP160" s="25"/>
      <c r="AQ160" s="25" t="s">
        <v>291</v>
      </c>
      <c r="AR160" s="25"/>
      <c r="AS160" s="25" t="n">
        <v>0</v>
      </c>
      <c r="AT160" s="26"/>
      <c r="AU160" s="26" t="s">
        <v>291</v>
      </c>
      <c r="AV160" s="26"/>
      <c r="AW160" s="26" t="n">
        <v>0</v>
      </c>
      <c r="AX160" s="25"/>
      <c r="AY160" s="25"/>
      <c r="AZ160" s="25"/>
      <c r="BA160" s="25"/>
      <c r="BB160" s="26"/>
      <c r="BC160" s="26"/>
      <c r="BD160" s="26"/>
      <c r="BE160" s="33"/>
    </row>
    <row r="161" customFormat="false" ht="15" hidden="true" customHeight="false" outlineLevel="0" collapsed="false">
      <c r="A161" s="17" t="n">
        <v>309</v>
      </c>
      <c r="B161" s="18" t="s">
        <v>89</v>
      </c>
      <c r="C161" s="19" t="str">
        <f aca="false">_xlfn.xlookup(B161,[1]Clients!B$1:B$1048576,[1]Clients!C$1:C$1048576)</f>
        <v>Produlith</v>
      </c>
      <c r="D161" s="18" t="s">
        <v>89</v>
      </c>
      <c r="E161" s="19" t="str">
        <f aca="false">_xlfn.xlookup(D161,[1]Clients!B$1:B$1048576,[1]Clients!C$1:C$1048576)</f>
        <v>Produlith</v>
      </c>
      <c r="F161" s="20" t="n">
        <v>45677</v>
      </c>
      <c r="G161" s="21" t="s">
        <v>58</v>
      </c>
      <c r="H161" s="19" t="n">
        <v>32556</v>
      </c>
      <c r="I161" s="19" t="s">
        <v>90</v>
      </c>
      <c r="J161" s="21" t="n">
        <v>45684</v>
      </c>
      <c r="K161" s="19"/>
      <c r="L161" s="19" t="s">
        <v>98</v>
      </c>
      <c r="M161" s="19" t="s">
        <v>74</v>
      </c>
      <c r="N161" s="19" t="s">
        <v>103</v>
      </c>
      <c r="O161" s="22" t="n">
        <v>0</v>
      </c>
      <c r="P161" s="23" t="s">
        <v>77</v>
      </c>
      <c r="Q161" s="23" t="s">
        <v>77</v>
      </c>
      <c r="R161" s="25" t="n">
        <v>40089</v>
      </c>
      <c r="S161" s="25" t="s">
        <v>296</v>
      </c>
      <c r="T161" s="25" t="n">
        <v>4</v>
      </c>
      <c r="U161" s="25" t="n">
        <v>3600</v>
      </c>
      <c r="V161" s="26"/>
      <c r="W161" s="26" t="s">
        <v>291</v>
      </c>
      <c r="X161" s="26"/>
      <c r="Y161" s="26" t="n">
        <v>0</v>
      </c>
      <c r="Z161" s="25"/>
      <c r="AA161" s="25" t="s">
        <v>291</v>
      </c>
      <c r="AB161" s="25"/>
      <c r="AC161" s="25" t="n">
        <v>0</v>
      </c>
      <c r="AD161" s="26"/>
      <c r="AE161" s="26" t="s">
        <v>291</v>
      </c>
      <c r="AF161" s="26"/>
      <c r="AG161" s="26" t="n">
        <v>0</v>
      </c>
      <c r="AH161" s="25"/>
      <c r="AI161" s="25" t="s">
        <v>291</v>
      </c>
      <c r="AJ161" s="25"/>
      <c r="AK161" s="25" t="n">
        <v>0</v>
      </c>
      <c r="AL161" s="26"/>
      <c r="AM161" s="26" t="s">
        <v>291</v>
      </c>
      <c r="AN161" s="26"/>
      <c r="AO161" s="26" t="n">
        <v>0</v>
      </c>
      <c r="AP161" s="25"/>
      <c r="AQ161" s="25" t="s">
        <v>291</v>
      </c>
      <c r="AR161" s="25"/>
      <c r="AS161" s="25" t="n">
        <v>0</v>
      </c>
      <c r="AT161" s="26"/>
      <c r="AU161" s="26" t="s">
        <v>291</v>
      </c>
      <c r="AV161" s="26"/>
      <c r="AW161" s="26" t="n">
        <v>0</v>
      </c>
      <c r="AX161" s="25"/>
      <c r="AY161" s="25"/>
      <c r="AZ161" s="25"/>
      <c r="BA161" s="25"/>
      <c r="BB161" s="26"/>
      <c r="BC161" s="26"/>
      <c r="BD161" s="26"/>
      <c r="BE161" s="33"/>
    </row>
    <row r="162" customFormat="false" ht="15" hidden="true" customHeight="false" outlineLevel="0" collapsed="false">
      <c r="A162" s="17" t="n">
        <v>310</v>
      </c>
      <c r="B162" s="18" t="s">
        <v>134</v>
      </c>
      <c r="C162" s="19" t="str">
        <f aca="false">_xlfn.xlookup(B162,[1]Clients!B$1:B$1048576,[1]Clients!C$1:C$1048576)</f>
        <v>Multi-Flex</v>
      </c>
      <c r="D162" s="18" t="s">
        <v>134</v>
      </c>
      <c r="E162" s="19" t="str">
        <f aca="false">_xlfn.xlookup(D162,[1]Clients!B$1:B$1048576,[1]Clients!C$1:C$1048576)</f>
        <v>Multi-Flex</v>
      </c>
      <c r="F162" s="20" t="n">
        <v>45678</v>
      </c>
      <c r="G162" s="21" t="s">
        <v>58</v>
      </c>
      <c r="H162" s="19" t="n">
        <v>10025</v>
      </c>
      <c r="I162" s="19" t="s">
        <v>238</v>
      </c>
      <c r="J162" s="21" t="n">
        <v>45685</v>
      </c>
      <c r="K162" s="19"/>
      <c r="L162" s="19" t="n">
        <v>0</v>
      </c>
      <c r="M162" s="19" t="s">
        <v>74</v>
      </c>
      <c r="N162" s="19" t="s">
        <v>70</v>
      </c>
      <c r="O162" s="22" t="n">
        <v>0</v>
      </c>
      <c r="P162" s="23" t="s">
        <v>88</v>
      </c>
      <c r="Q162" s="23" t="s">
        <v>88</v>
      </c>
      <c r="R162" s="25" t="n">
        <v>40096</v>
      </c>
      <c r="S162" s="25" t="s">
        <v>297</v>
      </c>
      <c r="T162" s="25" t="n">
        <v>16</v>
      </c>
      <c r="U162" s="25" t="n">
        <v>12480</v>
      </c>
      <c r="V162" s="26" t="n">
        <v>40097</v>
      </c>
      <c r="W162" s="26" t="s">
        <v>298</v>
      </c>
      <c r="X162" s="26" t="n">
        <v>4</v>
      </c>
      <c r="Y162" s="26" t="n">
        <v>1920</v>
      </c>
      <c r="Z162" s="25"/>
      <c r="AA162" s="25" t="s">
        <v>291</v>
      </c>
      <c r="AB162" s="25"/>
      <c r="AC162" s="25" t="n">
        <v>0</v>
      </c>
      <c r="AD162" s="26"/>
      <c r="AE162" s="26" t="s">
        <v>291</v>
      </c>
      <c r="AF162" s="26"/>
      <c r="AG162" s="26" t="n">
        <v>0</v>
      </c>
      <c r="AH162" s="25"/>
      <c r="AI162" s="25" t="s">
        <v>291</v>
      </c>
      <c r="AJ162" s="25"/>
      <c r="AK162" s="25" t="n">
        <v>0</v>
      </c>
      <c r="AL162" s="26"/>
      <c r="AM162" s="26" t="s">
        <v>291</v>
      </c>
      <c r="AN162" s="26"/>
      <c r="AO162" s="26" t="n">
        <v>0</v>
      </c>
      <c r="AP162" s="25"/>
      <c r="AQ162" s="25" t="s">
        <v>291</v>
      </c>
      <c r="AR162" s="25"/>
      <c r="AS162" s="25" t="n">
        <v>0</v>
      </c>
      <c r="AT162" s="26"/>
      <c r="AU162" s="26" t="s">
        <v>291</v>
      </c>
      <c r="AV162" s="26"/>
      <c r="AW162" s="26" t="n">
        <v>0</v>
      </c>
      <c r="AX162" s="25"/>
      <c r="AY162" s="25"/>
      <c r="AZ162" s="25"/>
      <c r="BA162" s="25"/>
      <c r="BB162" s="26"/>
      <c r="BC162" s="26"/>
      <c r="BD162" s="26"/>
      <c r="BE162" s="33"/>
    </row>
    <row r="163" customFormat="false" ht="15" hidden="true" customHeight="false" outlineLevel="0" collapsed="false">
      <c r="A163" s="17" t="n">
        <v>311</v>
      </c>
      <c r="B163" s="18" t="s">
        <v>94</v>
      </c>
      <c r="C163" s="19" t="str">
        <f aca="false">_xlfn.xlookup(B163,[1]Clients!B$1:B$1048576,[1]Clients!C$1:C$1048576)</f>
        <v>IMPSJ</v>
      </c>
      <c r="D163" s="18" t="s">
        <v>94</v>
      </c>
      <c r="E163" s="19" t="str">
        <f aca="false">_xlfn.xlookup(D163,[1]Clients!B$1:B$1048576,[1]Clients!C$1:C$1048576)</f>
        <v>IMPSJ</v>
      </c>
      <c r="F163" s="20" t="n">
        <v>45678</v>
      </c>
      <c r="G163" s="21" t="s">
        <v>58</v>
      </c>
      <c r="H163" s="19" t="n">
        <v>107001</v>
      </c>
      <c r="I163" s="19" t="s">
        <v>118</v>
      </c>
      <c r="J163" s="21" t="n">
        <v>45685</v>
      </c>
      <c r="K163" s="19"/>
      <c r="L163" s="19" t="n">
        <v>0</v>
      </c>
      <c r="M163" s="19" t="s">
        <v>74</v>
      </c>
      <c r="N163" s="19" t="s">
        <v>107</v>
      </c>
      <c r="O163" s="22" t="n">
        <v>0</v>
      </c>
      <c r="P163" s="23" t="s">
        <v>77</v>
      </c>
      <c r="Q163" s="23" t="s">
        <v>77</v>
      </c>
      <c r="R163" s="25" t="n">
        <v>40242</v>
      </c>
      <c r="S163" s="25" t="s">
        <v>299</v>
      </c>
      <c r="T163" s="25" t="n">
        <v>8</v>
      </c>
      <c r="U163" s="25" t="n">
        <v>12480</v>
      </c>
      <c r="V163" s="26" t="n">
        <v>40243</v>
      </c>
      <c r="W163" s="26" t="s">
        <v>294</v>
      </c>
      <c r="X163" s="26" t="n">
        <v>2</v>
      </c>
      <c r="Y163" s="26" t="n">
        <v>1920</v>
      </c>
      <c r="Z163" s="25"/>
      <c r="AA163" s="25" t="s">
        <v>291</v>
      </c>
      <c r="AB163" s="25"/>
      <c r="AC163" s="25" t="n">
        <v>0</v>
      </c>
      <c r="AD163" s="26"/>
      <c r="AE163" s="26" t="s">
        <v>291</v>
      </c>
      <c r="AF163" s="26"/>
      <c r="AG163" s="26" t="n">
        <v>0</v>
      </c>
      <c r="AH163" s="25"/>
      <c r="AI163" s="25" t="s">
        <v>291</v>
      </c>
      <c r="AJ163" s="25"/>
      <c r="AK163" s="25" t="n">
        <v>0</v>
      </c>
      <c r="AL163" s="26"/>
      <c r="AM163" s="26" t="s">
        <v>291</v>
      </c>
      <c r="AN163" s="26"/>
      <c r="AO163" s="26" t="n">
        <v>0</v>
      </c>
      <c r="AP163" s="25"/>
      <c r="AQ163" s="25" t="s">
        <v>291</v>
      </c>
      <c r="AR163" s="25"/>
      <c r="AS163" s="25" t="n">
        <v>0</v>
      </c>
      <c r="AT163" s="26"/>
      <c r="AU163" s="26" t="s">
        <v>291</v>
      </c>
      <c r="AV163" s="26"/>
      <c r="AW163" s="26" t="n">
        <v>0</v>
      </c>
      <c r="AX163" s="25"/>
      <c r="AY163" s="25"/>
      <c r="AZ163" s="25"/>
      <c r="BA163" s="25"/>
      <c r="BB163" s="26"/>
      <c r="BC163" s="26"/>
      <c r="BD163" s="26"/>
      <c r="BE163" s="33"/>
    </row>
    <row r="164" customFormat="false" ht="15" hidden="true" customHeight="false" outlineLevel="0" collapsed="false">
      <c r="A164" s="17" t="n">
        <v>312</v>
      </c>
      <c r="B164" s="18" t="s">
        <v>300</v>
      </c>
      <c r="C164" s="19" t="str">
        <f aca="false">_xlfn.xlookup(B164,[1]Clients!B$1:B$1048576,[1]Clients!C$1:C$1048576)</f>
        <v>Select</v>
      </c>
      <c r="D164" s="18" t="s">
        <v>300</v>
      </c>
      <c r="E164" s="19" t="str">
        <f aca="false">_xlfn.xlookup(D164,[1]Clients!B$1:B$1048576,[1]Clients!C$1:C$1048576)</f>
        <v>Select</v>
      </c>
      <c r="F164" s="20" t="n">
        <v>45679</v>
      </c>
      <c r="G164" s="21" t="s">
        <v>58</v>
      </c>
      <c r="H164" s="19" t="s">
        <v>301</v>
      </c>
      <c r="I164" s="19" t="s">
        <v>302</v>
      </c>
      <c r="J164" s="21" t="n">
        <v>45686</v>
      </c>
      <c r="K164" s="19"/>
      <c r="L164" s="19" t="n">
        <v>0</v>
      </c>
      <c r="M164" s="19" t="s">
        <v>303</v>
      </c>
      <c r="N164" s="19" t="s">
        <v>70</v>
      </c>
      <c r="O164" s="22" t="n">
        <v>0</v>
      </c>
      <c r="P164" s="23" t="s">
        <v>88</v>
      </c>
      <c r="Q164" s="23" t="s">
        <v>88</v>
      </c>
      <c r="R164" s="25" t="n">
        <v>40244</v>
      </c>
      <c r="S164" s="25" t="s">
        <v>304</v>
      </c>
      <c r="T164" s="25" t="n">
        <v>10</v>
      </c>
      <c r="U164" s="25" t="n">
        <v>3600</v>
      </c>
      <c r="V164" s="26" t="n">
        <v>40245</v>
      </c>
      <c r="W164" s="26" t="s">
        <v>305</v>
      </c>
      <c r="X164" s="26" t="n">
        <v>1</v>
      </c>
      <c r="Y164" s="26" t="n">
        <v>159</v>
      </c>
      <c r="Z164" s="25"/>
      <c r="AA164" s="25" t="s">
        <v>291</v>
      </c>
      <c r="AB164" s="25"/>
      <c r="AC164" s="25" t="n">
        <v>0</v>
      </c>
      <c r="AD164" s="26"/>
      <c r="AE164" s="26" t="s">
        <v>291</v>
      </c>
      <c r="AF164" s="26"/>
      <c r="AG164" s="26" t="n">
        <v>0</v>
      </c>
      <c r="AH164" s="25"/>
      <c r="AI164" s="25" t="s">
        <v>291</v>
      </c>
      <c r="AJ164" s="25"/>
      <c r="AK164" s="25" t="n">
        <v>0</v>
      </c>
      <c r="AL164" s="26"/>
      <c r="AM164" s="26" t="s">
        <v>291</v>
      </c>
      <c r="AN164" s="26"/>
      <c r="AO164" s="26" t="n">
        <v>0</v>
      </c>
      <c r="AP164" s="25"/>
      <c r="AQ164" s="25" t="s">
        <v>291</v>
      </c>
      <c r="AR164" s="25"/>
      <c r="AS164" s="25" t="n">
        <v>0</v>
      </c>
      <c r="AT164" s="26"/>
      <c r="AU164" s="26" t="s">
        <v>291</v>
      </c>
      <c r="AV164" s="26"/>
      <c r="AW164" s="26" t="n">
        <v>0</v>
      </c>
      <c r="AX164" s="25"/>
      <c r="AY164" s="25"/>
      <c r="AZ164" s="25"/>
      <c r="BA164" s="25"/>
      <c r="BB164" s="26"/>
      <c r="BC164" s="26"/>
      <c r="BD164" s="26"/>
      <c r="BE164" s="33"/>
    </row>
    <row r="165" customFormat="false" ht="15" hidden="true" customHeight="false" outlineLevel="0" collapsed="false">
      <c r="A165" s="17" t="n">
        <v>313</v>
      </c>
      <c r="B165" s="18" t="s">
        <v>306</v>
      </c>
      <c r="C165" s="19" t="str">
        <f aca="false">_xlfn.xlookup(B165,[1]Clients!B$1:B$1048576,[1]Clients!C$1:C$1048576)</f>
        <v>Nationale admin</v>
      </c>
      <c r="D165" s="18" t="s">
        <v>307</v>
      </c>
      <c r="E165" s="19" t="str">
        <f aca="false">_xlfn.xlookup(D165,[1]Clients!B$1:B$1048576,[1]Clients!C$1:C$1048576)</f>
        <v>Nationale livraison</v>
      </c>
      <c r="F165" s="20" t="n">
        <v>45679</v>
      </c>
      <c r="G165" s="21" t="s">
        <v>58</v>
      </c>
      <c r="H165" s="19" t="s">
        <v>308</v>
      </c>
      <c r="I165" s="19" t="s">
        <v>309</v>
      </c>
      <c r="J165" s="21" t="n">
        <v>45681</v>
      </c>
      <c r="K165" s="19"/>
      <c r="L165" s="19" t="n">
        <v>0</v>
      </c>
      <c r="M165" s="19" t="s">
        <v>74</v>
      </c>
      <c r="N165" s="19" t="s">
        <v>70</v>
      </c>
      <c r="O165" s="22" t="n">
        <v>0</v>
      </c>
      <c r="P165" s="23" t="s">
        <v>88</v>
      </c>
      <c r="Q165" s="23" t="s">
        <v>88</v>
      </c>
      <c r="R165" s="25" t="n">
        <v>40246</v>
      </c>
      <c r="S165" s="25" t="s">
        <v>310</v>
      </c>
      <c r="T165" s="25" t="n">
        <v>1</v>
      </c>
      <c r="U165" s="25" t="n">
        <v>480</v>
      </c>
      <c r="V165" s="26" t="n">
        <v>40247</v>
      </c>
      <c r="W165" s="26" t="s">
        <v>311</v>
      </c>
      <c r="X165" s="26" t="n">
        <v>2</v>
      </c>
      <c r="Y165" s="26" t="n">
        <v>1950</v>
      </c>
      <c r="Z165" s="25" t="n">
        <v>40247</v>
      </c>
      <c r="AA165" s="25" t="s">
        <v>311</v>
      </c>
      <c r="AB165" s="25" t="n">
        <v>2</v>
      </c>
      <c r="AC165" s="25" t="n">
        <v>1950</v>
      </c>
      <c r="AD165" s="26" t="n">
        <v>40248</v>
      </c>
      <c r="AE165" s="26" t="s">
        <v>312</v>
      </c>
      <c r="AF165" s="26" t="n">
        <v>3</v>
      </c>
      <c r="AG165" s="26" t="n">
        <v>2430</v>
      </c>
      <c r="AH165" s="25" t="n">
        <v>40249</v>
      </c>
      <c r="AI165" s="25" t="s">
        <v>313</v>
      </c>
      <c r="AJ165" s="25" t="n">
        <v>1</v>
      </c>
      <c r="AK165" s="25" t="n">
        <v>390</v>
      </c>
      <c r="AL165" s="26"/>
      <c r="AM165" s="26" t="s">
        <v>291</v>
      </c>
      <c r="AN165" s="26"/>
      <c r="AO165" s="26" t="n">
        <v>0</v>
      </c>
      <c r="AP165" s="25"/>
      <c r="AQ165" s="25" t="s">
        <v>291</v>
      </c>
      <c r="AR165" s="25"/>
      <c r="AS165" s="25" t="n">
        <v>0</v>
      </c>
      <c r="AT165" s="26"/>
      <c r="AU165" s="26" t="s">
        <v>291</v>
      </c>
      <c r="AV165" s="26"/>
      <c r="AW165" s="26" t="n">
        <v>0</v>
      </c>
      <c r="AX165" s="25"/>
      <c r="AY165" s="25"/>
      <c r="AZ165" s="25"/>
      <c r="BA165" s="25"/>
      <c r="BB165" s="26"/>
      <c r="BC165" s="26"/>
      <c r="BD165" s="26"/>
      <c r="BE165" s="33"/>
    </row>
    <row r="166" customFormat="false" ht="15" hidden="true" customHeight="false" outlineLevel="0" collapsed="false">
      <c r="A166" s="17" t="n">
        <v>314</v>
      </c>
      <c r="B166" s="18" t="s">
        <v>300</v>
      </c>
      <c r="C166" s="19" t="str">
        <f aca="false">_xlfn.xlookup(B166,[1]Clients!B$1:B$1048576,[1]Clients!C$1:C$1048576)</f>
        <v>Select</v>
      </c>
      <c r="D166" s="18" t="s">
        <v>300</v>
      </c>
      <c r="E166" s="19" t="str">
        <f aca="false">_xlfn.xlookup(D166,[1]Clients!B$1:B$1048576,[1]Clients!C$1:C$1048576)</f>
        <v>Select</v>
      </c>
      <c r="F166" s="20" t="n">
        <v>45679</v>
      </c>
      <c r="G166" s="21" t="s">
        <v>58</v>
      </c>
      <c r="H166" s="19" t="s">
        <v>314</v>
      </c>
      <c r="I166" s="19"/>
      <c r="J166" s="21" t="n">
        <v>45687</v>
      </c>
      <c r="K166" s="19"/>
      <c r="L166" s="19" t="n">
        <v>0</v>
      </c>
      <c r="M166" s="19" t="s">
        <v>303</v>
      </c>
      <c r="N166" s="19" t="s">
        <v>70</v>
      </c>
      <c r="O166" s="22" t="n">
        <v>0</v>
      </c>
      <c r="P166" s="23" t="s">
        <v>88</v>
      </c>
      <c r="Q166" s="23" t="s">
        <v>88</v>
      </c>
      <c r="R166" s="25" t="n">
        <v>40250</v>
      </c>
      <c r="S166" s="25" t="s">
        <v>315</v>
      </c>
      <c r="T166" s="25" t="n">
        <v>3</v>
      </c>
      <c r="U166" s="25" t="n">
        <v>2385</v>
      </c>
      <c r="V166" s="26" t="n">
        <v>40251</v>
      </c>
      <c r="W166" s="26" t="s">
        <v>316</v>
      </c>
      <c r="X166" s="26" t="n">
        <v>4</v>
      </c>
      <c r="Y166" s="26" t="n">
        <v>4560</v>
      </c>
      <c r="Z166" s="25" t="n">
        <v>40252</v>
      </c>
      <c r="AA166" s="25" t="s">
        <v>317</v>
      </c>
      <c r="AB166" s="25" t="n">
        <v>1</v>
      </c>
      <c r="AC166" s="25" t="n">
        <v>255</v>
      </c>
      <c r="AD166" s="26" t="n">
        <v>40260</v>
      </c>
      <c r="AE166" s="26" t="s">
        <v>318</v>
      </c>
      <c r="AF166" s="26" t="n">
        <v>4</v>
      </c>
      <c r="AG166" s="26" t="n">
        <v>2280</v>
      </c>
      <c r="AH166" s="25" t="n">
        <v>40253</v>
      </c>
      <c r="AI166" s="25" t="s">
        <v>319</v>
      </c>
      <c r="AJ166" s="25" t="n">
        <v>1</v>
      </c>
      <c r="AK166" s="25" t="n">
        <v>540</v>
      </c>
      <c r="AL166" s="26" t="n">
        <v>40254</v>
      </c>
      <c r="AM166" s="26" t="s">
        <v>320</v>
      </c>
      <c r="AN166" s="26" t="n">
        <v>2</v>
      </c>
      <c r="AO166" s="26" t="n">
        <v>630</v>
      </c>
      <c r="AP166" s="25" t="n">
        <v>40255</v>
      </c>
      <c r="AQ166" s="25" t="s">
        <v>321</v>
      </c>
      <c r="AR166" s="25" t="n">
        <v>1</v>
      </c>
      <c r="AS166" s="25" t="n">
        <v>150</v>
      </c>
      <c r="AT166" s="26" t="n">
        <v>40256</v>
      </c>
      <c r="AU166" s="26" t="s">
        <v>322</v>
      </c>
      <c r="AV166" s="26" t="n">
        <v>1</v>
      </c>
      <c r="AW166" s="26" t="n">
        <v>180</v>
      </c>
      <c r="AX166" s="25"/>
      <c r="AY166" s="25"/>
      <c r="AZ166" s="25"/>
      <c r="BA166" s="25"/>
      <c r="BB166" s="26"/>
      <c r="BC166" s="26"/>
      <c r="BD166" s="26"/>
      <c r="BE166" s="33"/>
    </row>
    <row r="167" customFormat="false" ht="15" hidden="true" customHeight="false" outlineLevel="0" collapsed="false">
      <c r="A167" s="17" t="n">
        <v>315</v>
      </c>
      <c r="B167" s="18" t="s">
        <v>63</v>
      </c>
      <c r="C167" s="19" t="str">
        <f aca="false">_xlfn.xlookup(B167,[1]Clients!B$1:B$1048576,[1]Clients!C$1:C$1048576)</f>
        <v>Digi</v>
      </c>
      <c r="D167" s="18" t="s">
        <v>63</v>
      </c>
      <c r="E167" s="19" t="str">
        <f aca="false">_xlfn.xlookup(D167,[1]Clients!B$1:B$1048576,[1]Clients!C$1:C$1048576)</f>
        <v>Digi</v>
      </c>
      <c r="F167" s="20" t="n">
        <v>45680</v>
      </c>
      <c r="G167" s="21" t="s">
        <v>58</v>
      </c>
      <c r="H167" s="19" t="n">
        <v>50009083</v>
      </c>
      <c r="I167" s="19" t="s">
        <v>76</v>
      </c>
      <c r="J167" s="21" t="n">
        <v>45687</v>
      </c>
      <c r="K167" s="19"/>
      <c r="L167" s="19" t="n">
        <v>0</v>
      </c>
      <c r="M167" s="19" t="s">
        <v>61</v>
      </c>
      <c r="N167" s="19" t="s">
        <v>65</v>
      </c>
      <c r="O167" s="22" t="n">
        <v>0</v>
      </c>
      <c r="P167" s="23" t="s">
        <v>77</v>
      </c>
      <c r="Q167" s="23" t="s">
        <v>77</v>
      </c>
      <c r="R167" s="25" t="n">
        <v>40033</v>
      </c>
      <c r="S167" s="25" t="s">
        <v>323</v>
      </c>
      <c r="T167" s="25" t="n">
        <v>72</v>
      </c>
      <c r="U167" s="25" t="n">
        <v>43200</v>
      </c>
      <c r="V167" s="26" t="n">
        <v>40257</v>
      </c>
      <c r="W167" s="26" t="s">
        <v>324</v>
      </c>
      <c r="X167" s="26" t="n">
        <v>24</v>
      </c>
      <c r="Y167" s="26" t="n">
        <v>13680</v>
      </c>
      <c r="Z167" s="25"/>
      <c r="AA167" s="25" t="s">
        <v>291</v>
      </c>
      <c r="AB167" s="25"/>
      <c r="AC167" s="25" t="n">
        <v>0</v>
      </c>
      <c r="AD167" s="26"/>
      <c r="AE167" s="26" t="s">
        <v>291</v>
      </c>
      <c r="AF167" s="26"/>
      <c r="AG167" s="26" t="n">
        <v>0</v>
      </c>
      <c r="AH167" s="25"/>
      <c r="AI167" s="25" t="s">
        <v>291</v>
      </c>
      <c r="AJ167" s="25"/>
      <c r="AK167" s="25" t="n">
        <v>0</v>
      </c>
      <c r="AL167" s="26"/>
      <c r="AM167" s="26" t="s">
        <v>291</v>
      </c>
      <c r="AN167" s="26"/>
      <c r="AO167" s="26" t="n">
        <v>0</v>
      </c>
      <c r="AP167" s="25"/>
      <c r="AQ167" s="25" t="s">
        <v>291</v>
      </c>
      <c r="AR167" s="25"/>
      <c r="AS167" s="25" t="n">
        <v>0</v>
      </c>
      <c r="AT167" s="26"/>
      <c r="AU167" s="26" t="s">
        <v>291</v>
      </c>
      <c r="AV167" s="26"/>
      <c r="AW167" s="26" t="n">
        <v>0</v>
      </c>
      <c r="AX167" s="25"/>
      <c r="AY167" s="25"/>
      <c r="AZ167" s="25"/>
      <c r="BA167" s="25"/>
      <c r="BB167" s="26"/>
      <c r="BC167" s="26"/>
      <c r="BD167" s="26"/>
      <c r="BE167" s="33"/>
    </row>
    <row r="168" customFormat="false" ht="15" hidden="true" customHeight="false" outlineLevel="0" collapsed="false">
      <c r="A168" s="17" t="n">
        <v>316</v>
      </c>
      <c r="B168" s="18" t="s">
        <v>63</v>
      </c>
      <c r="C168" s="19" t="str">
        <f aca="false">_xlfn.xlookup(B168,[1]Clients!B$1:B$1048576,[1]Clients!C$1:C$1048576)</f>
        <v>Digi</v>
      </c>
      <c r="D168" s="18" t="s">
        <v>63</v>
      </c>
      <c r="E168" s="19" t="str">
        <f aca="false">_xlfn.xlookup(D168,[1]Clients!B$1:B$1048576,[1]Clients!C$1:C$1048576)</f>
        <v>Digi</v>
      </c>
      <c r="F168" s="20" t="n">
        <v>45680</v>
      </c>
      <c r="G168" s="21" t="s">
        <v>58</v>
      </c>
      <c r="H168" s="19" t="n">
        <v>50009084</v>
      </c>
      <c r="I168" s="19" t="s">
        <v>76</v>
      </c>
      <c r="J168" s="21" t="n">
        <v>45691</v>
      </c>
      <c r="K168" s="19"/>
      <c r="L168" s="19" t="n">
        <v>0</v>
      </c>
      <c r="M168" s="19" t="s">
        <v>61</v>
      </c>
      <c r="N168" s="19" t="s">
        <v>65</v>
      </c>
      <c r="O168" s="22" t="n">
        <v>0</v>
      </c>
      <c r="P168" s="23" t="s">
        <v>77</v>
      </c>
      <c r="Q168" s="23" t="s">
        <v>77</v>
      </c>
      <c r="R168" s="25" t="n">
        <v>40033</v>
      </c>
      <c r="S168" s="25" t="s">
        <v>323</v>
      </c>
      <c r="T168" s="25" t="n">
        <v>72</v>
      </c>
      <c r="U168" s="25" t="n">
        <v>43200</v>
      </c>
      <c r="V168" s="26" t="n">
        <v>40257</v>
      </c>
      <c r="W168" s="26" t="s">
        <v>324</v>
      </c>
      <c r="X168" s="26" t="n">
        <v>12</v>
      </c>
      <c r="Y168" s="26" t="n">
        <v>6840</v>
      </c>
      <c r="Z168" s="25" t="n">
        <v>40170</v>
      </c>
      <c r="AA168" s="25" t="s">
        <v>325</v>
      </c>
      <c r="AB168" s="25" t="n">
        <v>12</v>
      </c>
      <c r="AC168" s="25" t="n">
        <v>4230</v>
      </c>
      <c r="AD168" s="26"/>
      <c r="AE168" s="26" t="s">
        <v>291</v>
      </c>
      <c r="AF168" s="26"/>
      <c r="AG168" s="26" t="n">
        <v>0</v>
      </c>
      <c r="AH168" s="25"/>
      <c r="AI168" s="25" t="s">
        <v>291</v>
      </c>
      <c r="AJ168" s="25"/>
      <c r="AK168" s="25" t="n">
        <v>0</v>
      </c>
      <c r="AL168" s="26"/>
      <c r="AM168" s="26" t="s">
        <v>291</v>
      </c>
      <c r="AN168" s="26"/>
      <c r="AO168" s="26" t="n">
        <v>0</v>
      </c>
      <c r="AP168" s="25"/>
      <c r="AQ168" s="25" t="s">
        <v>291</v>
      </c>
      <c r="AR168" s="25"/>
      <c r="AS168" s="25" t="n">
        <v>0</v>
      </c>
      <c r="AT168" s="26"/>
      <c r="AU168" s="26" t="s">
        <v>291</v>
      </c>
      <c r="AV168" s="26"/>
      <c r="AW168" s="26" t="n">
        <v>0</v>
      </c>
      <c r="AX168" s="25"/>
      <c r="AY168" s="25"/>
      <c r="AZ168" s="25"/>
      <c r="BA168" s="25"/>
      <c r="BB168" s="26"/>
      <c r="BC168" s="26"/>
      <c r="BD168" s="26"/>
      <c r="BE168" s="33"/>
    </row>
    <row r="169" customFormat="false" ht="15" hidden="true" customHeight="false" outlineLevel="0" collapsed="false">
      <c r="A169" s="17" t="n">
        <v>317</v>
      </c>
      <c r="B169" s="18" t="s">
        <v>94</v>
      </c>
      <c r="C169" s="19" t="str">
        <f aca="false">_xlfn.xlookup(B169,[1]Clients!B$1:B$1048576,[1]Clients!C$1:C$1048576)</f>
        <v>IMPSJ</v>
      </c>
      <c r="D169" s="18" t="s">
        <v>94</v>
      </c>
      <c r="E169" s="19" t="str">
        <f aca="false">_xlfn.xlookup(D169,[1]Clients!B$1:B$1048576,[1]Clients!C$1:C$1048576)</f>
        <v>IMPSJ</v>
      </c>
      <c r="F169" s="20" t="n">
        <v>45680</v>
      </c>
      <c r="G169" s="21" t="s">
        <v>58</v>
      </c>
      <c r="H169" s="19" t="n">
        <v>107081</v>
      </c>
      <c r="I169" s="19" t="s">
        <v>118</v>
      </c>
      <c r="J169" s="21" t="n">
        <v>45687</v>
      </c>
      <c r="K169" s="19"/>
      <c r="L169" s="19" t="n">
        <v>0</v>
      </c>
      <c r="M169" s="19" t="s">
        <v>74</v>
      </c>
      <c r="N169" s="19" t="s">
        <v>107</v>
      </c>
      <c r="O169" s="22" t="n">
        <v>0</v>
      </c>
      <c r="P169" s="23" t="s">
        <v>77</v>
      </c>
      <c r="Q169" s="23" t="s">
        <v>77</v>
      </c>
      <c r="R169" s="25" t="n">
        <v>40117</v>
      </c>
      <c r="S169" s="25" t="s">
        <v>290</v>
      </c>
      <c r="T169" s="25" t="n">
        <v>6</v>
      </c>
      <c r="U169" s="25" t="n">
        <v>3600</v>
      </c>
      <c r="V169" s="26" t="n">
        <v>40177</v>
      </c>
      <c r="W169" s="26" t="s">
        <v>326</v>
      </c>
      <c r="X169" s="26" t="n">
        <v>8</v>
      </c>
      <c r="Y169" s="26" t="n">
        <v>12480</v>
      </c>
      <c r="Z169" s="25" t="n">
        <v>40178</v>
      </c>
      <c r="AA169" s="25" t="s">
        <v>327</v>
      </c>
      <c r="AB169" s="25" t="n">
        <v>2</v>
      </c>
      <c r="AC169" s="25" t="n">
        <v>1920</v>
      </c>
      <c r="AD169" s="26"/>
      <c r="AE169" s="26" t="s">
        <v>291</v>
      </c>
      <c r="AF169" s="26"/>
      <c r="AG169" s="26" t="n">
        <v>0</v>
      </c>
      <c r="AH169" s="25"/>
      <c r="AI169" s="25" t="s">
        <v>291</v>
      </c>
      <c r="AJ169" s="25"/>
      <c r="AK169" s="25" t="n">
        <v>0</v>
      </c>
      <c r="AL169" s="26"/>
      <c r="AM169" s="26" t="s">
        <v>291</v>
      </c>
      <c r="AN169" s="26"/>
      <c r="AO169" s="26" t="n">
        <v>0</v>
      </c>
      <c r="AP169" s="25"/>
      <c r="AQ169" s="25" t="s">
        <v>291</v>
      </c>
      <c r="AR169" s="25"/>
      <c r="AS169" s="25" t="n">
        <v>0</v>
      </c>
      <c r="AT169" s="26"/>
      <c r="AU169" s="26" t="s">
        <v>291</v>
      </c>
      <c r="AV169" s="26"/>
      <c r="AW169" s="26" t="n">
        <v>0</v>
      </c>
      <c r="AX169" s="25"/>
      <c r="AY169" s="25"/>
      <c r="AZ169" s="25"/>
      <c r="BA169" s="25"/>
      <c r="BB169" s="26"/>
      <c r="BC169" s="26"/>
      <c r="BD169" s="26"/>
      <c r="BE169" s="33"/>
    </row>
    <row r="170" customFormat="false" ht="15" hidden="true" customHeight="false" outlineLevel="0" collapsed="false">
      <c r="A170" s="17" t="n">
        <v>318</v>
      </c>
      <c r="B170" s="18" t="s">
        <v>94</v>
      </c>
      <c r="C170" s="19" t="str">
        <f aca="false">_xlfn.xlookup(B170,[1]Clients!B$1:B$1048576,[1]Clients!C$1:C$1048576)</f>
        <v>IMPSJ</v>
      </c>
      <c r="D170" s="18" t="s">
        <v>94</v>
      </c>
      <c r="E170" s="19" t="str">
        <f aca="false">_xlfn.xlookup(D170,[1]Clients!B$1:B$1048576,[1]Clients!C$1:C$1048576)</f>
        <v>IMPSJ</v>
      </c>
      <c r="F170" s="20" t="n">
        <v>45680</v>
      </c>
      <c r="G170" s="21" t="s">
        <v>58</v>
      </c>
      <c r="H170" s="19" t="n">
        <v>107085</v>
      </c>
      <c r="I170" s="19" t="s">
        <v>118</v>
      </c>
      <c r="J170" s="21" t="n">
        <v>45687</v>
      </c>
      <c r="K170" s="19"/>
      <c r="L170" s="19" t="n">
        <v>0</v>
      </c>
      <c r="M170" s="19" t="s">
        <v>74</v>
      </c>
      <c r="N170" s="19" t="s">
        <v>107</v>
      </c>
      <c r="O170" s="22" t="n">
        <v>0</v>
      </c>
      <c r="P170" s="23" t="s">
        <v>77</v>
      </c>
      <c r="Q170" s="23" t="s">
        <v>77</v>
      </c>
      <c r="R170" s="25" t="n">
        <v>40258</v>
      </c>
      <c r="S170" s="25" t="s">
        <v>328</v>
      </c>
      <c r="T170" s="25" t="n">
        <v>1</v>
      </c>
      <c r="U170" s="25" t="n">
        <v>960</v>
      </c>
      <c r="V170" s="26" t="n">
        <v>40082</v>
      </c>
      <c r="W170" s="26" t="s">
        <v>329</v>
      </c>
      <c r="X170" s="26" t="n">
        <v>3</v>
      </c>
      <c r="Y170" s="26" t="n">
        <v>2340</v>
      </c>
      <c r="Z170" s="25" t="n">
        <v>40259</v>
      </c>
      <c r="AA170" s="25" t="s">
        <v>330</v>
      </c>
      <c r="AB170" s="25" t="n">
        <v>1</v>
      </c>
      <c r="AC170" s="25" t="n">
        <v>300</v>
      </c>
      <c r="AD170" s="26"/>
      <c r="AE170" s="26" t="s">
        <v>291</v>
      </c>
      <c r="AF170" s="26"/>
      <c r="AG170" s="26" t="n">
        <v>0</v>
      </c>
      <c r="AH170" s="25"/>
      <c r="AI170" s="25" t="s">
        <v>291</v>
      </c>
      <c r="AJ170" s="25"/>
      <c r="AK170" s="25" t="n">
        <v>0</v>
      </c>
      <c r="AL170" s="26"/>
      <c r="AM170" s="26" t="s">
        <v>291</v>
      </c>
      <c r="AN170" s="26"/>
      <c r="AO170" s="26" t="n">
        <v>0</v>
      </c>
      <c r="AP170" s="25"/>
      <c r="AQ170" s="25" t="s">
        <v>291</v>
      </c>
      <c r="AR170" s="25"/>
      <c r="AS170" s="25" t="n">
        <v>0</v>
      </c>
      <c r="AT170" s="26"/>
      <c r="AU170" s="26" t="s">
        <v>291</v>
      </c>
      <c r="AV170" s="26"/>
      <c r="AW170" s="26" t="n">
        <v>0</v>
      </c>
      <c r="AX170" s="25"/>
      <c r="AY170" s="25"/>
      <c r="AZ170" s="25"/>
      <c r="BA170" s="25"/>
      <c r="BB170" s="26"/>
      <c r="BC170" s="26"/>
      <c r="BD170" s="26"/>
      <c r="BE170" s="33"/>
    </row>
    <row r="171" customFormat="false" ht="15" hidden="true" customHeight="false" outlineLevel="0" collapsed="false">
      <c r="A171" s="17" t="n">
        <v>319</v>
      </c>
      <c r="B171" s="18" t="s">
        <v>78</v>
      </c>
      <c r="C171" s="19" t="str">
        <f aca="false">_xlfn.xlookup(B171,[1]Clients!B$1:B$1048576,[1]Clients!C$1:C$1048576)</f>
        <v>Labelink</v>
      </c>
      <c r="D171" s="18" t="s">
        <v>331</v>
      </c>
      <c r="E171" s="19" t="str">
        <f aca="false">_xlfn.xlookup(D171,[1]Clients!B$1:B$1048576,[1]Clients!C$1:C$1048576)</f>
        <v>Labelink Guelph</v>
      </c>
      <c r="F171" s="20" t="n">
        <v>45684</v>
      </c>
      <c r="G171" s="21" t="s">
        <v>58</v>
      </c>
      <c r="H171" s="19" t="n">
        <v>511128</v>
      </c>
      <c r="I171" s="19" t="s">
        <v>332</v>
      </c>
      <c r="J171" s="21" t="n">
        <v>45698</v>
      </c>
      <c r="K171" s="19"/>
      <c r="L171" s="19" t="n">
        <v>0</v>
      </c>
      <c r="M171" s="19" t="s">
        <v>61</v>
      </c>
      <c r="N171" s="19" t="s">
        <v>123</v>
      </c>
      <c r="O171" s="22" t="n">
        <v>0</v>
      </c>
      <c r="P171" s="23" t="s">
        <v>88</v>
      </c>
      <c r="Q171" s="23" t="s">
        <v>88</v>
      </c>
      <c r="R171" s="25" t="n">
        <v>40261</v>
      </c>
      <c r="S171" s="25" t="s">
        <v>333</v>
      </c>
      <c r="T171" s="25" t="n">
        <v>1</v>
      </c>
      <c r="U171" s="25" t="n">
        <v>5760</v>
      </c>
      <c r="V171" s="26"/>
      <c r="W171" s="26" t="s">
        <v>291</v>
      </c>
      <c r="X171" s="26"/>
      <c r="Y171" s="26" t="n">
        <v>0</v>
      </c>
      <c r="Z171" s="25"/>
      <c r="AA171" s="25" t="s">
        <v>291</v>
      </c>
      <c r="AB171" s="25"/>
      <c r="AC171" s="25" t="n">
        <v>0</v>
      </c>
      <c r="AD171" s="26"/>
      <c r="AE171" s="26" t="s">
        <v>291</v>
      </c>
      <c r="AF171" s="26"/>
      <c r="AG171" s="26" t="n">
        <v>0</v>
      </c>
      <c r="AH171" s="25"/>
      <c r="AI171" s="25" t="s">
        <v>291</v>
      </c>
      <c r="AJ171" s="25"/>
      <c r="AK171" s="25" t="n">
        <v>0</v>
      </c>
      <c r="AL171" s="26"/>
      <c r="AM171" s="26" t="s">
        <v>291</v>
      </c>
      <c r="AN171" s="26"/>
      <c r="AO171" s="26" t="n">
        <v>0</v>
      </c>
      <c r="AP171" s="25"/>
      <c r="AQ171" s="25" t="s">
        <v>291</v>
      </c>
      <c r="AR171" s="25"/>
      <c r="AS171" s="25" t="n">
        <v>0</v>
      </c>
      <c r="AT171" s="26"/>
      <c r="AU171" s="26" t="s">
        <v>291</v>
      </c>
      <c r="AV171" s="26"/>
      <c r="AW171" s="26" t="n">
        <v>0</v>
      </c>
      <c r="AX171" s="25"/>
      <c r="AY171" s="25"/>
      <c r="AZ171" s="25"/>
      <c r="BA171" s="25"/>
      <c r="BB171" s="26"/>
      <c r="BC171" s="26"/>
      <c r="BD171" s="26"/>
      <c r="BE171" s="33"/>
    </row>
    <row r="172" customFormat="false" ht="15" hidden="true" customHeight="false" outlineLevel="0" collapsed="false">
      <c r="A172" s="17" t="n">
        <v>320</v>
      </c>
      <c r="B172" s="18" t="s">
        <v>306</v>
      </c>
      <c r="C172" s="19" t="str">
        <f aca="false">_xlfn.xlookup(B172,[1]Clients!B$1:B$1048576,[1]Clients!C$1:C$1048576)</f>
        <v>Nationale admin</v>
      </c>
      <c r="D172" s="18" t="s">
        <v>307</v>
      </c>
      <c r="E172" s="19" t="str">
        <f aca="false">_xlfn.xlookup(D172,[1]Clients!B$1:B$1048576,[1]Clients!C$1:C$1048576)</f>
        <v>Nationale livraison</v>
      </c>
      <c r="F172" s="20" t="n">
        <v>45685</v>
      </c>
      <c r="G172" s="21" t="s">
        <v>58</v>
      </c>
      <c r="H172" s="19" t="s">
        <v>334</v>
      </c>
      <c r="I172" s="19" t="s">
        <v>309</v>
      </c>
      <c r="J172" s="21" t="n">
        <v>45692</v>
      </c>
      <c r="K172" s="19"/>
      <c r="L172" s="19" t="n">
        <v>0</v>
      </c>
      <c r="M172" s="19" t="s">
        <v>74</v>
      </c>
      <c r="N172" s="19" t="s">
        <v>70</v>
      </c>
      <c r="O172" s="22" t="n">
        <v>0</v>
      </c>
      <c r="P172" s="23" t="s">
        <v>88</v>
      </c>
      <c r="Q172" s="23" t="s">
        <v>88</v>
      </c>
      <c r="R172" s="25" t="n">
        <v>40262</v>
      </c>
      <c r="S172" s="25" t="s">
        <v>335</v>
      </c>
      <c r="T172" s="25" t="n">
        <v>12</v>
      </c>
      <c r="U172" s="25" t="n">
        <v>14400</v>
      </c>
      <c r="V172" s="26"/>
      <c r="W172" s="26" t="s">
        <v>291</v>
      </c>
      <c r="X172" s="26"/>
      <c r="Y172" s="26" t="n">
        <v>0</v>
      </c>
      <c r="Z172" s="25"/>
      <c r="AA172" s="25" t="s">
        <v>291</v>
      </c>
      <c r="AB172" s="25"/>
      <c r="AC172" s="25" t="n">
        <v>0</v>
      </c>
      <c r="AD172" s="26"/>
      <c r="AE172" s="26" t="s">
        <v>291</v>
      </c>
      <c r="AF172" s="26"/>
      <c r="AG172" s="26" t="n">
        <v>0</v>
      </c>
      <c r="AH172" s="25"/>
      <c r="AI172" s="25" t="s">
        <v>291</v>
      </c>
      <c r="AJ172" s="25"/>
      <c r="AK172" s="25" t="n">
        <v>0</v>
      </c>
      <c r="AL172" s="26"/>
      <c r="AM172" s="26" t="s">
        <v>291</v>
      </c>
      <c r="AN172" s="26"/>
      <c r="AO172" s="26" t="n">
        <v>0</v>
      </c>
      <c r="AP172" s="25"/>
      <c r="AQ172" s="25" t="s">
        <v>291</v>
      </c>
      <c r="AR172" s="25"/>
      <c r="AS172" s="25" t="n">
        <v>0</v>
      </c>
      <c r="AT172" s="26"/>
      <c r="AU172" s="26" t="s">
        <v>291</v>
      </c>
      <c r="AV172" s="26"/>
      <c r="AW172" s="26" t="n">
        <v>0</v>
      </c>
      <c r="AX172" s="25"/>
      <c r="AY172" s="25"/>
      <c r="AZ172" s="25"/>
      <c r="BA172" s="25"/>
      <c r="BB172" s="26"/>
      <c r="BC172" s="26"/>
      <c r="BD172" s="26"/>
      <c r="BE172" s="33"/>
    </row>
    <row r="173" customFormat="false" ht="15" hidden="true" customHeight="false" outlineLevel="0" collapsed="false">
      <c r="A173" s="17" t="n">
        <v>321</v>
      </c>
      <c r="B173" s="18" t="s">
        <v>210</v>
      </c>
      <c r="C173" s="19" t="str">
        <f aca="false">_xlfn.xlookup(B173,[1]Clients!B$1:B$1048576,[1]Clients!C$1:C$1048576)</f>
        <v>3G</v>
      </c>
      <c r="D173" s="18" t="s">
        <v>210</v>
      </c>
      <c r="E173" s="19" t="str">
        <f aca="false">_xlfn.xlookup(D173,[1]Clients!B$1:B$1048576,[1]Clients!C$1:C$1048576)</f>
        <v>3G</v>
      </c>
      <c r="F173" s="20" t="n">
        <v>45685</v>
      </c>
      <c r="G173" s="21" t="s">
        <v>58</v>
      </c>
      <c r="H173" s="19" t="n">
        <v>3033</v>
      </c>
      <c r="I173" s="19" t="s">
        <v>211</v>
      </c>
      <c r="J173" s="21" t="n">
        <v>45693</v>
      </c>
      <c r="K173" s="19"/>
      <c r="L173" s="19" t="n">
        <v>0</v>
      </c>
      <c r="M173" s="19" t="s">
        <v>61</v>
      </c>
      <c r="N173" s="19" t="s">
        <v>123</v>
      </c>
      <c r="O173" s="22" t="n">
        <v>0</v>
      </c>
      <c r="P173" s="23" t="s">
        <v>88</v>
      </c>
      <c r="Q173" s="23" t="s">
        <v>88</v>
      </c>
      <c r="R173" s="25" t="n">
        <v>40227</v>
      </c>
      <c r="S173" s="25" t="s">
        <v>336</v>
      </c>
      <c r="T173" s="25" t="n">
        <v>5</v>
      </c>
      <c r="U173" s="25" t="n">
        <v>7200</v>
      </c>
      <c r="V173" s="26"/>
      <c r="W173" s="26" t="s">
        <v>291</v>
      </c>
      <c r="X173" s="26"/>
      <c r="Y173" s="26" t="n">
        <v>0</v>
      </c>
      <c r="Z173" s="25"/>
      <c r="AA173" s="25" t="s">
        <v>291</v>
      </c>
      <c r="AB173" s="25"/>
      <c r="AC173" s="25" t="n">
        <v>0</v>
      </c>
      <c r="AD173" s="26"/>
      <c r="AE173" s="26" t="s">
        <v>291</v>
      </c>
      <c r="AF173" s="26"/>
      <c r="AG173" s="26" t="n">
        <v>0</v>
      </c>
      <c r="AH173" s="25"/>
      <c r="AI173" s="25" t="s">
        <v>291</v>
      </c>
      <c r="AJ173" s="25"/>
      <c r="AK173" s="25" t="n">
        <v>0</v>
      </c>
      <c r="AL173" s="26"/>
      <c r="AM173" s="26" t="s">
        <v>291</v>
      </c>
      <c r="AN173" s="26"/>
      <c r="AO173" s="26" t="n">
        <v>0</v>
      </c>
      <c r="AP173" s="25"/>
      <c r="AQ173" s="25" t="s">
        <v>291</v>
      </c>
      <c r="AR173" s="25"/>
      <c r="AS173" s="25" t="n">
        <v>0</v>
      </c>
      <c r="AT173" s="26"/>
      <c r="AU173" s="26" t="s">
        <v>291</v>
      </c>
      <c r="AV173" s="26"/>
      <c r="AW173" s="26" t="n">
        <v>0</v>
      </c>
      <c r="AX173" s="25"/>
      <c r="AY173" s="25"/>
      <c r="AZ173" s="25"/>
      <c r="BA173" s="25"/>
      <c r="BB173" s="26"/>
      <c r="BC173" s="26"/>
      <c r="BD173" s="26"/>
      <c r="BE173" s="33"/>
    </row>
    <row r="174" customFormat="false" ht="15" hidden="true" customHeight="false" outlineLevel="0" collapsed="false">
      <c r="A174" s="17" t="n">
        <v>322</v>
      </c>
      <c r="B174" s="18" t="s">
        <v>194</v>
      </c>
      <c r="C174" s="19" t="str">
        <f aca="false">_xlfn.xlookup(B174,[1]Clients!B$1:B$1048576,[1]Clients!C$1:C$1048576)</f>
        <v>IMS</v>
      </c>
      <c r="D174" s="18" t="s">
        <v>194</v>
      </c>
      <c r="E174" s="19" t="str">
        <f aca="false">_xlfn.xlookup(D174,[1]Clients!B$1:B$1048576,[1]Clients!C$1:C$1048576)</f>
        <v>IMS</v>
      </c>
      <c r="F174" s="20" t="n">
        <v>45686</v>
      </c>
      <c r="G174" s="21" t="s">
        <v>58</v>
      </c>
      <c r="H174" s="19" t="n">
        <v>2501830</v>
      </c>
      <c r="I174" s="19" t="s">
        <v>275</v>
      </c>
      <c r="J174" s="21" t="n">
        <v>45693</v>
      </c>
      <c r="K174" s="19"/>
      <c r="L174" s="19" t="n">
        <v>0</v>
      </c>
      <c r="M174" s="19" t="s">
        <v>74</v>
      </c>
      <c r="N174" s="19" t="s">
        <v>70</v>
      </c>
      <c r="O174" s="22" t="n">
        <v>0</v>
      </c>
      <c r="P174" s="23" t="s">
        <v>88</v>
      </c>
      <c r="Q174" s="23" t="s">
        <v>88</v>
      </c>
      <c r="R174" s="25" t="n">
        <v>40263</v>
      </c>
      <c r="S174" s="25" t="s">
        <v>335</v>
      </c>
      <c r="T174" s="25" t="n">
        <v>3</v>
      </c>
      <c r="U174" s="25" t="n">
        <v>3600</v>
      </c>
      <c r="V174" s="26" t="n">
        <v>40224</v>
      </c>
      <c r="W174" s="26" t="s">
        <v>337</v>
      </c>
      <c r="X174" s="26" t="n">
        <v>2</v>
      </c>
      <c r="Y174" s="26" t="n">
        <v>2160</v>
      </c>
      <c r="Z174" s="25" t="n">
        <v>40226</v>
      </c>
      <c r="AA174" s="25" t="s">
        <v>338</v>
      </c>
      <c r="AB174" s="25" t="n">
        <v>2</v>
      </c>
      <c r="AC174" s="25" t="n">
        <v>1440</v>
      </c>
      <c r="AD174" s="26"/>
      <c r="AE174" s="26" t="s">
        <v>291</v>
      </c>
      <c r="AF174" s="26"/>
      <c r="AG174" s="26" t="n">
        <v>0</v>
      </c>
      <c r="AH174" s="25"/>
      <c r="AI174" s="25" t="s">
        <v>291</v>
      </c>
      <c r="AJ174" s="25"/>
      <c r="AK174" s="25" t="n">
        <v>0</v>
      </c>
      <c r="AL174" s="26"/>
      <c r="AM174" s="26" t="s">
        <v>291</v>
      </c>
      <c r="AN174" s="26"/>
      <c r="AO174" s="26" t="n">
        <v>0</v>
      </c>
      <c r="AP174" s="25"/>
      <c r="AQ174" s="25" t="s">
        <v>291</v>
      </c>
      <c r="AR174" s="25"/>
      <c r="AS174" s="25" t="n">
        <v>0</v>
      </c>
      <c r="AT174" s="26"/>
      <c r="AU174" s="26" t="s">
        <v>291</v>
      </c>
      <c r="AV174" s="26"/>
      <c r="AW174" s="26" t="n">
        <v>0</v>
      </c>
      <c r="AX174" s="25"/>
      <c r="AY174" s="25"/>
      <c r="AZ174" s="25"/>
      <c r="BA174" s="25"/>
      <c r="BB174" s="26"/>
      <c r="BC174" s="26"/>
      <c r="BD174" s="26"/>
      <c r="BE174" s="33"/>
    </row>
    <row r="175" customFormat="false" ht="15" hidden="true" customHeight="false" outlineLevel="0" collapsed="false">
      <c r="A175" s="17" t="n">
        <v>323</v>
      </c>
      <c r="B175" s="18" t="s">
        <v>94</v>
      </c>
      <c r="C175" s="19" t="str">
        <f aca="false">_xlfn.xlookup(B175,[1]Clients!B$1:B$1048576,[1]Clients!C$1:C$1048576)</f>
        <v>IMPSJ</v>
      </c>
      <c r="D175" s="18" t="s">
        <v>94</v>
      </c>
      <c r="E175" s="19" t="str">
        <f aca="false">_xlfn.xlookup(D175,[1]Clients!B$1:B$1048576,[1]Clients!C$1:C$1048576)</f>
        <v>IMPSJ</v>
      </c>
      <c r="F175" s="20" t="n">
        <v>45686</v>
      </c>
      <c r="G175" s="21" t="s">
        <v>58</v>
      </c>
      <c r="H175" s="19" t="n">
        <v>107253</v>
      </c>
      <c r="I175" s="19" t="s">
        <v>118</v>
      </c>
      <c r="J175" s="21" t="n">
        <v>45693</v>
      </c>
      <c r="K175" s="19"/>
      <c r="L175" s="19" t="n">
        <v>0</v>
      </c>
      <c r="M175" s="19" t="s">
        <v>74</v>
      </c>
      <c r="N175" s="19" t="s">
        <v>107</v>
      </c>
      <c r="O175" s="22" t="n">
        <v>0</v>
      </c>
      <c r="P175" s="23" t="s">
        <v>77</v>
      </c>
      <c r="Q175" s="23" t="s">
        <v>77</v>
      </c>
      <c r="R175" s="25" t="n">
        <v>40242</v>
      </c>
      <c r="S175" s="25" t="s">
        <v>299</v>
      </c>
      <c r="T175" s="25" t="n">
        <v>2</v>
      </c>
      <c r="U175" s="25" t="n">
        <v>3120</v>
      </c>
      <c r="V175" s="26" t="n">
        <v>40173</v>
      </c>
      <c r="W175" s="26" t="s">
        <v>339</v>
      </c>
      <c r="X175" s="26" t="n">
        <v>2</v>
      </c>
      <c r="Y175" s="26" t="n">
        <v>2880</v>
      </c>
      <c r="Z175" s="25" t="n">
        <v>40264</v>
      </c>
      <c r="AA175" s="25" t="s">
        <v>340</v>
      </c>
      <c r="AB175" s="25" t="n">
        <v>1</v>
      </c>
      <c r="AC175" s="25" t="n">
        <v>1200</v>
      </c>
      <c r="AD175" s="26"/>
      <c r="AE175" s="26" t="s">
        <v>291</v>
      </c>
      <c r="AF175" s="26"/>
      <c r="AG175" s="26" t="n">
        <v>0</v>
      </c>
      <c r="AH175" s="25"/>
      <c r="AI175" s="25" t="s">
        <v>291</v>
      </c>
      <c r="AJ175" s="25"/>
      <c r="AK175" s="25" t="n">
        <v>0</v>
      </c>
      <c r="AL175" s="26"/>
      <c r="AM175" s="26" t="s">
        <v>291</v>
      </c>
      <c r="AN175" s="26"/>
      <c r="AO175" s="26" t="n">
        <v>0</v>
      </c>
      <c r="AP175" s="25"/>
      <c r="AQ175" s="25" t="s">
        <v>291</v>
      </c>
      <c r="AR175" s="25"/>
      <c r="AS175" s="25" t="n">
        <v>0</v>
      </c>
      <c r="AT175" s="26"/>
      <c r="AU175" s="26" t="s">
        <v>291</v>
      </c>
      <c r="AV175" s="26"/>
      <c r="AW175" s="26" t="n">
        <v>0</v>
      </c>
      <c r="AX175" s="25"/>
      <c r="AY175" s="25"/>
      <c r="AZ175" s="25"/>
      <c r="BA175" s="25"/>
      <c r="BB175" s="26"/>
      <c r="BC175" s="26"/>
      <c r="BD175" s="26"/>
      <c r="BE175" s="33"/>
    </row>
    <row r="176" customFormat="false" ht="15" hidden="true" customHeight="false" outlineLevel="0" collapsed="false">
      <c r="A176" s="17" t="n">
        <v>324</v>
      </c>
      <c r="B176" s="18" t="s">
        <v>248</v>
      </c>
      <c r="C176" s="19" t="str">
        <f aca="false">_xlfn.xlookup(B176,[1]Clients!B$1:B$1048576,[1]Clients!C$1:C$1048576)</f>
        <v>Unik</v>
      </c>
      <c r="D176" s="18" t="s">
        <v>248</v>
      </c>
      <c r="E176" s="19" t="str">
        <f aca="false">_xlfn.xlookup(D176,[1]Clients!B$1:B$1048576,[1]Clients!C$1:C$1048576)</f>
        <v>Unik</v>
      </c>
      <c r="F176" s="20" t="n">
        <v>45687</v>
      </c>
      <c r="G176" s="21" t="s">
        <v>58</v>
      </c>
      <c r="H176" s="19" t="s">
        <v>341</v>
      </c>
      <c r="I176" s="19" t="s">
        <v>342</v>
      </c>
      <c r="J176" s="21" t="n">
        <v>45694</v>
      </c>
      <c r="K176" s="19"/>
      <c r="L176" s="19" t="n">
        <v>0</v>
      </c>
      <c r="M176" s="19" t="s">
        <v>74</v>
      </c>
      <c r="N176" s="19" t="s">
        <v>70</v>
      </c>
      <c r="O176" s="22" t="n">
        <v>0</v>
      </c>
      <c r="P176" s="23" t="s">
        <v>88</v>
      </c>
      <c r="Q176" s="23" t="s">
        <v>88</v>
      </c>
      <c r="R176" s="25" t="n">
        <v>40265</v>
      </c>
      <c r="S176" s="25" t="s">
        <v>288</v>
      </c>
      <c r="T176" s="25" t="n">
        <v>2</v>
      </c>
      <c r="U176" s="25" t="n">
        <v>1560</v>
      </c>
      <c r="V176" s="26" t="n">
        <v>40266</v>
      </c>
      <c r="W176" s="26" t="s">
        <v>343</v>
      </c>
      <c r="X176" s="26" t="n">
        <v>2</v>
      </c>
      <c r="Y176" s="26" t="n">
        <v>840</v>
      </c>
      <c r="Z176" s="25" t="n">
        <v>40267</v>
      </c>
      <c r="AA176" s="25" t="s">
        <v>290</v>
      </c>
      <c r="AB176" s="25" t="n">
        <v>2</v>
      </c>
      <c r="AC176" s="25" t="n">
        <v>1200</v>
      </c>
      <c r="AD176" s="26"/>
      <c r="AE176" s="26" t="s">
        <v>291</v>
      </c>
      <c r="AF176" s="26"/>
      <c r="AG176" s="26" t="n">
        <v>0</v>
      </c>
      <c r="AH176" s="25"/>
      <c r="AI176" s="25" t="s">
        <v>291</v>
      </c>
      <c r="AJ176" s="25"/>
      <c r="AK176" s="25" t="n">
        <v>0</v>
      </c>
      <c r="AL176" s="26"/>
      <c r="AM176" s="26" t="s">
        <v>291</v>
      </c>
      <c r="AN176" s="26"/>
      <c r="AO176" s="26" t="n">
        <v>0</v>
      </c>
      <c r="AP176" s="25"/>
      <c r="AQ176" s="25" t="s">
        <v>291</v>
      </c>
      <c r="AR176" s="25"/>
      <c r="AS176" s="25" t="n">
        <v>0</v>
      </c>
      <c r="AT176" s="26"/>
      <c r="AU176" s="26" t="s">
        <v>291</v>
      </c>
      <c r="AV176" s="26"/>
      <c r="AW176" s="26" t="n">
        <v>0</v>
      </c>
      <c r="AX176" s="25"/>
      <c r="AY176" s="25"/>
      <c r="AZ176" s="25"/>
      <c r="BA176" s="25"/>
      <c r="BB176" s="26"/>
      <c r="BC176" s="26"/>
      <c r="BD176" s="26"/>
      <c r="BE176" s="33"/>
    </row>
    <row r="177" customFormat="false" ht="15" hidden="true" customHeight="false" outlineLevel="0" collapsed="false">
      <c r="A177" s="17" t="n">
        <v>325</v>
      </c>
      <c r="B177" s="18" t="s">
        <v>94</v>
      </c>
      <c r="C177" s="19" t="str">
        <f aca="false">_xlfn.xlookup(B177,[1]Clients!B$1:B$1048576,[1]Clients!C$1:C$1048576)</f>
        <v>IMPSJ</v>
      </c>
      <c r="D177" s="18" t="s">
        <v>94</v>
      </c>
      <c r="E177" s="19" t="str">
        <f aca="false">_xlfn.xlookup(D177,[1]Clients!B$1:B$1048576,[1]Clients!C$1:C$1048576)</f>
        <v>IMPSJ</v>
      </c>
      <c r="F177" s="20" t="n">
        <v>45687</v>
      </c>
      <c r="G177" s="21" t="s">
        <v>58</v>
      </c>
      <c r="H177" s="19" t="n">
        <v>107295</v>
      </c>
      <c r="I177" s="19" t="s">
        <v>118</v>
      </c>
      <c r="J177" s="21" t="n">
        <v>45694</v>
      </c>
      <c r="K177" s="19"/>
      <c r="L177" s="19" t="n">
        <v>0</v>
      </c>
      <c r="M177" s="19" t="s">
        <v>74</v>
      </c>
      <c r="N177" s="19" t="s">
        <v>107</v>
      </c>
      <c r="O177" s="22" t="n">
        <v>0</v>
      </c>
      <c r="P177" s="23" t="s">
        <v>77</v>
      </c>
      <c r="Q177" s="23" t="s">
        <v>77</v>
      </c>
      <c r="R177" s="25" t="n">
        <v>40173</v>
      </c>
      <c r="S177" s="25" t="s">
        <v>339</v>
      </c>
      <c r="T177" s="25" t="n">
        <v>10</v>
      </c>
      <c r="U177" s="25" t="n">
        <v>14400</v>
      </c>
      <c r="V177" s="26"/>
      <c r="W177" s="26" t="s">
        <v>291</v>
      </c>
      <c r="X177" s="26"/>
      <c r="Y177" s="26" t="n">
        <v>0</v>
      </c>
      <c r="Z177" s="25"/>
      <c r="AA177" s="25" t="s">
        <v>291</v>
      </c>
      <c r="AB177" s="25"/>
      <c r="AC177" s="25" t="n">
        <v>0</v>
      </c>
      <c r="AD177" s="26"/>
      <c r="AE177" s="26" t="s">
        <v>291</v>
      </c>
      <c r="AF177" s="26"/>
      <c r="AG177" s="26" t="n">
        <v>0</v>
      </c>
      <c r="AH177" s="25"/>
      <c r="AI177" s="25" t="s">
        <v>291</v>
      </c>
      <c r="AJ177" s="25"/>
      <c r="AK177" s="25" t="n">
        <v>0</v>
      </c>
      <c r="AL177" s="26"/>
      <c r="AM177" s="26" t="s">
        <v>291</v>
      </c>
      <c r="AN177" s="26"/>
      <c r="AO177" s="26" t="n">
        <v>0</v>
      </c>
      <c r="AP177" s="25"/>
      <c r="AQ177" s="25" t="s">
        <v>291</v>
      </c>
      <c r="AR177" s="25"/>
      <c r="AS177" s="25" t="n">
        <v>0</v>
      </c>
      <c r="AT177" s="26"/>
      <c r="AU177" s="26" t="s">
        <v>291</v>
      </c>
      <c r="AV177" s="26"/>
      <c r="AW177" s="26" t="n">
        <v>0</v>
      </c>
      <c r="AX177" s="25"/>
      <c r="AY177" s="25"/>
      <c r="AZ177" s="25"/>
      <c r="BA177" s="25"/>
      <c r="BB177" s="26"/>
      <c r="BC177" s="26"/>
      <c r="BD177" s="26"/>
      <c r="BE177" s="33"/>
    </row>
    <row r="178" customFormat="false" ht="15" hidden="true" customHeight="false" outlineLevel="0" collapsed="false">
      <c r="A178" s="17" t="n">
        <v>326</v>
      </c>
      <c r="B178" s="18" t="s">
        <v>221</v>
      </c>
      <c r="C178" s="19" t="str">
        <f aca="false">_xlfn.xlookup(B178,[1]Clients!B$1:B$1048576,[1]Clients!C$1:C$1048576)</f>
        <v>Bas St-Laurent</v>
      </c>
      <c r="D178" s="18" t="s">
        <v>221</v>
      </c>
      <c r="E178" s="19" t="str">
        <f aca="false">_xlfn.xlookup(D178,[1]Clients!B$1:B$1048576,[1]Clients!C$1:C$1048576)</f>
        <v>Bas St-Laurent</v>
      </c>
      <c r="F178" s="20" t="n">
        <v>45692</v>
      </c>
      <c r="G178" s="21" t="s">
        <v>58</v>
      </c>
      <c r="H178" s="19" t="s">
        <v>344</v>
      </c>
      <c r="I178" s="19" t="s">
        <v>222</v>
      </c>
      <c r="J178" s="21" t="n">
        <v>45706</v>
      </c>
      <c r="K178" s="19"/>
      <c r="L178" s="19" t="n">
        <v>0</v>
      </c>
      <c r="M178" s="19" t="s">
        <v>74</v>
      </c>
      <c r="N178" s="19" t="s">
        <v>70</v>
      </c>
      <c r="O178" s="22" t="n">
        <v>0</v>
      </c>
      <c r="P178" s="23" t="s">
        <v>88</v>
      </c>
      <c r="Q178" s="23" t="s">
        <v>88</v>
      </c>
      <c r="R178" s="25" t="n">
        <v>40217</v>
      </c>
      <c r="S178" s="25" t="s">
        <v>345</v>
      </c>
      <c r="T178" s="25" t="n">
        <v>14</v>
      </c>
      <c r="U178" s="25" t="n">
        <v>11970</v>
      </c>
      <c r="V178" s="26" t="n">
        <v>40218</v>
      </c>
      <c r="W178" s="26" t="s">
        <v>346</v>
      </c>
      <c r="X178" s="26" t="n">
        <v>2</v>
      </c>
      <c r="Y178" s="26" t="n">
        <v>1620</v>
      </c>
      <c r="Z178" s="25" t="n">
        <v>40219</v>
      </c>
      <c r="AA178" s="25" t="s">
        <v>347</v>
      </c>
      <c r="AB178" s="25" t="n">
        <v>2</v>
      </c>
      <c r="AC178" s="25" t="n">
        <v>810</v>
      </c>
      <c r="AD178" s="26" t="n">
        <v>40268</v>
      </c>
      <c r="AE178" s="26" t="s">
        <v>348</v>
      </c>
      <c r="AF178" s="26" t="n">
        <v>1</v>
      </c>
      <c r="AG178" s="26" t="n">
        <v>192</v>
      </c>
      <c r="AH178" s="25"/>
      <c r="AI178" s="25" t="s">
        <v>291</v>
      </c>
      <c r="AJ178" s="25"/>
      <c r="AK178" s="25" t="n">
        <v>0</v>
      </c>
      <c r="AL178" s="26"/>
      <c r="AM178" s="26" t="s">
        <v>291</v>
      </c>
      <c r="AN178" s="26"/>
      <c r="AO178" s="26" t="n">
        <v>0</v>
      </c>
      <c r="AP178" s="25"/>
      <c r="AQ178" s="25" t="s">
        <v>291</v>
      </c>
      <c r="AR178" s="25"/>
      <c r="AS178" s="25" t="n">
        <v>0</v>
      </c>
      <c r="AT178" s="26"/>
      <c r="AU178" s="26" t="s">
        <v>291</v>
      </c>
      <c r="AV178" s="26"/>
      <c r="AW178" s="26" t="n">
        <v>0</v>
      </c>
      <c r="AX178" s="25"/>
      <c r="AY178" s="25"/>
      <c r="AZ178" s="25"/>
      <c r="BA178" s="25"/>
      <c r="BB178" s="26"/>
      <c r="BC178" s="26"/>
      <c r="BD178" s="26"/>
      <c r="BE178" s="33"/>
    </row>
    <row r="179" customFormat="false" ht="15" hidden="true" customHeight="false" outlineLevel="0" collapsed="false">
      <c r="A179" s="17" t="n">
        <v>327</v>
      </c>
      <c r="B179" s="18" t="s">
        <v>131</v>
      </c>
      <c r="C179" s="19" t="str">
        <f aca="false">_xlfn.xlookup(B179,[1]Clients!B$1:B$1048576,[1]Clients!C$1:C$1048576)</f>
        <v>LabelEdge</v>
      </c>
      <c r="D179" s="18" t="s">
        <v>131</v>
      </c>
      <c r="E179" s="19" t="str">
        <f aca="false">_xlfn.xlookup(D179,[1]Clients!B$1:B$1048576,[1]Clients!C$1:C$1048576)</f>
        <v>LabelEdge</v>
      </c>
      <c r="F179" s="20" t="n">
        <v>45692</v>
      </c>
      <c r="G179" s="21" t="s">
        <v>58</v>
      </c>
      <c r="H179" s="19" t="s">
        <v>349</v>
      </c>
      <c r="I179" s="19"/>
      <c r="J179" s="21"/>
      <c r="K179" s="19"/>
      <c r="L179" s="19" t="n">
        <v>0</v>
      </c>
      <c r="M179" s="19" t="s">
        <v>74</v>
      </c>
      <c r="N179" s="19" t="s">
        <v>133</v>
      </c>
      <c r="O179" s="22" t="n">
        <v>0</v>
      </c>
      <c r="P179" s="23" t="s">
        <v>88</v>
      </c>
      <c r="Q179" s="23" t="s">
        <v>88</v>
      </c>
      <c r="R179" s="25"/>
      <c r="S179" s="25" t="s">
        <v>291</v>
      </c>
      <c r="T179" s="25"/>
      <c r="U179" s="25" t="n">
        <v>0</v>
      </c>
      <c r="V179" s="26"/>
      <c r="W179" s="26" t="s">
        <v>291</v>
      </c>
      <c r="X179" s="26"/>
      <c r="Y179" s="26" t="n">
        <v>0</v>
      </c>
      <c r="Z179" s="25"/>
      <c r="AA179" s="25" t="s">
        <v>291</v>
      </c>
      <c r="AB179" s="25"/>
      <c r="AC179" s="25" t="n">
        <v>0</v>
      </c>
      <c r="AD179" s="26"/>
      <c r="AE179" s="26" t="s">
        <v>291</v>
      </c>
      <c r="AF179" s="26"/>
      <c r="AG179" s="26" t="n">
        <v>0</v>
      </c>
      <c r="AH179" s="25"/>
      <c r="AI179" s="25" t="s">
        <v>291</v>
      </c>
      <c r="AJ179" s="25"/>
      <c r="AK179" s="25" t="n">
        <v>0</v>
      </c>
      <c r="AL179" s="26"/>
      <c r="AM179" s="26" t="s">
        <v>291</v>
      </c>
      <c r="AN179" s="26"/>
      <c r="AO179" s="26" t="n">
        <v>0</v>
      </c>
      <c r="AP179" s="25"/>
      <c r="AQ179" s="25" t="s">
        <v>291</v>
      </c>
      <c r="AR179" s="25"/>
      <c r="AS179" s="25" t="n">
        <v>0</v>
      </c>
      <c r="AT179" s="26"/>
      <c r="AU179" s="26" t="s">
        <v>291</v>
      </c>
      <c r="AV179" s="26"/>
      <c r="AW179" s="26" t="n">
        <v>0</v>
      </c>
      <c r="AX179" s="25"/>
      <c r="AY179" s="25"/>
      <c r="AZ179" s="25"/>
      <c r="BA179" s="25"/>
      <c r="BB179" s="26"/>
      <c r="BC179" s="26"/>
      <c r="BD179" s="26"/>
      <c r="BE179" s="33"/>
    </row>
    <row r="180" customFormat="false" ht="15" hidden="true" customHeight="false" outlineLevel="0" collapsed="false">
      <c r="A180" s="17" t="n">
        <v>328</v>
      </c>
      <c r="B180" s="18" t="s">
        <v>194</v>
      </c>
      <c r="C180" s="19" t="str">
        <f aca="false">_xlfn.xlookup(B180,[1]Clients!B$1:B$1048576,[1]Clients!C$1:C$1048576)</f>
        <v>IMS</v>
      </c>
      <c r="D180" s="18" t="s">
        <v>194</v>
      </c>
      <c r="E180" s="19" t="str">
        <f aca="false">_xlfn.xlookup(D180,[1]Clients!B$1:B$1048576,[1]Clients!C$1:C$1048576)</f>
        <v>IMS</v>
      </c>
      <c r="F180" s="20" t="n">
        <v>45692</v>
      </c>
      <c r="G180" s="21" t="s">
        <v>58</v>
      </c>
      <c r="H180" s="19" t="n">
        <v>2501858</v>
      </c>
      <c r="I180" s="19" t="s">
        <v>196</v>
      </c>
      <c r="J180" s="21" t="n">
        <v>45699</v>
      </c>
      <c r="K180" s="19"/>
      <c r="L180" s="19" t="n">
        <v>0</v>
      </c>
      <c r="M180" s="19" t="s">
        <v>74</v>
      </c>
      <c r="N180" s="19" t="s">
        <v>70</v>
      </c>
      <c r="O180" s="22" t="n">
        <v>0</v>
      </c>
      <c r="P180" s="23" t="s">
        <v>88</v>
      </c>
      <c r="Q180" s="23" t="s">
        <v>88</v>
      </c>
      <c r="R180" s="25" t="n">
        <v>40225</v>
      </c>
      <c r="S180" s="25" t="s">
        <v>350</v>
      </c>
      <c r="T180" s="25" t="n">
        <v>8</v>
      </c>
      <c r="U180" s="25" t="n">
        <v>4320</v>
      </c>
      <c r="V180" s="26" t="n">
        <v>40224</v>
      </c>
      <c r="W180" s="26" t="s">
        <v>337</v>
      </c>
      <c r="X180" s="26" t="n">
        <v>2</v>
      </c>
      <c r="Y180" s="26" t="n">
        <v>2160</v>
      </c>
      <c r="Z180" s="25" t="n">
        <v>40226</v>
      </c>
      <c r="AA180" s="25" t="s">
        <v>338</v>
      </c>
      <c r="AB180" s="25" t="n">
        <v>1</v>
      </c>
      <c r="AC180" s="25" t="n">
        <v>720</v>
      </c>
      <c r="AD180" s="26"/>
      <c r="AE180" s="26" t="s">
        <v>291</v>
      </c>
      <c r="AF180" s="26"/>
      <c r="AG180" s="26" t="n">
        <v>0</v>
      </c>
      <c r="AH180" s="25"/>
      <c r="AI180" s="25" t="s">
        <v>291</v>
      </c>
      <c r="AJ180" s="25"/>
      <c r="AK180" s="25" t="n">
        <v>0</v>
      </c>
      <c r="AL180" s="26"/>
      <c r="AM180" s="26" t="s">
        <v>291</v>
      </c>
      <c r="AN180" s="26"/>
      <c r="AO180" s="26" t="n">
        <v>0</v>
      </c>
      <c r="AP180" s="25"/>
      <c r="AQ180" s="25" t="s">
        <v>291</v>
      </c>
      <c r="AR180" s="25"/>
      <c r="AS180" s="25" t="n">
        <v>0</v>
      </c>
      <c r="AT180" s="26"/>
      <c r="AU180" s="26" t="s">
        <v>291</v>
      </c>
      <c r="AV180" s="26"/>
      <c r="AW180" s="26" t="n">
        <v>0</v>
      </c>
      <c r="AX180" s="25"/>
      <c r="AY180" s="25"/>
      <c r="AZ180" s="25"/>
      <c r="BA180" s="25"/>
      <c r="BB180" s="26"/>
      <c r="BC180" s="26"/>
      <c r="BD180" s="26"/>
      <c r="BE180" s="33"/>
    </row>
    <row r="181" customFormat="false" ht="15" hidden="true" customHeight="false" outlineLevel="0" collapsed="false">
      <c r="A181" s="17" t="n">
        <v>329</v>
      </c>
      <c r="B181" s="18" t="s">
        <v>131</v>
      </c>
      <c r="C181" s="19" t="str">
        <f aca="false">_xlfn.xlookup(B181,[1]Clients!B$1:B$1048576,[1]Clients!C$1:C$1048576)</f>
        <v>LabelEdge</v>
      </c>
      <c r="D181" s="18" t="s">
        <v>131</v>
      </c>
      <c r="E181" s="19" t="str">
        <f aca="false">_xlfn.xlookup(D181,[1]Clients!B$1:B$1048576,[1]Clients!C$1:C$1048576)</f>
        <v>LabelEdge</v>
      </c>
      <c r="F181" s="20" t="n">
        <v>45693</v>
      </c>
      <c r="G181" s="21" t="s">
        <v>58</v>
      </c>
      <c r="H181" s="19" t="s">
        <v>351</v>
      </c>
      <c r="I181" s="19"/>
      <c r="J181" s="21"/>
      <c r="K181" s="19"/>
      <c r="L181" s="19" t="n">
        <v>0</v>
      </c>
      <c r="M181" s="19" t="s">
        <v>74</v>
      </c>
      <c r="N181" s="19" t="s">
        <v>133</v>
      </c>
      <c r="O181" s="22" t="n">
        <v>0</v>
      </c>
      <c r="P181" s="23" t="s">
        <v>88</v>
      </c>
      <c r="Q181" s="23" t="s">
        <v>88</v>
      </c>
      <c r="R181" s="25"/>
      <c r="S181" s="25" t="s">
        <v>291</v>
      </c>
      <c r="T181" s="25"/>
      <c r="U181" s="25" t="n">
        <v>0</v>
      </c>
      <c r="V181" s="26"/>
      <c r="W181" s="26" t="s">
        <v>291</v>
      </c>
      <c r="X181" s="26"/>
      <c r="Y181" s="26" t="n">
        <v>0</v>
      </c>
      <c r="Z181" s="25"/>
      <c r="AA181" s="25" t="s">
        <v>291</v>
      </c>
      <c r="AB181" s="25"/>
      <c r="AC181" s="25" t="n">
        <v>0</v>
      </c>
      <c r="AD181" s="26"/>
      <c r="AE181" s="26" t="s">
        <v>291</v>
      </c>
      <c r="AF181" s="26"/>
      <c r="AG181" s="26" t="n">
        <v>0</v>
      </c>
      <c r="AH181" s="25"/>
      <c r="AI181" s="25" t="s">
        <v>291</v>
      </c>
      <c r="AJ181" s="25"/>
      <c r="AK181" s="25" t="n">
        <v>0</v>
      </c>
      <c r="AL181" s="26"/>
      <c r="AM181" s="26" t="s">
        <v>291</v>
      </c>
      <c r="AN181" s="26"/>
      <c r="AO181" s="26" t="n">
        <v>0</v>
      </c>
      <c r="AP181" s="25"/>
      <c r="AQ181" s="25" t="s">
        <v>291</v>
      </c>
      <c r="AR181" s="25"/>
      <c r="AS181" s="25" t="n">
        <v>0</v>
      </c>
      <c r="AT181" s="26"/>
      <c r="AU181" s="26" t="s">
        <v>291</v>
      </c>
      <c r="AV181" s="26"/>
      <c r="AW181" s="26" t="n">
        <v>0</v>
      </c>
      <c r="AX181" s="25"/>
      <c r="AY181" s="25"/>
      <c r="AZ181" s="25"/>
      <c r="BA181" s="25"/>
      <c r="BB181" s="26"/>
      <c r="BC181" s="26"/>
      <c r="BD181" s="26"/>
      <c r="BE181" s="33"/>
    </row>
    <row r="182" customFormat="false" ht="15" hidden="true" customHeight="false" outlineLevel="0" collapsed="false">
      <c r="A182" s="17" t="n">
        <v>330</v>
      </c>
      <c r="B182" s="18" t="s">
        <v>94</v>
      </c>
      <c r="C182" s="19" t="str">
        <f aca="false">_xlfn.xlookup(B182,[1]Clients!B$1:B$1048576,[1]Clients!C$1:C$1048576)</f>
        <v>IMPSJ</v>
      </c>
      <c r="D182" s="18" t="s">
        <v>94</v>
      </c>
      <c r="E182" s="19" t="str">
        <f aca="false">_xlfn.xlookup(D182,[1]Clients!B$1:B$1048576,[1]Clients!C$1:C$1048576)</f>
        <v>IMPSJ</v>
      </c>
      <c r="F182" s="20" t="n">
        <v>45693</v>
      </c>
      <c r="G182" s="21" t="s">
        <v>58</v>
      </c>
      <c r="H182" s="19" t="n">
        <v>107464</v>
      </c>
      <c r="I182" s="19" t="s">
        <v>118</v>
      </c>
      <c r="J182" s="21" t="n">
        <v>45700</v>
      </c>
      <c r="K182" s="19"/>
      <c r="L182" s="19" t="n">
        <v>0</v>
      </c>
      <c r="M182" s="19" t="s">
        <v>74</v>
      </c>
      <c r="N182" s="19" t="s">
        <v>107</v>
      </c>
      <c r="O182" s="22" t="n">
        <v>0</v>
      </c>
      <c r="P182" s="23" t="s">
        <v>77</v>
      </c>
      <c r="Q182" s="23" t="s">
        <v>77</v>
      </c>
      <c r="R182" s="25" t="n">
        <v>40117</v>
      </c>
      <c r="S182" s="25" t="s">
        <v>290</v>
      </c>
      <c r="T182" s="25" t="n">
        <v>6</v>
      </c>
      <c r="U182" s="25" t="n">
        <v>3600</v>
      </c>
      <c r="V182" s="26"/>
      <c r="W182" s="26" t="s">
        <v>291</v>
      </c>
      <c r="X182" s="26"/>
      <c r="Y182" s="26" t="n">
        <v>0</v>
      </c>
      <c r="Z182" s="25"/>
      <c r="AA182" s="25" t="s">
        <v>291</v>
      </c>
      <c r="AB182" s="25"/>
      <c r="AC182" s="25" t="n">
        <v>0</v>
      </c>
      <c r="AD182" s="26"/>
      <c r="AE182" s="26" t="s">
        <v>291</v>
      </c>
      <c r="AF182" s="26"/>
      <c r="AG182" s="26" t="n">
        <v>0</v>
      </c>
      <c r="AH182" s="25"/>
      <c r="AI182" s="25" t="s">
        <v>291</v>
      </c>
      <c r="AJ182" s="25"/>
      <c r="AK182" s="25" t="n">
        <v>0</v>
      </c>
      <c r="AL182" s="26"/>
      <c r="AM182" s="26" t="s">
        <v>291</v>
      </c>
      <c r="AN182" s="26"/>
      <c r="AO182" s="26" t="n">
        <v>0</v>
      </c>
      <c r="AP182" s="25"/>
      <c r="AQ182" s="25" t="s">
        <v>291</v>
      </c>
      <c r="AR182" s="25"/>
      <c r="AS182" s="25" t="n">
        <v>0</v>
      </c>
      <c r="AT182" s="26"/>
      <c r="AU182" s="26" t="s">
        <v>291</v>
      </c>
      <c r="AV182" s="26"/>
      <c r="AW182" s="26" t="n">
        <v>0</v>
      </c>
      <c r="AX182" s="25"/>
      <c r="AY182" s="25"/>
      <c r="AZ182" s="25"/>
      <c r="BA182" s="25"/>
      <c r="BB182" s="26"/>
      <c r="BC182" s="26"/>
      <c r="BD182" s="26"/>
      <c r="BE182" s="33"/>
    </row>
    <row r="183" customFormat="false" ht="15" hidden="true" customHeight="false" outlineLevel="0" collapsed="false">
      <c r="A183" s="17" t="n">
        <v>331</v>
      </c>
      <c r="B183" s="18" t="s">
        <v>221</v>
      </c>
      <c r="C183" s="19" t="str">
        <f aca="false">_xlfn.xlookup(B183,[1]Clients!B$1:B$1048576,[1]Clients!C$1:C$1048576)</f>
        <v>Bas St-Laurent</v>
      </c>
      <c r="D183" s="18" t="s">
        <v>221</v>
      </c>
      <c r="E183" s="19" t="str">
        <f aca="false">_xlfn.xlookup(D183,[1]Clients!B$1:B$1048576,[1]Clients!C$1:C$1048576)</f>
        <v>Bas St-Laurent</v>
      </c>
      <c r="F183" s="20" t="n">
        <v>45693</v>
      </c>
      <c r="G183" s="21" t="s">
        <v>352</v>
      </c>
      <c r="H183" s="19" t="s">
        <v>113</v>
      </c>
      <c r="I183" s="19" t="s">
        <v>222</v>
      </c>
      <c r="J183" s="21" t="n">
        <v>45706</v>
      </c>
      <c r="K183" s="19"/>
      <c r="L183" s="19" t="n">
        <v>0</v>
      </c>
      <c r="M183" s="19" t="s">
        <v>74</v>
      </c>
      <c r="N183" s="19" t="s">
        <v>70</v>
      </c>
      <c r="O183" s="22" t="n">
        <v>0</v>
      </c>
      <c r="P183" s="23" t="s">
        <v>88</v>
      </c>
      <c r="Q183" s="23" t="s">
        <v>88</v>
      </c>
      <c r="R183" s="25" t="n">
        <v>40268</v>
      </c>
      <c r="S183" s="25" t="s">
        <v>348</v>
      </c>
      <c r="T183" s="25" t="n">
        <v>1</v>
      </c>
      <c r="U183" s="25" t="n">
        <v>192</v>
      </c>
      <c r="V183" s="26"/>
      <c r="W183" s="26" t="s">
        <v>291</v>
      </c>
      <c r="X183" s="26"/>
      <c r="Y183" s="26" t="n">
        <v>0</v>
      </c>
      <c r="Z183" s="25"/>
      <c r="AA183" s="25" t="s">
        <v>291</v>
      </c>
      <c r="AB183" s="25"/>
      <c r="AC183" s="25" t="n">
        <v>0</v>
      </c>
      <c r="AD183" s="26"/>
      <c r="AE183" s="26" t="s">
        <v>291</v>
      </c>
      <c r="AF183" s="26"/>
      <c r="AG183" s="26" t="n">
        <v>0</v>
      </c>
      <c r="AH183" s="25"/>
      <c r="AI183" s="25" t="s">
        <v>291</v>
      </c>
      <c r="AJ183" s="25"/>
      <c r="AK183" s="25" t="n">
        <v>0</v>
      </c>
      <c r="AL183" s="26"/>
      <c r="AM183" s="26" t="s">
        <v>291</v>
      </c>
      <c r="AN183" s="26"/>
      <c r="AO183" s="26" t="n">
        <v>0</v>
      </c>
      <c r="AP183" s="25"/>
      <c r="AQ183" s="25" t="s">
        <v>291</v>
      </c>
      <c r="AR183" s="25"/>
      <c r="AS183" s="25" t="n">
        <v>0</v>
      </c>
      <c r="AT183" s="26"/>
      <c r="AU183" s="26" t="s">
        <v>291</v>
      </c>
      <c r="AV183" s="26"/>
      <c r="AW183" s="26" t="n">
        <v>0</v>
      </c>
      <c r="AX183" s="25"/>
      <c r="AY183" s="25"/>
      <c r="AZ183" s="25"/>
      <c r="BA183" s="25"/>
      <c r="BB183" s="26"/>
      <c r="BC183" s="26"/>
      <c r="BD183" s="26"/>
      <c r="BE183" s="33"/>
    </row>
    <row r="184" customFormat="false" ht="15" hidden="true" customHeight="false" outlineLevel="0" collapsed="false">
      <c r="A184" s="17" t="n">
        <v>332</v>
      </c>
      <c r="B184" s="18" t="s">
        <v>94</v>
      </c>
      <c r="C184" s="19" t="str">
        <f aca="false">_xlfn.xlookup(B184,[1]Clients!B$1:B$1048576,[1]Clients!C$1:C$1048576)</f>
        <v>IMPSJ</v>
      </c>
      <c r="D184" s="18" t="s">
        <v>94</v>
      </c>
      <c r="E184" s="19" t="str">
        <f aca="false">_xlfn.xlookup(D184,[1]Clients!B$1:B$1048576,[1]Clients!C$1:C$1048576)</f>
        <v>IMPSJ</v>
      </c>
      <c r="F184" s="20" t="n">
        <v>45694</v>
      </c>
      <c r="G184" s="21" t="s">
        <v>58</v>
      </c>
      <c r="H184" s="19" t="n">
        <v>107487</v>
      </c>
      <c r="I184" s="19" t="s">
        <v>118</v>
      </c>
      <c r="J184" s="21" t="n">
        <v>45701</v>
      </c>
      <c r="K184" s="19"/>
      <c r="L184" s="19" t="n">
        <v>0</v>
      </c>
      <c r="M184" s="19" t="s">
        <v>74</v>
      </c>
      <c r="N184" s="19" t="s">
        <v>107</v>
      </c>
      <c r="O184" s="22" t="n">
        <v>0</v>
      </c>
      <c r="P184" s="23" t="s">
        <v>77</v>
      </c>
      <c r="Q184" s="23" t="s">
        <v>77</v>
      </c>
      <c r="R184" s="25" t="n">
        <v>40084</v>
      </c>
      <c r="S184" s="25" t="s">
        <v>353</v>
      </c>
      <c r="T184" s="25" t="n">
        <v>5</v>
      </c>
      <c r="U184" s="25" t="n">
        <v>3600</v>
      </c>
      <c r="V184" s="26"/>
      <c r="W184" s="26" t="s">
        <v>291</v>
      </c>
      <c r="X184" s="26"/>
      <c r="Y184" s="26" t="n">
        <v>0</v>
      </c>
      <c r="Z184" s="25"/>
      <c r="AA184" s="25" t="s">
        <v>291</v>
      </c>
      <c r="AB184" s="25"/>
      <c r="AC184" s="25" t="n">
        <v>0</v>
      </c>
      <c r="AD184" s="26"/>
      <c r="AE184" s="26" t="s">
        <v>291</v>
      </c>
      <c r="AF184" s="26"/>
      <c r="AG184" s="26" t="n">
        <v>0</v>
      </c>
      <c r="AH184" s="25"/>
      <c r="AI184" s="25" t="s">
        <v>291</v>
      </c>
      <c r="AJ184" s="25"/>
      <c r="AK184" s="25" t="n">
        <v>0</v>
      </c>
      <c r="AL184" s="26"/>
      <c r="AM184" s="26" t="s">
        <v>291</v>
      </c>
      <c r="AN184" s="26"/>
      <c r="AO184" s="26" t="n">
        <v>0</v>
      </c>
      <c r="AP184" s="25"/>
      <c r="AQ184" s="25" t="s">
        <v>291</v>
      </c>
      <c r="AR184" s="25"/>
      <c r="AS184" s="25" t="n">
        <v>0</v>
      </c>
      <c r="AT184" s="26"/>
      <c r="AU184" s="26" t="s">
        <v>291</v>
      </c>
      <c r="AV184" s="26"/>
      <c r="AW184" s="26" t="n">
        <v>0</v>
      </c>
      <c r="AX184" s="25"/>
      <c r="AY184" s="25"/>
      <c r="AZ184" s="25"/>
      <c r="BA184" s="25"/>
      <c r="BB184" s="26"/>
      <c r="BC184" s="26"/>
      <c r="BD184" s="26"/>
      <c r="BE184" s="33"/>
    </row>
    <row r="185" customFormat="false" ht="15" hidden="true" customHeight="false" outlineLevel="0" collapsed="false">
      <c r="A185" s="17" t="n">
        <v>333</v>
      </c>
      <c r="B185" s="18" t="s">
        <v>354</v>
      </c>
      <c r="C185" s="19" t="str">
        <f aca="false">_xlfn.xlookup(B185,[1]Clients!B$1:B$1048576,[1]Clients!C$1:C$1048576)</f>
        <v>SoluCan</v>
      </c>
      <c r="D185" s="18" t="s">
        <v>354</v>
      </c>
      <c r="E185" s="19" t="str">
        <f aca="false">_xlfn.xlookup(D185,[1]Clients!B$1:B$1048576,[1]Clients!C$1:C$1048576)</f>
        <v>SoluCan</v>
      </c>
      <c r="F185" s="20" t="n">
        <v>45694</v>
      </c>
      <c r="G185" s="21" t="s">
        <v>58</v>
      </c>
      <c r="H185" s="19" t="n">
        <v>1412</v>
      </c>
      <c r="I185" s="19" t="s">
        <v>355</v>
      </c>
      <c r="J185" s="21" t="n">
        <v>45700</v>
      </c>
      <c r="K185" s="19"/>
      <c r="L185" s="19" t="n">
        <v>0</v>
      </c>
      <c r="M185" s="19" t="s">
        <v>74</v>
      </c>
      <c r="N185" s="19" t="s">
        <v>70</v>
      </c>
      <c r="O185" s="22" t="n">
        <v>0</v>
      </c>
      <c r="P185" s="23" t="s">
        <v>88</v>
      </c>
      <c r="Q185" s="23" t="s">
        <v>88</v>
      </c>
      <c r="R185" s="25" t="n">
        <v>40269</v>
      </c>
      <c r="S185" s="25" t="s">
        <v>356</v>
      </c>
      <c r="T185" s="25" t="n">
        <v>1</v>
      </c>
      <c r="U185" s="25" t="n">
        <v>330</v>
      </c>
      <c r="V185" s="26" t="n">
        <v>40270</v>
      </c>
      <c r="W185" s="26" t="s">
        <v>357</v>
      </c>
      <c r="X185" s="26" t="n">
        <v>1</v>
      </c>
      <c r="Y185" s="26" t="n">
        <v>330</v>
      </c>
      <c r="Z185" s="25" t="n">
        <v>40271</v>
      </c>
      <c r="AA185" s="25" t="s">
        <v>358</v>
      </c>
      <c r="AB185" s="25" t="n">
        <v>1</v>
      </c>
      <c r="AC185" s="25" t="n">
        <v>330</v>
      </c>
      <c r="AD185" s="26" t="n">
        <v>40272</v>
      </c>
      <c r="AE185" s="26" t="s">
        <v>359</v>
      </c>
      <c r="AF185" s="26" t="n">
        <v>1</v>
      </c>
      <c r="AG185" s="26" t="n">
        <v>330</v>
      </c>
      <c r="AH185" s="25"/>
      <c r="AI185" s="25" t="s">
        <v>291</v>
      </c>
      <c r="AJ185" s="25"/>
      <c r="AK185" s="25" t="n">
        <v>0</v>
      </c>
      <c r="AL185" s="26"/>
      <c r="AM185" s="26" t="s">
        <v>291</v>
      </c>
      <c r="AN185" s="26"/>
      <c r="AO185" s="26" t="n">
        <v>0</v>
      </c>
      <c r="AP185" s="25"/>
      <c r="AQ185" s="25" t="s">
        <v>291</v>
      </c>
      <c r="AR185" s="25"/>
      <c r="AS185" s="25" t="n">
        <v>0</v>
      </c>
      <c r="AT185" s="26"/>
      <c r="AU185" s="26" t="s">
        <v>291</v>
      </c>
      <c r="AV185" s="26"/>
      <c r="AW185" s="26" t="n">
        <v>0</v>
      </c>
      <c r="AX185" s="25"/>
      <c r="AY185" s="25"/>
      <c r="AZ185" s="25"/>
      <c r="BA185" s="25"/>
      <c r="BB185" s="26"/>
      <c r="BC185" s="26"/>
      <c r="BD185" s="26"/>
      <c r="BE185" s="33"/>
    </row>
    <row r="186" customFormat="false" ht="15" hidden="true" customHeight="false" outlineLevel="0" collapsed="false">
      <c r="A186" s="17" t="n">
        <v>334</v>
      </c>
      <c r="B186" s="18" t="s">
        <v>306</v>
      </c>
      <c r="C186" s="19" t="str">
        <f aca="false">_xlfn.xlookup(B186,[1]Clients!B$1:B$1048576,[1]Clients!C$1:C$1048576)</f>
        <v>Nationale admin</v>
      </c>
      <c r="D186" s="18" t="s">
        <v>307</v>
      </c>
      <c r="E186" s="19" t="str">
        <f aca="false">_xlfn.xlookup(D186,[1]Clients!B$1:B$1048576,[1]Clients!C$1:C$1048576)</f>
        <v>Nationale livraison</v>
      </c>
      <c r="F186" s="20" t="n">
        <v>45694</v>
      </c>
      <c r="G186" s="21" t="s">
        <v>58</v>
      </c>
      <c r="H186" s="19" t="s">
        <v>360</v>
      </c>
      <c r="I186" s="19" t="s">
        <v>309</v>
      </c>
      <c r="J186" s="21" t="n">
        <v>45701</v>
      </c>
      <c r="K186" s="19"/>
      <c r="L186" s="19" t="n">
        <v>0</v>
      </c>
      <c r="M186" s="19" t="s">
        <v>74</v>
      </c>
      <c r="N186" s="19" t="s">
        <v>70</v>
      </c>
      <c r="O186" s="22" t="n">
        <v>0</v>
      </c>
      <c r="P186" s="23" t="s">
        <v>88</v>
      </c>
      <c r="Q186" s="23" t="s">
        <v>88</v>
      </c>
      <c r="R186" s="25" t="n">
        <v>40246</v>
      </c>
      <c r="S186" s="25" t="s">
        <v>310</v>
      </c>
      <c r="T186" s="25" t="n">
        <v>2</v>
      </c>
      <c r="U186" s="25" t="n">
        <v>960</v>
      </c>
      <c r="V186" s="26" t="n">
        <v>40273</v>
      </c>
      <c r="W186" s="26" t="s">
        <v>361</v>
      </c>
      <c r="X186" s="26" t="n">
        <v>1</v>
      </c>
      <c r="Y186" s="26" t="n">
        <v>870</v>
      </c>
      <c r="Z186" s="25" t="n">
        <v>40274</v>
      </c>
      <c r="AA186" s="25" t="s">
        <v>362</v>
      </c>
      <c r="AB186" s="25" t="n">
        <v>6</v>
      </c>
      <c r="AC186" s="25" t="n">
        <v>4140</v>
      </c>
      <c r="AD186" s="26" t="n">
        <v>40275</v>
      </c>
      <c r="AE186" s="26" t="s">
        <v>363</v>
      </c>
      <c r="AF186" s="26" t="n">
        <v>1</v>
      </c>
      <c r="AG186" s="26" t="n">
        <v>600</v>
      </c>
      <c r="AH186" s="25" t="n">
        <v>40276</v>
      </c>
      <c r="AI186" s="25" t="s">
        <v>364</v>
      </c>
      <c r="AJ186" s="25" t="n">
        <v>1</v>
      </c>
      <c r="AK186" s="25" t="n">
        <v>630</v>
      </c>
      <c r="AL186" s="26"/>
      <c r="AM186" s="26" t="s">
        <v>291</v>
      </c>
      <c r="AN186" s="26"/>
      <c r="AO186" s="26" t="n">
        <v>0</v>
      </c>
      <c r="AP186" s="25"/>
      <c r="AQ186" s="25" t="s">
        <v>291</v>
      </c>
      <c r="AR186" s="25"/>
      <c r="AS186" s="25" t="n">
        <v>0</v>
      </c>
      <c r="AT186" s="26"/>
      <c r="AU186" s="26" t="s">
        <v>291</v>
      </c>
      <c r="AV186" s="26"/>
      <c r="AW186" s="26" t="n">
        <v>0</v>
      </c>
      <c r="AX186" s="25"/>
      <c r="AY186" s="25"/>
      <c r="AZ186" s="25"/>
      <c r="BA186" s="25"/>
      <c r="BB186" s="26"/>
      <c r="BC186" s="26"/>
      <c r="BD186" s="26"/>
      <c r="BE186" s="33"/>
    </row>
    <row r="187" customFormat="false" ht="15" hidden="true" customHeight="false" outlineLevel="0" collapsed="false">
      <c r="A187" s="17" t="n">
        <v>335</v>
      </c>
      <c r="B187" s="18" t="s">
        <v>210</v>
      </c>
      <c r="C187" s="19" t="str">
        <f aca="false">_xlfn.xlookup(B187,[1]Clients!B$1:B$1048576,[1]Clients!C$1:C$1048576)</f>
        <v>3G</v>
      </c>
      <c r="D187" s="18" t="s">
        <v>210</v>
      </c>
      <c r="E187" s="19" t="str">
        <f aca="false">_xlfn.xlookup(D187,[1]Clients!B$1:B$1048576,[1]Clients!C$1:C$1048576)</f>
        <v>3G</v>
      </c>
      <c r="F187" s="20" t="n">
        <v>45694</v>
      </c>
      <c r="G187" s="21" t="s">
        <v>58</v>
      </c>
      <c r="H187" s="19" t="n">
        <v>3058</v>
      </c>
      <c r="I187" s="19" t="s">
        <v>211</v>
      </c>
      <c r="J187" s="21" t="n">
        <v>45701</v>
      </c>
      <c r="K187" s="19"/>
      <c r="L187" s="19" t="n">
        <v>0</v>
      </c>
      <c r="M187" s="19" t="s">
        <v>61</v>
      </c>
      <c r="N187" s="19" t="s">
        <v>123</v>
      </c>
      <c r="O187" s="22" t="n">
        <v>0</v>
      </c>
      <c r="P187" s="23" t="s">
        <v>88</v>
      </c>
      <c r="Q187" s="23" t="s">
        <v>88</v>
      </c>
      <c r="R187" s="25" t="n">
        <v>40227</v>
      </c>
      <c r="S187" s="25" t="s">
        <v>336</v>
      </c>
      <c r="T187" s="25" t="n">
        <v>5</v>
      </c>
      <c r="U187" s="25" t="n">
        <v>7200</v>
      </c>
      <c r="V187" s="26" t="n">
        <v>40277</v>
      </c>
      <c r="W187" s="26" t="s">
        <v>365</v>
      </c>
      <c r="X187" s="26" t="n">
        <v>3</v>
      </c>
      <c r="Y187" s="26" t="n">
        <v>4680</v>
      </c>
      <c r="Z187" s="25" t="n">
        <v>40278</v>
      </c>
      <c r="AA187" s="25" t="s">
        <v>366</v>
      </c>
      <c r="AB187" s="25" t="n">
        <v>1</v>
      </c>
      <c r="AC187" s="25" t="n">
        <v>1740</v>
      </c>
      <c r="AD187" s="26" t="n">
        <v>40279</v>
      </c>
      <c r="AE187" s="26" t="s">
        <v>367</v>
      </c>
      <c r="AF187" s="26" t="n">
        <v>1</v>
      </c>
      <c r="AG187" s="26" t="n">
        <v>780</v>
      </c>
      <c r="AH187" s="25"/>
      <c r="AI187" s="25" t="s">
        <v>291</v>
      </c>
      <c r="AJ187" s="25"/>
      <c r="AK187" s="25" t="n">
        <v>0</v>
      </c>
      <c r="AL187" s="26"/>
      <c r="AM187" s="26" t="s">
        <v>291</v>
      </c>
      <c r="AN187" s="26"/>
      <c r="AO187" s="26" t="n">
        <v>0</v>
      </c>
      <c r="AP187" s="25"/>
      <c r="AQ187" s="25" t="s">
        <v>291</v>
      </c>
      <c r="AR187" s="25"/>
      <c r="AS187" s="25" t="n">
        <v>0</v>
      </c>
      <c r="AT187" s="26"/>
      <c r="AU187" s="26" t="s">
        <v>291</v>
      </c>
      <c r="AV187" s="26"/>
      <c r="AW187" s="26" t="n">
        <v>0</v>
      </c>
      <c r="AX187" s="25"/>
      <c r="AY187" s="25"/>
      <c r="AZ187" s="25"/>
      <c r="BA187" s="25"/>
      <c r="BB187" s="26"/>
      <c r="BC187" s="26"/>
      <c r="BD187" s="26"/>
      <c r="BE187" s="33"/>
    </row>
    <row r="188" customFormat="false" ht="15" hidden="true" customHeight="false" outlineLevel="0" collapsed="false">
      <c r="A188" s="17" t="n">
        <v>336</v>
      </c>
      <c r="B188" s="18" t="s">
        <v>368</v>
      </c>
      <c r="C188" s="19" t="str">
        <f aca="false">_xlfn.xlookup(B188,[1]Clients!B$1:B$1048576,[1]Clients!C$1:C$1048576)</f>
        <v>SYL</v>
      </c>
      <c r="D188" s="18" t="s">
        <v>368</v>
      </c>
      <c r="E188" s="19" t="str">
        <f aca="false">_xlfn.xlookup(D188,[1]Clients!B$1:B$1048576,[1]Clients!C$1:C$1048576)</f>
        <v>SYL</v>
      </c>
      <c r="F188" s="20" t="n">
        <v>45694</v>
      </c>
      <c r="G188" s="21" t="s">
        <v>58</v>
      </c>
      <c r="H188" s="19" t="s">
        <v>369</v>
      </c>
      <c r="I188" s="19" t="s">
        <v>370</v>
      </c>
      <c r="J188" s="21" t="n">
        <v>45701</v>
      </c>
      <c r="K188" s="19"/>
      <c r="L188" s="19" t="n">
        <v>0</v>
      </c>
      <c r="M188" s="19" t="s">
        <v>74</v>
      </c>
      <c r="N188" s="19" t="s">
        <v>70</v>
      </c>
      <c r="O188" s="22" t="n">
        <v>0</v>
      </c>
      <c r="P188" s="23" t="s">
        <v>88</v>
      </c>
      <c r="Q188" s="23" t="s">
        <v>88</v>
      </c>
      <c r="R188" s="25" t="n">
        <v>40280</v>
      </c>
      <c r="S188" s="25" t="s">
        <v>371</v>
      </c>
      <c r="T188" s="25" t="n">
        <v>1</v>
      </c>
      <c r="U188" s="25" t="n">
        <v>312</v>
      </c>
      <c r="V188" s="26" t="n">
        <v>40281</v>
      </c>
      <c r="W188" s="26" t="s">
        <v>372</v>
      </c>
      <c r="X188" s="26" t="n">
        <v>1</v>
      </c>
      <c r="Y188" s="26" t="n">
        <v>312</v>
      </c>
      <c r="Z188" s="25"/>
      <c r="AA188" s="25" t="s">
        <v>291</v>
      </c>
      <c r="AB188" s="25"/>
      <c r="AC188" s="25" t="n">
        <v>0</v>
      </c>
      <c r="AD188" s="26"/>
      <c r="AE188" s="26" t="s">
        <v>291</v>
      </c>
      <c r="AF188" s="26"/>
      <c r="AG188" s="26" t="n">
        <v>0</v>
      </c>
      <c r="AH188" s="25"/>
      <c r="AI188" s="25" t="s">
        <v>291</v>
      </c>
      <c r="AJ188" s="25"/>
      <c r="AK188" s="25" t="n">
        <v>0</v>
      </c>
      <c r="AL188" s="26"/>
      <c r="AM188" s="26" t="s">
        <v>291</v>
      </c>
      <c r="AN188" s="26"/>
      <c r="AO188" s="26" t="n">
        <v>0</v>
      </c>
      <c r="AP188" s="25"/>
      <c r="AQ188" s="25" t="s">
        <v>291</v>
      </c>
      <c r="AR188" s="25"/>
      <c r="AS188" s="25" t="n">
        <v>0</v>
      </c>
      <c r="AT188" s="26"/>
      <c r="AU188" s="26" t="s">
        <v>291</v>
      </c>
      <c r="AV188" s="26"/>
      <c r="AW188" s="26" t="n">
        <v>0</v>
      </c>
      <c r="AX188" s="25"/>
      <c r="AY188" s="25"/>
      <c r="AZ188" s="25"/>
      <c r="BA188" s="25"/>
      <c r="BB188" s="26"/>
      <c r="BC188" s="26"/>
      <c r="BD188" s="26"/>
      <c r="BE188" s="33"/>
    </row>
    <row r="189" customFormat="false" ht="15" hidden="true" customHeight="false" outlineLevel="0" collapsed="false">
      <c r="A189" s="17" t="n">
        <v>337</v>
      </c>
      <c r="B189" s="18" t="s">
        <v>221</v>
      </c>
      <c r="C189" s="19" t="str">
        <f aca="false">_xlfn.xlookup(B189,[1]Clients!B$1:B$1048576,[1]Clients!C$1:C$1048576)</f>
        <v>Bas St-Laurent</v>
      </c>
      <c r="D189" s="18" t="s">
        <v>221</v>
      </c>
      <c r="E189" s="19" t="str">
        <f aca="false">_xlfn.xlookup(D189,[1]Clients!B$1:B$1048576,[1]Clients!C$1:C$1048576)</f>
        <v>Bas St-Laurent</v>
      </c>
      <c r="F189" s="20" t="n">
        <v>45695</v>
      </c>
      <c r="G189" s="21" t="s">
        <v>352</v>
      </c>
      <c r="H189" s="19" t="s">
        <v>373</v>
      </c>
      <c r="I189" s="19" t="s">
        <v>222</v>
      </c>
      <c r="J189" s="21" t="n">
        <v>45706</v>
      </c>
      <c r="K189" s="19"/>
      <c r="L189" s="19" t="n">
        <v>0</v>
      </c>
      <c r="M189" s="19" t="s">
        <v>74</v>
      </c>
      <c r="N189" s="19" t="s">
        <v>70</v>
      </c>
      <c r="O189" s="22" t="n">
        <v>0</v>
      </c>
      <c r="P189" s="23" t="s">
        <v>88</v>
      </c>
      <c r="Q189" s="23" t="s">
        <v>88</v>
      </c>
      <c r="R189" s="25" t="n">
        <v>40282</v>
      </c>
      <c r="S189" s="25" t="s">
        <v>374</v>
      </c>
      <c r="T189" s="25" t="n">
        <v>8</v>
      </c>
      <c r="U189" s="25" t="n">
        <v>3600</v>
      </c>
      <c r="V189" s="26"/>
      <c r="W189" s="26" t="s">
        <v>291</v>
      </c>
      <c r="X189" s="26"/>
      <c r="Y189" s="26" t="n">
        <v>0</v>
      </c>
      <c r="Z189" s="25"/>
      <c r="AA189" s="25" t="s">
        <v>291</v>
      </c>
      <c r="AB189" s="25"/>
      <c r="AC189" s="25" t="n">
        <v>0</v>
      </c>
      <c r="AD189" s="26"/>
      <c r="AE189" s="26" t="s">
        <v>291</v>
      </c>
      <c r="AF189" s="26"/>
      <c r="AG189" s="26" t="n">
        <v>0</v>
      </c>
      <c r="AH189" s="25"/>
      <c r="AI189" s="25" t="s">
        <v>291</v>
      </c>
      <c r="AJ189" s="25"/>
      <c r="AK189" s="25" t="n">
        <v>0</v>
      </c>
      <c r="AL189" s="26"/>
      <c r="AM189" s="26" t="s">
        <v>291</v>
      </c>
      <c r="AN189" s="26"/>
      <c r="AO189" s="26" t="n">
        <v>0</v>
      </c>
      <c r="AP189" s="25"/>
      <c r="AQ189" s="25" t="s">
        <v>291</v>
      </c>
      <c r="AR189" s="25"/>
      <c r="AS189" s="25" t="n">
        <v>0</v>
      </c>
      <c r="AT189" s="26"/>
      <c r="AU189" s="26" t="s">
        <v>291</v>
      </c>
      <c r="AV189" s="26"/>
      <c r="AW189" s="26" t="n">
        <v>0</v>
      </c>
      <c r="AX189" s="25"/>
      <c r="AY189" s="25"/>
      <c r="AZ189" s="25"/>
      <c r="BA189" s="25"/>
      <c r="BB189" s="26"/>
      <c r="BC189" s="26"/>
      <c r="BD189" s="26"/>
      <c r="BE189" s="33"/>
    </row>
    <row r="190" customFormat="false" ht="15" hidden="true" customHeight="false" outlineLevel="0" collapsed="false">
      <c r="A190" s="17" t="n">
        <v>338</v>
      </c>
      <c r="B190" s="18" t="s">
        <v>210</v>
      </c>
      <c r="C190" s="19" t="str">
        <f aca="false">_xlfn.xlookup(B190,[1]Clients!B$1:B$1048576,[1]Clients!C$1:C$1048576)</f>
        <v>3G</v>
      </c>
      <c r="D190" s="18" t="s">
        <v>210</v>
      </c>
      <c r="E190" s="19" t="str">
        <f aca="false">_xlfn.xlookup(D190,[1]Clients!B$1:B$1048576,[1]Clients!C$1:C$1048576)</f>
        <v>3G</v>
      </c>
      <c r="F190" s="20" t="n">
        <v>45695</v>
      </c>
      <c r="G190" s="21" t="s">
        <v>58</v>
      </c>
      <c r="H190" s="19" t="s">
        <v>375</v>
      </c>
      <c r="I190" s="19"/>
      <c r="J190" s="21" t="n">
        <v>45703</v>
      </c>
      <c r="K190" s="19"/>
      <c r="L190" s="19" t="n">
        <v>0</v>
      </c>
      <c r="M190" s="19" t="s">
        <v>61</v>
      </c>
      <c r="N190" s="19" t="s">
        <v>123</v>
      </c>
      <c r="O190" s="22" t="n">
        <v>0</v>
      </c>
      <c r="P190" s="23" t="s">
        <v>88</v>
      </c>
      <c r="Q190" s="23" t="s">
        <v>88</v>
      </c>
      <c r="R190" s="25" t="n">
        <v>40283</v>
      </c>
      <c r="S190" s="25" t="s">
        <v>376</v>
      </c>
      <c r="T190" s="25"/>
      <c r="U190" s="25" t="n">
        <v>0</v>
      </c>
      <c r="V190" s="26"/>
      <c r="W190" s="26" t="s">
        <v>291</v>
      </c>
      <c r="X190" s="26"/>
      <c r="Y190" s="26" t="n">
        <v>0</v>
      </c>
      <c r="Z190" s="25"/>
      <c r="AA190" s="25" t="s">
        <v>291</v>
      </c>
      <c r="AB190" s="25"/>
      <c r="AC190" s="25" t="n">
        <v>0</v>
      </c>
      <c r="AD190" s="26"/>
      <c r="AE190" s="26" t="s">
        <v>291</v>
      </c>
      <c r="AF190" s="26"/>
      <c r="AG190" s="26" t="n">
        <v>0</v>
      </c>
      <c r="AH190" s="25"/>
      <c r="AI190" s="25" t="s">
        <v>291</v>
      </c>
      <c r="AJ190" s="25"/>
      <c r="AK190" s="25" t="n">
        <v>0</v>
      </c>
      <c r="AL190" s="26"/>
      <c r="AM190" s="26" t="s">
        <v>291</v>
      </c>
      <c r="AN190" s="26"/>
      <c r="AO190" s="26" t="n">
        <v>0</v>
      </c>
      <c r="AP190" s="25"/>
      <c r="AQ190" s="25" t="s">
        <v>291</v>
      </c>
      <c r="AR190" s="25"/>
      <c r="AS190" s="25" t="n">
        <v>0</v>
      </c>
      <c r="AT190" s="26"/>
      <c r="AU190" s="26" t="s">
        <v>291</v>
      </c>
      <c r="AV190" s="26"/>
      <c r="AW190" s="26" t="n">
        <v>0</v>
      </c>
      <c r="AX190" s="25"/>
      <c r="AY190" s="25"/>
      <c r="AZ190" s="25"/>
      <c r="BA190" s="25"/>
      <c r="BB190" s="26"/>
      <c r="BC190" s="26"/>
      <c r="BD190" s="26"/>
      <c r="BE190" s="33"/>
    </row>
    <row r="191" customFormat="false" ht="15" hidden="true" customHeight="false" outlineLevel="0" collapsed="false">
      <c r="A191" s="17" t="n">
        <v>339</v>
      </c>
      <c r="B191" s="18" t="s">
        <v>194</v>
      </c>
      <c r="C191" s="19" t="str">
        <f aca="false">_xlfn.xlookup(B191,[1]Clients!B$1:B$1048576,[1]Clients!C$1:C$1048576)</f>
        <v>IMS</v>
      </c>
      <c r="D191" s="18" t="s">
        <v>194</v>
      </c>
      <c r="E191" s="19" t="str">
        <f aca="false">_xlfn.xlookup(D191,[1]Clients!B$1:B$1048576,[1]Clients!C$1:C$1048576)</f>
        <v>IMS</v>
      </c>
      <c r="F191" s="20" t="n">
        <v>45695</v>
      </c>
      <c r="G191" s="21" t="s">
        <v>58</v>
      </c>
      <c r="H191" s="19" t="s">
        <v>377</v>
      </c>
      <c r="I191" s="19"/>
      <c r="J191" s="21" t="n">
        <v>45703</v>
      </c>
      <c r="K191" s="19"/>
      <c r="L191" s="19" t="n">
        <v>0</v>
      </c>
      <c r="M191" s="19" t="s">
        <v>74</v>
      </c>
      <c r="N191" s="19" t="s">
        <v>70</v>
      </c>
      <c r="O191" s="22" t="n">
        <v>0</v>
      </c>
      <c r="P191" s="23" t="s">
        <v>88</v>
      </c>
      <c r="Q191" s="23" t="s">
        <v>88</v>
      </c>
      <c r="R191" s="25" t="n">
        <v>40284</v>
      </c>
      <c r="S191" s="25" t="s">
        <v>378</v>
      </c>
      <c r="T191" s="25"/>
      <c r="U191" s="25" t="n">
        <v>0</v>
      </c>
      <c r="V191" s="26"/>
      <c r="W191" s="26" t="s">
        <v>291</v>
      </c>
      <c r="X191" s="26"/>
      <c r="Y191" s="26" t="n">
        <v>0</v>
      </c>
      <c r="Z191" s="25"/>
      <c r="AA191" s="25" t="s">
        <v>291</v>
      </c>
      <c r="AB191" s="25"/>
      <c r="AC191" s="25" t="n">
        <v>0</v>
      </c>
      <c r="AD191" s="26"/>
      <c r="AE191" s="26" t="s">
        <v>291</v>
      </c>
      <c r="AF191" s="26"/>
      <c r="AG191" s="26" t="n">
        <v>0</v>
      </c>
      <c r="AH191" s="25"/>
      <c r="AI191" s="25" t="s">
        <v>291</v>
      </c>
      <c r="AJ191" s="25"/>
      <c r="AK191" s="25" t="n">
        <v>0</v>
      </c>
      <c r="AL191" s="26"/>
      <c r="AM191" s="26" t="s">
        <v>291</v>
      </c>
      <c r="AN191" s="26"/>
      <c r="AO191" s="26" t="n">
        <v>0</v>
      </c>
      <c r="AP191" s="25"/>
      <c r="AQ191" s="25" t="s">
        <v>291</v>
      </c>
      <c r="AR191" s="25"/>
      <c r="AS191" s="25" t="n">
        <v>0</v>
      </c>
      <c r="AT191" s="26"/>
      <c r="AU191" s="26" t="s">
        <v>291</v>
      </c>
      <c r="AV191" s="26"/>
      <c r="AW191" s="26" t="n">
        <v>0</v>
      </c>
      <c r="AX191" s="25"/>
      <c r="AY191" s="25"/>
      <c r="AZ191" s="25"/>
      <c r="BA191" s="25"/>
      <c r="BB191" s="26"/>
      <c r="BC191" s="26"/>
      <c r="BD191" s="26"/>
      <c r="BE191" s="33"/>
    </row>
    <row r="192" customFormat="false" ht="15" hidden="true" customHeight="false" outlineLevel="0" collapsed="false">
      <c r="A192" s="17" t="n">
        <v>340</v>
      </c>
      <c r="B192" s="18" t="s">
        <v>194</v>
      </c>
      <c r="C192" s="19" t="str">
        <f aca="false">_xlfn.xlookup(B192,[1]Clients!B$1:B$1048576,[1]Clients!C$1:C$1048576)</f>
        <v>IMS</v>
      </c>
      <c r="D192" s="18" t="s">
        <v>194</v>
      </c>
      <c r="E192" s="19" t="str">
        <f aca="false">_xlfn.xlookup(D192,[1]Clients!B$1:B$1048576,[1]Clients!C$1:C$1048576)</f>
        <v>IMS</v>
      </c>
      <c r="F192" s="20" t="n">
        <v>45695</v>
      </c>
      <c r="G192" s="21" t="s">
        <v>58</v>
      </c>
      <c r="H192" s="19" t="n">
        <v>2501889</v>
      </c>
      <c r="I192" s="19" t="s">
        <v>379</v>
      </c>
      <c r="J192" s="21" t="n">
        <v>45703</v>
      </c>
      <c r="K192" s="19"/>
      <c r="L192" s="19" t="n">
        <v>0</v>
      </c>
      <c r="M192" s="19" t="s">
        <v>74</v>
      </c>
      <c r="N192" s="19" t="s">
        <v>70</v>
      </c>
      <c r="O192" s="22" t="n">
        <v>0</v>
      </c>
      <c r="P192" s="23" t="s">
        <v>88</v>
      </c>
      <c r="Q192" s="23" t="s">
        <v>88</v>
      </c>
      <c r="R192" s="25" t="n">
        <v>40285</v>
      </c>
      <c r="S192" s="25" t="s">
        <v>380</v>
      </c>
      <c r="T192" s="25" t="n">
        <v>4</v>
      </c>
      <c r="U192" s="25" t="n">
        <v>4320</v>
      </c>
      <c r="V192" s="26" t="n">
        <v>40286</v>
      </c>
      <c r="W192" s="26" t="s">
        <v>381</v>
      </c>
      <c r="X192" s="26" t="n">
        <v>4</v>
      </c>
      <c r="Y192" s="26" t="n">
        <v>2880</v>
      </c>
      <c r="Z192" s="25"/>
      <c r="AA192" s="25" t="s">
        <v>291</v>
      </c>
      <c r="AB192" s="25"/>
      <c r="AC192" s="25" t="n">
        <v>0</v>
      </c>
      <c r="AD192" s="26"/>
      <c r="AE192" s="26" t="s">
        <v>291</v>
      </c>
      <c r="AF192" s="26"/>
      <c r="AG192" s="26" t="n">
        <v>0</v>
      </c>
      <c r="AH192" s="25"/>
      <c r="AI192" s="25" t="s">
        <v>291</v>
      </c>
      <c r="AJ192" s="25"/>
      <c r="AK192" s="25" t="n">
        <v>0</v>
      </c>
      <c r="AL192" s="26"/>
      <c r="AM192" s="26" t="s">
        <v>291</v>
      </c>
      <c r="AN192" s="26"/>
      <c r="AO192" s="26" t="n">
        <v>0</v>
      </c>
      <c r="AP192" s="25"/>
      <c r="AQ192" s="25" t="s">
        <v>291</v>
      </c>
      <c r="AR192" s="25"/>
      <c r="AS192" s="25" t="n">
        <v>0</v>
      </c>
      <c r="AT192" s="26"/>
      <c r="AU192" s="26" t="s">
        <v>291</v>
      </c>
      <c r="AV192" s="26"/>
      <c r="AW192" s="26" t="n">
        <v>0</v>
      </c>
      <c r="AX192" s="25"/>
      <c r="AY192" s="25"/>
      <c r="AZ192" s="25"/>
      <c r="BA192" s="25"/>
      <c r="BB192" s="26"/>
      <c r="BC192" s="26"/>
      <c r="BD192" s="26"/>
      <c r="BE192" s="33"/>
    </row>
    <row r="193" customFormat="false" ht="15" hidden="false" customHeight="false" outlineLevel="0" collapsed="false">
      <c r="A193" s="17" t="n">
        <v>341</v>
      </c>
      <c r="B193" s="18" t="s">
        <v>306</v>
      </c>
      <c r="C193" s="19" t="str">
        <f aca="false">_xlfn.xlookup(B193,[1]Clients!B$1:B$1048576,[1]Clients!C$1:C$1048576)</f>
        <v>Nationale admin</v>
      </c>
      <c r="D193" s="18" t="s">
        <v>307</v>
      </c>
      <c r="E193" s="19" t="str">
        <f aca="false">_xlfn.xlookup(D193,[1]Clients!B$1:B$1048576,[1]Clients!C$1:C$1048576)</f>
        <v>Nationale livraison</v>
      </c>
      <c r="F193" s="20" t="n">
        <v>45695</v>
      </c>
      <c r="G193" s="21" t="s">
        <v>58</v>
      </c>
      <c r="H193" s="19" t="s">
        <v>382</v>
      </c>
      <c r="I193" s="19" t="s">
        <v>309</v>
      </c>
      <c r="J193" s="21" t="n">
        <v>45706</v>
      </c>
      <c r="K193" s="19"/>
      <c r="L193" s="19" t="n">
        <v>0</v>
      </c>
      <c r="M193" s="19" t="s">
        <v>74</v>
      </c>
      <c r="N193" s="19" t="s">
        <v>70</v>
      </c>
      <c r="O193" s="22" t="n">
        <v>0</v>
      </c>
      <c r="P193" s="23" t="s">
        <v>88</v>
      </c>
      <c r="Q193" s="23" t="s">
        <v>88</v>
      </c>
      <c r="R193" s="25" t="n">
        <v>40287</v>
      </c>
      <c r="S193" s="25" t="s">
        <v>383</v>
      </c>
      <c r="T193" s="25" t="n">
        <v>1</v>
      </c>
      <c r="U193" s="25" t="n">
        <v>120</v>
      </c>
      <c r="V193" s="26" t="n">
        <v>40288</v>
      </c>
      <c r="W193" s="26" t="s">
        <v>384</v>
      </c>
      <c r="X193" s="26" t="n">
        <v>1</v>
      </c>
      <c r="Y193" s="26" t="n">
        <v>120</v>
      </c>
      <c r="Z193" s="25"/>
      <c r="AA193" s="25" t="s">
        <v>291</v>
      </c>
      <c r="AB193" s="25"/>
      <c r="AC193" s="25" t="n">
        <v>0</v>
      </c>
      <c r="AD193" s="26"/>
      <c r="AE193" s="26" t="s">
        <v>291</v>
      </c>
      <c r="AF193" s="26"/>
      <c r="AG193" s="26" t="n">
        <v>0</v>
      </c>
      <c r="AH193" s="25"/>
      <c r="AI193" s="25" t="s">
        <v>291</v>
      </c>
      <c r="AJ193" s="25"/>
      <c r="AK193" s="25" t="n">
        <v>0</v>
      </c>
      <c r="AL193" s="26"/>
      <c r="AM193" s="26" t="s">
        <v>291</v>
      </c>
      <c r="AN193" s="26"/>
      <c r="AO193" s="26" t="n">
        <v>0</v>
      </c>
      <c r="AP193" s="25"/>
      <c r="AQ193" s="25" t="s">
        <v>291</v>
      </c>
      <c r="AR193" s="25"/>
      <c r="AS193" s="25" t="n">
        <v>0</v>
      </c>
      <c r="AT193" s="26"/>
      <c r="AU193" s="26" t="s">
        <v>291</v>
      </c>
      <c r="AV193" s="26"/>
      <c r="AW193" s="26" t="n">
        <v>0</v>
      </c>
      <c r="AX193" s="25"/>
      <c r="AY193" s="25"/>
      <c r="AZ193" s="25"/>
      <c r="BA193" s="25"/>
      <c r="BB193" s="26"/>
      <c r="BC193" s="26"/>
      <c r="BD193" s="26"/>
      <c r="BE193" s="33"/>
    </row>
    <row r="194" customFormat="false" ht="15" hidden="true" customHeight="false" outlineLevel="0" collapsed="false">
      <c r="A194" s="17" t="n">
        <v>342</v>
      </c>
      <c r="B194" s="18" t="s">
        <v>78</v>
      </c>
      <c r="C194" s="19" t="str">
        <f aca="false">_xlfn.xlookup(B194,[1]Clients!B$1:B$1048576,[1]Clients!C$1:C$1048576)</f>
        <v>Labelink</v>
      </c>
      <c r="D194" s="18" t="s">
        <v>385</v>
      </c>
      <c r="E194" s="19" t="str">
        <f aca="false">_xlfn.xlookup(D194,[1]Clients!B$1:B$1048576,[1]Clients!C$1:C$1048576)</f>
        <v>Labelink Granby</v>
      </c>
      <c r="F194" s="20" t="n">
        <v>45699</v>
      </c>
      <c r="G194" s="21" t="s">
        <v>352</v>
      </c>
      <c r="H194" s="19" t="n">
        <v>144786</v>
      </c>
      <c r="I194" s="19" t="s">
        <v>386</v>
      </c>
      <c r="J194" s="21" t="n">
        <v>45709</v>
      </c>
      <c r="K194" s="19"/>
      <c r="L194" s="19" t="n">
        <v>0</v>
      </c>
      <c r="M194" s="19" t="s">
        <v>61</v>
      </c>
      <c r="N194" s="19" t="s">
        <v>123</v>
      </c>
      <c r="O194" s="22" t="n">
        <v>0</v>
      </c>
      <c r="P194" s="23" t="s">
        <v>88</v>
      </c>
      <c r="Q194" s="23" t="s">
        <v>88</v>
      </c>
      <c r="R194" s="25" t="n">
        <v>40289</v>
      </c>
      <c r="S194" s="25" t="s">
        <v>387</v>
      </c>
      <c r="T194" s="25" t="n">
        <v>2</v>
      </c>
      <c r="U194" s="25" t="n">
        <v>1200</v>
      </c>
      <c r="V194" s="26"/>
      <c r="W194" s="26" t="s">
        <v>291</v>
      </c>
      <c r="X194" s="26"/>
      <c r="Y194" s="26" t="n">
        <v>0</v>
      </c>
      <c r="Z194" s="25"/>
      <c r="AA194" s="25" t="s">
        <v>291</v>
      </c>
      <c r="AB194" s="25"/>
      <c r="AC194" s="25" t="n">
        <v>0</v>
      </c>
      <c r="AD194" s="26"/>
      <c r="AE194" s="26" t="s">
        <v>291</v>
      </c>
      <c r="AF194" s="26"/>
      <c r="AG194" s="26" t="n">
        <v>0</v>
      </c>
      <c r="AH194" s="25"/>
      <c r="AI194" s="25" t="s">
        <v>291</v>
      </c>
      <c r="AJ194" s="25"/>
      <c r="AK194" s="25" t="n">
        <v>0</v>
      </c>
      <c r="AL194" s="26"/>
      <c r="AM194" s="26" t="s">
        <v>291</v>
      </c>
      <c r="AN194" s="26"/>
      <c r="AO194" s="26" t="n">
        <v>0</v>
      </c>
      <c r="AP194" s="25"/>
      <c r="AQ194" s="25" t="s">
        <v>291</v>
      </c>
      <c r="AR194" s="25"/>
      <c r="AS194" s="25" t="n">
        <v>0</v>
      </c>
      <c r="AT194" s="26"/>
      <c r="AU194" s="26" t="s">
        <v>291</v>
      </c>
      <c r="AV194" s="26"/>
      <c r="AW194" s="26" t="n">
        <v>0</v>
      </c>
      <c r="AX194" s="25"/>
      <c r="AY194" s="25"/>
      <c r="AZ194" s="25"/>
      <c r="BA194" s="25"/>
      <c r="BB194" s="26"/>
      <c r="BC194" s="26"/>
      <c r="BD194" s="26"/>
      <c r="BE194" s="33"/>
    </row>
    <row r="195" customFormat="false" ht="15" hidden="false" customHeight="false" outlineLevel="0" collapsed="false">
      <c r="A195" s="17" t="n">
        <v>343</v>
      </c>
      <c r="B195" s="18" t="s">
        <v>78</v>
      </c>
      <c r="C195" s="19" t="str">
        <f aca="false">_xlfn.xlookup(B195,[1]Clients!B$1:B$1048576,[1]Clients!C$1:C$1048576)</f>
        <v>Labelink</v>
      </c>
      <c r="D195" s="18" t="s">
        <v>385</v>
      </c>
      <c r="E195" s="19" t="str">
        <f aca="false">_xlfn.xlookup(D195,[1]Clients!B$1:B$1048576,[1]Clients!C$1:C$1048576)</f>
        <v>Labelink Granby</v>
      </c>
      <c r="F195" s="20" t="n">
        <v>45700</v>
      </c>
      <c r="G195" s="21" t="s">
        <v>58</v>
      </c>
      <c r="H195" s="19" t="n">
        <v>144860</v>
      </c>
      <c r="I195" s="19" t="s">
        <v>386</v>
      </c>
      <c r="J195" s="21" t="n">
        <v>45709</v>
      </c>
      <c r="K195" s="19"/>
      <c r="L195" s="19" t="n">
        <v>0</v>
      </c>
      <c r="M195" s="19" t="s">
        <v>61</v>
      </c>
      <c r="N195" s="19" t="s">
        <v>123</v>
      </c>
      <c r="O195" s="22" t="n">
        <v>0</v>
      </c>
      <c r="P195" s="23" t="s">
        <v>88</v>
      </c>
      <c r="Q195" s="23" t="s">
        <v>88</v>
      </c>
      <c r="R195" s="25" t="n">
        <v>40290</v>
      </c>
      <c r="S195" s="25" t="s">
        <v>388</v>
      </c>
      <c r="T195" s="25" t="n">
        <v>3</v>
      </c>
      <c r="U195" s="25" t="n">
        <v>1260</v>
      </c>
      <c r="V195" s="26"/>
      <c r="W195" s="26" t="s">
        <v>291</v>
      </c>
      <c r="X195" s="26"/>
      <c r="Y195" s="26" t="n">
        <v>0</v>
      </c>
      <c r="Z195" s="25"/>
      <c r="AA195" s="25" t="s">
        <v>291</v>
      </c>
      <c r="AB195" s="25"/>
      <c r="AC195" s="25" t="n">
        <v>0</v>
      </c>
      <c r="AD195" s="26"/>
      <c r="AE195" s="26" t="s">
        <v>291</v>
      </c>
      <c r="AF195" s="26"/>
      <c r="AG195" s="26" t="n">
        <v>0</v>
      </c>
      <c r="AH195" s="25"/>
      <c r="AI195" s="25" t="s">
        <v>291</v>
      </c>
      <c r="AJ195" s="25"/>
      <c r="AK195" s="25" t="n">
        <v>0</v>
      </c>
      <c r="AL195" s="26"/>
      <c r="AM195" s="26" t="s">
        <v>291</v>
      </c>
      <c r="AN195" s="26"/>
      <c r="AO195" s="26" t="n">
        <v>0</v>
      </c>
      <c r="AP195" s="25"/>
      <c r="AQ195" s="25" t="s">
        <v>291</v>
      </c>
      <c r="AR195" s="25"/>
      <c r="AS195" s="25" t="n">
        <v>0</v>
      </c>
      <c r="AT195" s="26"/>
      <c r="AU195" s="26" t="s">
        <v>291</v>
      </c>
      <c r="AV195" s="26"/>
      <c r="AW195" s="26" t="n">
        <v>0</v>
      </c>
      <c r="AX195" s="25"/>
      <c r="AY195" s="25"/>
      <c r="AZ195" s="25"/>
      <c r="BA195" s="25"/>
      <c r="BB195" s="26"/>
      <c r="BC195" s="26"/>
      <c r="BD195" s="26"/>
      <c r="BE195" s="33"/>
    </row>
    <row r="196" customFormat="false" ht="15" hidden="true" customHeight="false" outlineLevel="0" collapsed="false">
      <c r="A196" s="17" t="n">
        <v>344</v>
      </c>
      <c r="B196" s="18" t="s">
        <v>94</v>
      </c>
      <c r="C196" s="19" t="str">
        <f aca="false">_xlfn.xlookup(B196,[1]Clients!B$1:B$1048576,[1]Clients!C$1:C$1048576)</f>
        <v>IMPSJ</v>
      </c>
      <c r="D196" s="18" t="s">
        <v>94</v>
      </c>
      <c r="E196" s="19" t="str">
        <f aca="false">_xlfn.xlookup(D196,[1]Clients!B$1:B$1048576,[1]Clients!C$1:C$1048576)</f>
        <v>IMPSJ</v>
      </c>
      <c r="F196" s="20" t="n">
        <v>45700</v>
      </c>
      <c r="G196" s="21" t="s">
        <v>58</v>
      </c>
      <c r="H196" s="19" t="n">
        <v>107693</v>
      </c>
      <c r="I196" s="19" t="s">
        <v>118</v>
      </c>
      <c r="J196" s="21" t="n">
        <v>45707</v>
      </c>
      <c r="K196" s="19"/>
      <c r="L196" s="19" t="n">
        <v>0</v>
      </c>
      <c r="M196" s="19" t="s">
        <v>74</v>
      </c>
      <c r="N196" s="19" t="s">
        <v>107</v>
      </c>
      <c r="O196" s="22" t="n">
        <v>0</v>
      </c>
      <c r="P196" s="23" t="s">
        <v>77</v>
      </c>
      <c r="Q196" s="23" t="s">
        <v>77</v>
      </c>
      <c r="R196" s="25" t="n">
        <v>40221</v>
      </c>
      <c r="S196" s="25" t="s">
        <v>389</v>
      </c>
      <c r="T196" s="25" t="n">
        <v>4</v>
      </c>
      <c r="U196" s="25" t="n">
        <v>3360</v>
      </c>
      <c r="V196" s="26" t="n">
        <v>40222</v>
      </c>
      <c r="W196" s="26" t="s">
        <v>390</v>
      </c>
      <c r="X196" s="26" t="n">
        <v>1</v>
      </c>
      <c r="Y196" s="26" t="n">
        <v>240</v>
      </c>
      <c r="Z196" s="25"/>
      <c r="AA196" s="25" t="s">
        <v>291</v>
      </c>
      <c r="AB196" s="25"/>
      <c r="AC196" s="25" t="n">
        <v>0</v>
      </c>
      <c r="AD196" s="26"/>
      <c r="AE196" s="26" t="s">
        <v>291</v>
      </c>
      <c r="AF196" s="26"/>
      <c r="AG196" s="26" t="n">
        <v>0</v>
      </c>
      <c r="AH196" s="25"/>
      <c r="AI196" s="25" t="s">
        <v>291</v>
      </c>
      <c r="AJ196" s="25"/>
      <c r="AK196" s="25" t="n">
        <v>0</v>
      </c>
      <c r="AL196" s="26"/>
      <c r="AM196" s="26" t="s">
        <v>291</v>
      </c>
      <c r="AN196" s="26"/>
      <c r="AO196" s="26" t="n">
        <v>0</v>
      </c>
      <c r="AP196" s="25"/>
      <c r="AQ196" s="25" t="s">
        <v>291</v>
      </c>
      <c r="AR196" s="25"/>
      <c r="AS196" s="25" t="n">
        <v>0</v>
      </c>
      <c r="AT196" s="26"/>
      <c r="AU196" s="26" t="s">
        <v>291</v>
      </c>
      <c r="AV196" s="26"/>
      <c r="AW196" s="26" t="n">
        <v>0</v>
      </c>
      <c r="AX196" s="25"/>
      <c r="AY196" s="25"/>
      <c r="AZ196" s="25"/>
      <c r="BA196" s="25"/>
      <c r="BB196" s="26"/>
      <c r="BC196" s="26"/>
      <c r="BD196" s="26"/>
      <c r="BE196" s="33"/>
    </row>
    <row r="197" customFormat="false" ht="15" hidden="false" customHeight="false" outlineLevel="0" collapsed="false">
      <c r="A197" s="17" t="n">
        <v>345</v>
      </c>
      <c r="B197" s="18" t="s">
        <v>78</v>
      </c>
      <c r="C197" s="19" t="str">
        <f aca="false">_xlfn.xlookup(B197,[1]Clients!B$1:B$1048576,[1]Clients!C$1:C$1048576)</f>
        <v>Labelink</v>
      </c>
      <c r="D197" s="18" t="s">
        <v>391</v>
      </c>
      <c r="E197" s="19" t="str">
        <f aca="false">_xlfn.xlookup(D197,[1]Clients!B$1:B$1048576,[1]Clients!C$1:C$1048576)</f>
        <v>Labelink Mississauga</v>
      </c>
      <c r="F197" s="20" t="n">
        <v>45335</v>
      </c>
      <c r="G197" s="21" t="s">
        <v>58</v>
      </c>
      <c r="H197" s="19" t="n">
        <v>144937</v>
      </c>
      <c r="I197" s="19" t="s">
        <v>392</v>
      </c>
      <c r="J197" s="21" t="n">
        <v>45709</v>
      </c>
      <c r="K197" s="19"/>
      <c r="L197" s="19" t="n">
        <v>0</v>
      </c>
      <c r="M197" s="19" t="s">
        <v>61</v>
      </c>
      <c r="N197" s="19" t="s">
        <v>123</v>
      </c>
      <c r="O197" s="22" t="n">
        <v>0</v>
      </c>
      <c r="P197" s="23" t="s">
        <v>88</v>
      </c>
      <c r="Q197" s="23" t="s">
        <v>88</v>
      </c>
      <c r="R197" s="25" t="n">
        <v>40291</v>
      </c>
      <c r="S197" s="25" t="s">
        <v>393</v>
      </c>
      <c r="T197" s="25" t="n">
        <v>2</v>
      </c>
      <c r="U197" s="25" t="n">
        <v>1200</v>
      </c>
      <c r="V197" s="26"/>
      <c r="W197" s="26" t="s">
        <v>291</v>
      </c>
      <c r="X197" s="26"/>
      <c r="Y197" s="26" t="n">
        <v>0</v>
      </c>
      <c r="Z197" s="25"/>
      <c r="AA197" s="25" t="s">
        <v>291</v>
      </c>
      <c r="AB197" s="25"/>
      <c r="AC197" s="25" t="n">
        <v>0</v>
      </c>
      <c r="AD197" s="26"/>
      <c r="AE197" s="26" t="s">
        <v>291</v>
      </c>
      <c r="AF197" s="26"/>
      <c r="AG197" s="26" t="n">
        <v>0</v>
      </c>
      <c r="AH197" s="25"/>
      <c r="AI197" s="25" t="s">
        <v>291</v>
      </c>
      <c r="AJ197" s="25"/>
      <c r="AK197" s="25" t="n">
        <v>0</v>
      </c>
      <c r="AL197" s="26"/>
      <c r="AM197" s="26" t="s">
        <v>291</v>
      </c>
      <c r="AN197" s="26"/>
      <c r="AO197" s="26" t="n">
        <v>0</v>
      </c>
      <c r="AP197" s="25"/>
      <c r="AQ197" s="25" t="s">
        <v>291</v>
      </c>
      <c r="AR197" s="25"/>
      <c r="AS197" s="25" t="n">
        <v>0</v>
      </c>
      <c r="AT197" s="26"/>
      <c r="AU197" s="26" t="s">
        <v>291</v>
      </c>
      <c r="AV197" s="26"/>
      <c r="AW197" s="26" t="n">
        <v>0</v>
      </c>
      <c r="AX197" s="25"/>
      <c r="AY197" s="25"/>
      <c r="AZ197" s="25"/>
      <c r="BA197" s="25"/>
      <c r="BB197" s="26"/>
      <c r="BC197" s="26"/>
      <c r="BD197" s="26"/>
      <c r="BE197" s="33"/>
    </row>
    <row r="198" customFormat="false" ht="15" hidden="true" customHeight="false" outlineLevel="0" collapsed="false">
      <c r="A198" s="17" t="n">
        <v>346</v>
      </c>
      <c r="B198" s="18" t="s">
        <v>78</v>
      </c>
      <c r="C198" s="19" t="str">
        <f aca="false">_xlfn.xlookup(B198,[1]Clients!B$1:B$1048576,[1]Clients!C$1:C$1048576)</f>
        <v>Labelink</v>
      </c>
      <c r="D198" s="18" t="s">
        <v>391</v>
      </c>
      <c r="E198" s="19" t="str">
        <f aca="false">_xlfn.xlookup(D198,[1]Clients!B$1:B$1048576,[1]Clients!C$1:C$1048576)</f>
        <v>Labelink Mississauga</v>
      </c>
      <c r="F198" s="20" t="n">
        <v>45335</v>
      </c>
      <c r="G198" s="21" t="s">
        <v>352</v>
      </c>
      <c r="H198" s="19" t="n">
        <v>144939</v>
      </c>
      <c r="I198" s="19" t="s">
        <v>392</v>
      </c>
      <c r="J198" s="21" t="n">
        <v>45709</v>
      </c>
      <c r="K198" s="19"/>
      <c r="L198" s="19" t="n">
        <v>0</v>
      </c>
      <c r="M198" s="19" t="s">
        <v>61</v>
      </c>
      <c r="N198" s="19" t="s">
        <v>123</v>
      </c>
      <c r="O198" s="22" t="n">
        <v>0</v>
      </c>
      <c r="P198" s="23" t="s">
        <v>88</v>
      </c>
      <c r="Q198" s="23" t="s">
        <v>88</v>
      </c>
      <c r="R198" s="25" t="n">
        <v>40292</v>
      </c>
      <c r="S198" s="25" t="s">
        <v>394</v>
      </c>
      <c r="T198" s="25" t="n">
        <v>1</v>
      </c>
      <c r="U198" s="25" t="n">
        <v>705</v>
      </c>
      <c r="V198" s="26"/>
      <c r="W198" s="26" t="s">
        <v>291</v>
      </c>
      <c r="X198" s="26"/>
      <c r="Y198" s="26" t="n">
        <v>0</v>
      </c>
      <c r="Z198" s="25"/>
      <c r="AA198" s="25" t="s">
        <v>291</v>
      </c>
      <c r="AB198" s="25"/>
      <c r="AC198" s="25" t="n">
        <v>0</v>
      </c>
      <c r="AD198" s="26"/>
      <c r="AE198" s="26" t="s">
        <v>291</v>
      </c>
      <c r="AF198" s="26"/>
      <c r="AG198" s="26" t="n">
        <v>0</v>
      </c>
      <c r="AH198" s="25"/>
      <c r="AI198" s="25" t="s">
        <v>291</v>
      </c>
      <c r="AJ198" s="25"/>
      <c r="AK198" s="25" t="n">
        <v>0</v>
      </c>
      <c r="AL198" s="26"/>
      <c r="AM198" s="26" t="s">
        <v>291</v>
      </c>
      <c r="AN198" s="26"/>
      <c r="AO198" s="26" t="n">
        <v>0</v>
      </c>
      <c r="AP198" s="25"/>
      <c r="AQ198" s="25" t="s">
        <v>291</v>
      </c>
      <c r="AR198" s="25"/>
      <c r="AS198" s="25" t="n">
        <v>0</v>
      </c>
      <c r="AT198" s="26"/>
      <c r="AU198" s="26" t="s">
        <v>291</v>
      </c>
      <c r="AV198" s="26"/>
      <c r="AW198" s="26" t="n">
        <v>0</v>
      </c>
      <c r="AX198" s="25"/>
      <c r="AY198" s="25"/>
      <c r="AZ198" s="25"/>
      <c r="BA198" s="25"/>
      <c r="BB198" s="26"/>
      <c r="BC198" s="26"/>
      <c r="BD198" s="26"/>
      <c r="BE198" s="33"/>
    </row>
    <row r="199" customFormat="false" ht="15" hidden="false" customHeight="false" outlineLevel="0" collapsed="false">
      <c r="A199" s="17" t="n">
        <v>347</v>
      </c>
      <c r="B199" s="18" t="s">
        <v>78</v>
      </c>
      <c r="C199" s="19" t="str">
        <f aca="false">_xlfn.xlookup(B199,[1]Clients!B$1:B$1048576,[1]Clients!C$1:C$1048576)</f>
        <v>Labelink</v>
      </c>
      <c r="D199" s="18" t="s">
        <v>395</v>
      </c>
      <c r="E199" s="19" t="str">
        <f aca="false">_xlfn.xlookup(D199,[1]Clients!B$1:B$1048576,[1]Clients!C$1:C$1048576)</f>
        <v>Labelink Mtrl</v>
      </c>
      <c r="F199" s="20" t="n">
        <v>45335</v>
      </c>
      <c r="G199" s="21" t="s">
        <v>58</v>
      </c>
      <c r="H199" s="19" t="n">
        <v>144942</v>
      </c>
      <c r="I199" s="19" t="s">
        <v>396</v>
      </c>
      <c r="J199" s="21" t="n">
        <v>45709</v>
      </c>
      <c r="K199" s="19"/>
      <c r="L199" s="19" t="n">
        <v>0</v>
      </c>
      <c r="M199" s="19" t="s">
        <v>61</v>
      </c>
      <c r="N199" s="19" t="s">
        <v>123</v>
      </c>
      <c r="O199" s="22" t="n">
        <v>0</v>
      </c>
      <c r="P199" s="23" t="s">
        <v>88</v>
      </c>
      <c r="Q199" s="23" t="s">
        <v>88</v>
      </c>
      <c r="R199" s="25" t="n">
        <v>40293</v>
      </c>
      <c r="S199" s="25" t="s">
        <v>397</v>
      </c>
      <c r="T199" s="25" t="n">
        <v>2</v>
      </c>
      <c r="U199" s="25" t="n">
        <v>1035</v>
      </c>
      <c r="V199" s="26"/>
      <c r="W199" s="26" t="s">
        <v>291</v>
      </c>
      <c r="X199" s="26"/>
      <c r="Y199" s="26" t="n">
        <v>0</v>
      </c>
      <c r="Z199" s="25"/>
      <c r="AA199" s="25" t="s">
        <v>291</v>
      </c>
      <c r="AB199" s="25"/>
      <c r="AC199" s="25" t="n">
        <v>0</v>
      </c>
      <c r="AD199" s="26"/>
      <c r="AE199" s="26" t="s">
        <v>291</v>
      </c>
      <c r="AF199" s="26"/>
      <c r="AG199" s="26" t="n">
        <v>0</v>
      </c>
      <c r="AH199" s="25"/>
      <c r="AI199" s="25" t="s">
        <v>291</v>
      </c>
      <c r="AJ199" s="25"/>
      <c r="AK199" s="25" t="n">
        <v>0</v>
      </c>
      <c r="AL199" s="26"/>
      <c r="AM199" s="26" t="s">
        <v>291</v>
      </c>
      <c r="AN199" s="26"/>
      <c r="AO199" s="26" t="n">
        <v>0</v>
      </c>
      <c r="AP199" s="25"/>
      <c r="AQ199" s="25" t="s">
        <v>291</v>
      </c>
      <c r="AR199" s="25"/>
      <c r="AS199" s="25" t="n">
        <v>0</v>
      </c>
      <c r="AT199" s="26"/>
      <c r="AU199" s="26" t="s">
        <v>291</v>
      </c>
      <c r="AV199" s="26"/>
      <c r="AW199" s="26" t="n">
        <v>0</v>
      </c>
      <c r="AX199" s="25"/>
      <c r="AY199" s="25"/>
      <c r="AZ199" s="25"/>
      <c r="BA199" s="25"/>
      <c r="BB199" s="26"/>
      <c r="BC199" s="26"/>
      <c r="BD199" s="26"/>
      <c r="BE199" s="33"/>
    </row>
    <row r="200" customFormat="false" ht="15" hidden="false" customHeight="false" outlineLevel="0" collapsed="false">
      <c r="A200" s="17" t="n">
        <v>348</v>
      </c>
      <c r="B200" s="18" t="s">
        <v>78</v>
      </c>
      <c r="C200" s="19" t="str">
        <f aca="false">_xlfn.xlookup(B200,[1]Clients!B$1:B$1048576,[1]Clients!C$1:C$1048576)</f>
        <v>Labelink</v>
      </c>
      <c r="D200" s="18" t="s">
        <v>395</v>
      </c>
      <c r="E200" s="19" t="str">
        <f aca="false">_xlfn.xlookup(D200,[1]Clients!B$1:B$1048576,[1]Clients!C$1:C$1048576)</f>
        <v>Labelink Mtrl</v>
      </c>
      <c r="F200" s="20" t="n">
        <v>45335</v>
      </c>
      <c r="G200" s="21" t="s">
        <v>58</v>
      </c>
      <c r="H200" s="19" t="n">
        <v>144945</v>
      </c>
      <c r="I200" s="19" t="s">
        <v>396</v>
      </c>
      <c r="J200" s="21" t="n">
        <v>45709</v>
      </c>
      <c r="K200" s="19"/>
      <c r="L200" s="19" t="n">
        <v>0</v>
      </c>
      <c r="M200" s="19" t="s">
        <v>61</v>
      </c>
      <c r="N200" s="19" t="s">
        <v>123</v>
      </c>
      <c r="O200" s="22" t="n">
        <v>0</v>
      </c>
      <c r="P200" s="23" t="s">
        <v>88</v>
      </c>
      <c r="Q200" s="23" t="s">
        <v>88</v>
      </c>
      <c r="R200" s="25" t="n">
        <v>40294</v>
      </c>
      <c r="S200" s="25" t="s">
        <v>398</v>
      </c>
      <c r="T200" s="25" t="n">
        <v>2</v>
      </c>
      <c r="U200" s="25" t="n">
        <v>1485</v>
      </c>
      <c r="V200" s="26"/>
      <c r="W200" s="26" t="s">
        <v>291</v>
      </c>
      <c r="X200" s="26"/>
      <c r="Y200" s="26" t="n">
        <v>0</v>
      </c>
      <c r="Z200" s="25"/>
      <c r="AA200" s="25" t="s">
        <v>291</v>
      </c>
      <c r="AB200" s="25"/>
      <c r="AC200" s="25" t="n">
        <v>0</v>
      </c>
      <c r="AD200" s="26"/>
      <c r="AE200" s="26" t="s">
        <v>291</v>
      </c>
      <c r="AF200" s="26"/>
      <c r="AG200" s="26" t="n">
        <v>0</v>
      </c>
      <c r="AH200" s="25"/>
      <c r="AI200" s="25" t="s">
        <v>291</v>
      </c>
      <c r="AJ200" s="25"/>
      <c r="AK200" s="25" t="n">
        <v>0</v>
      </c>
      <c r="AL200" s="26"/>
      <c r="AM200" s="26" t="s">
        <v>291</v>
      </c>
      <c r="AN200" s="26"/>
      <c r="AO200" s="26" t="n">
        <v>0</v>
      </c>
      <c r="AP200" s="25"/>
      <c r="AQ200" s="25" t="s">
        <v>291</v>
      </c>
      <c r="AR200" s="25"/>
      <c r="AS200" s="25" t="n">
        <v>0</v>
      </c>
      <c r="AT200" s="26"/>
      <c r="AU200" s="26" t="s">
        <v>291</v>
      </c>
      <c r="AV200" s="26"/>
      <c r="AW200" s="26" t="n">
        <v>0</v>
      </c>
      <c r="AX200" s="25"/>
      <c r="AY200" s="25"/>
      <c r="AZ200" s="25"/>
      <c r="BA200" s="25"/>
      <c r="BB200" s="26"/>
      <c r="BC200" s="26"/>
      <c r="BD200" s="26"/>
      <c r="BE200" s="33"/>
    </row>
    <row r="201" customFormat="false" ht="15" hidden="true" customHeight="false" outlineLevel="0" collapsed="false">
      <c r="A201" s="17" t="n">
        <v>349</v>
      </c>
      <c r="B201" s="18" t="s">
        <v>78</v>
      </c>
      <c r="C201" s="19" t="str">
        <f aca="false">_xlfn.xlookup(B201,[1]Clients!B$1:B$1048576,[1]Clients!C$1:C$1048576)</f>
        <v>Labelink</v>
      </c>
      <c r="D201" s="18" t="s">
        <v>395</v>
      </c>
      <c r="E201" s="19" t="str">
        <f aca="false">_xlfn.xlookup(D201,[1]Clients!B$1:B$1048576,[1]Clients!C$1:C$1048576)</f>
        <v>Labelink Mtrl</v>
      </c>
      <c r="F201" s="20" t="n">
        <v>45335</v>
      </c>
      <c r="G201" s="21" t="s">
        <v>352</v>
      </c>
      <c r="H201" s="19" t="n">
        <v>144946</v>
      </c>
      <c r="I201" s="19" t="s">
        <v>396</v>
      </c>
      <c r="J201" s="21" t="n">
        <v>45709</v>
      </c>
      <c r="K201" s="19"/>
      <c r="L201" s="19" t="n">
        <v>0</v>
      </c>
      <c r="M201" s="19" t="s">
        <v>61</v>
      </c>
      <c r="N201" s="19" t="s">
        <v>123</v>
      </c>
      <c r="O201" s="22" t="n">
        <v>0</v>
      </c>
      <c r="P201" s="23" t="s">
        <v>88</v>
      </c>
      <c r="Q201" s="23" t="s">
        <v>88</v>
      </c>
      <c r="R201" s="25" t="n">
        <v>40295</v>
      </c>
      <c r="S201" s="25" t="s">
        <v>399</v>
      </c>
      <c r="T201" s="25" t="n">
        <v>2</v>
      </c>
      <c r="U201" s="25" t="n">
        <v>1185</v>
      </c>
      <c r="V201" s="26"/>
      <c r="W201" s="26" t="s">
        <v>291</v>
      </c>
      <c r="X201" s="26"/>
      <c r="Y201" s="26" t="n">
        <v>0</v>
      </c>
      <c r="Z201" s="25"/>
      <c r="AA201" s="25" t="s">
        <v>291</v>
      </c>
      <c r="AB201" s="25"/>
      <c r="AC201" s="25" t="n">
        <v>0</v>
      </c>
      <c r="AD201" s="26"/>
      <c r="AE201" s="26" t="s">
        <v>291</v>
      </c>
      <c r="AF201" s="26"/>
      <c r="AG201" s="26" t="n">
        <v>0</v>
      </c>
      <c r="AH201" s="25"/>
      <c r="AI201" s="25" t="s">
        <v>291</v>
      </c>
      <c r="AJ201" s="25"/>
      <c r="AK201" s="25" t="n">
        <v>0</v>
      </c>
      <c r="AL201" s="26"/>
      <c r="AM201" s="26" t="s">
        <v>291</v>
      </c>
      <c r="AN201" s="26"/>
      <c r="AO201" s="26" t="n">
        <v>0</v>
      </c>
      <c r="AP201" s="25"/>
      <c r="AQ201" s="25" t="s">
        <v>291</v>
      </c>
      <c r="AR201" s="25"/>
      <c r="AS201" s="25" t="n">
        <v>0</v>
      </c>
      <c r="AT201" s="26"/>
      <c r="AU201" s="26" t="s">
        <v>291</v>
      </c>
      <c r="AV201" s="26"/>
      <c r="AW201" s="26" t="n">
        <v>0</v>
      </c>
      <c r="AX201" s="25"/>
      <c r="AY201" s="25"/>
      <c r="AZ201" s="25"/>
      <c r="BA201" s="25"/>
      <c r="BB201" s="26"/>
      <c r="BC201" s="26"/>
      <c r="BD201" s="26"/>
      <c r="BE201" s="33"/>
    </row>
    <row r="202" customFormat="false" ht="15" hidden="false" customHeight="false" outlineLevel="0" collapsed="false">
      <c r="A202" s="17" t="n">
        <v>350</v>
      </c>
      <c r="B202" s="18" t="s">
        <v>78</v>
      </c>
      <c r="C202" s="19" t="str">
        <f aca="false">_xlfn.xlookup(B202,[1]Clients!B$1:B$1048576,[1]Clients!C$1:C$1048576)</f>
        <v>Labelink</v>
      </c>
      <c r="D202" s="18" t="s">
        <v>400</v>
      </c>
      <c r="E202" s="19" t="str">
        <f aca="false">_xlfn.xlookup(D202,[1]Clients!B$1:B$1048576,[1]Clients!C$1:C$1048576)</f>
        <v>Labelink Toronto</v>
      </c>
      <c r="F202" s="20" t="n">
        <v>45335</v>
      </c>
      <c r="G202" s="21" t="s">
        <v>58</v>
      </c>
      <c r="H202" s="19" t="n">
        <v>144949</v>
      </c>
      <c r="I202" s="19" t="s">
        <v>401</v>
      </c>
      <c r="J202" s="21" t="n">
        <v>45709</v>
      </c>
      <c r="K202" s="19"/>
      <c r="L202" s="19" t="n">
        <v>0</v>
      </c>
      <c r="M202" s="19" t="s">
        <v>61</v>
      </c>
      <c r="N202" s="19" t="s">
        <v>123</v>
      </c>
      <c r="O202" s="22" t="n">
        <v>0</v>
      </c>
      <c r="P202" s="23" t="s">
        <v>88</v>
      </c>
      <c r="Q202" s="23" t="s">
        <v>88</v>
      </c>
      <c r="R202" s="25" t="n">
        <v>40296</v>
      </c>
      <c r="S202" s="25" t="s">
        <v>402</v>
      </c>
      <c r="T202" s="25" t="n">
        <v>3</v>
      </c>
      <c r="U202" s="25" t="n">
        <v>2070</v>
      </c>
      <c r="V202" s="26"/>
      <c r="W202" s="26" t="s">
        <v>291</v>
      </c>
      <c r="X202" s="26"/>
      <c r="Y202" s="26" t="n">
        <v>0</v>
      </c>
      <c r="Z202" s="25"/>
      <c r="AA202" s="25" t="s">
        <v>291</v>
      </c>
      <c r="AB202" s="25"/>
      <c r="AC202" s="25" t="n">
        <v>0</v>
      </c>
      <c r="AD202" s="26"/>
      <c r="AE202" s="26" t="s">
        <v>291</v>
      </c>
      <c r="AF202" s="26"/>
      <c r="AG202" s="26" t="n">
        <v>0</v>
      </c>
      <c r="AH202" s="25"/>
      <c r="AI202" s="25" t="s">
        <v>291</v>
      </c>
      <c r="AJ202" s="25"/>
      <c r="AK202" s="25" t="n">
        <v>0</v>
      </c>
      <c r="AL202" s="26"/>
      <c r="AM202" s="26" t="s">
        <v>291</v>
      </c>
      <c r="AN202" s="26"/>
      <c r="AO202" s="26" t="n">
        <v>0</v>
      </c>
      <c r="AP202" s="25"/>
      <c r="AQ202" s="25" t="s">
        <v>291</v>
      </c>
      <c r="AR202" s="25"/>
      <c r="AS202" s="25" t="n">
        <v>0</v>
      </c>
      <c r="AT202" s="26"/>
      <c r="AU202" s="26" t="s">
        <v>291</v>
      </c>
      <c r="AV202" s="26"/>
      <c r="AW202" s="26" t="n">
        <v>0</v>
      </c>
      <c r="AX202" s="25"/>
      <c r="AY202" s="25"/>
      <c r="AZ202" s="25"/>
      <c r="BA202" s="25"/>
      <c r="BB202" s="26"/>
      <c r="BC202" s="26"/>
      <c r="BD202" s="26"/>
      <c r="BE202" s="33"/>
    </row>
    <row r="203" customFormat="false" ht="15" hidden="true" customHeight="false" outlineLevel="0" collapsed="false">
      <c r="A203" s="17" t="n">
        <v>351</v>
      </c>
      <c r="B203" s="18" t="s">
        <v>78</v>
      </c>
      <c r="C203" s="19" t="str">
        <f aca="false">_xlfn.xlookup(B203,[1]Clients!B$1:B$1048576,[1]Clients!C$1:C$1048576)</f>
        <v>Labelink</v>
      </c>
      <c r="D203" s="18" t="s">
        <v>400</v>
      </c>
      <c r="E203" s="19" t="str">
        <f aca="false">_xlfn.xlookup(D203,[1]Clients!B$1:B$1048576,[1]Clients!C$1:C$1048576)</f>
        <v>Labelink Toronto</v>
      </c>
      <c r="F203" s="20" t="n">
        <v>45335</v>
      </c>
      <c r="G203" s="21" t="s">
        <v>352</v>
      </c>
      <c r="H203" s="19" t="n">
        <v>144950</v>
      </c>
      <c r="I203" s="19" t="s">
        <v>401</v>
      </c>
      <c r="J203" s="21" t="n">
        <v>45709</v>
      </c>
      <c r="K203" s="19"/>
      <c r="L203" s="19" t="n">
        <v>0</v>
      </c>
      <c r="M203" s="19" t="s">
        <v>61</v>
      </c>
      <c r="N203" s="19" t="s">
        <v>123</v>
      </c>
      <c r="O203" s="22" t="n">
        <v>0</v>
      </c>
      <c r="P203" s="23" t="s">
        <v>88</v>
      </c>
      <c r="Q203" s="23" t="s">
        <v>88</v>
      </c>
      <c r="R203" s="25" t="n">
        <v>40297</v>
      </c>
      <c r="S203" s="25" t="s">
        <v>403</v>
      </c>
      <c r="T203" s="25" t="n">
        <v>1</v>
      </c>
      <c r="U203" s="25" t="n">
        <v>510</v>
      </c>
      <c r="V203" s="26"/>
      <c r="W203" s="26" t="s">
        <v>291</v>
      </c>
      <c r="X203" s="26"/>
      <c r="Y203" s="26" t="n">
        <v>0</v>
      </c>
      <c r="Z203" s="25"/>
      <c r="AA203" s="25" t="s">
        <v>291</v>
      </c>
      <c r="AB203" s="25"/>
      <c r="AC203" s="25" t="n">
        <v>0</v>
      </c>
      <c r="AD203" s="26"/>
      <c r="AE203" s="26" t="s">
        <v>291</v>
      </c>
      <c r="AF203" s="26"/>
      <c r="AG203" s="26" t="n">
        <v>0</v>
      </c>
      <c r="AH203" s="25"/>
      <c r="AI203" s="25" t="s">
        <v>291</v>
      </c>
      <c r="AJ203" s="25"/>
      <c r="AK203" s="25" t="n">
        <v>0</v>
      </c>
      <c r="AL203" s="26"/>
      <c r="AM203" s="26" t="s">
        <v>291</v>
      </c>
      <c r="AN203" s="26"/>
      <c r="AO203" s="26" t="n">
        <v>0</v>
      </c>
      <c r="AP203" s="25"/>
      <c r="AQ203" s="25" t="s">
        <v>291</v>
      </c>
      <c r="AR203" s="25"/>
      <c r="AS203" s="25" t="n">
        <v>0</v>
      </c>
      <c r="AT203" s="26"/>
      <c r="AU203" s="26" t="s">
        <v>291</v>
      </c>
      <c r="AV203" s="26"/>
      <c r="AW203" s="26" t="n">
        <v>0</v>
      </c>
      <c r="AX203" s="25"/>
      <c r="AY203" s="25"/>
      <c r="AZ203" s="25"/>
      <c r="BA203" s="25"/>
      <c r="BB203" s="26"/>
      <c r="BC203" s="26"/>
      <c r="BD203" s="26"/>
      <c r="BE203" s="33"/>
    </row>
    <row r="204" customFormat="false" ht="15" hidden="false" customHeight="false" outlineLevel="0" collapsed="false">
      <c r="A204" s="17" t="n">
        <f aca="false">A203+1</f>
        <v>352</v>
      </c>
      <c r="B204" s="18" t="s">
        <v>78</v>
      </c>
      <c r="C204" s="19" t="str">
        <f aca="false">_xlfn.xlookup(B204,[1]Clients!B$1:B$1048576,[1]Clients!C$1:C$1048576)</f>
        <v>Labelink</v>
      </c>
      <c r="D204" s="18" t="s">
        <v>400</v>
      </c>
      <c r="E204" s="19" t="str">
        <f aca="false">_xlfn.xlookup(D204,[1]Clients!B$1:B$1048576,[1]Clients!C$1:C$1048576)</f>
        <v>Labelink Toronto</v>
      </c>
      <c r="F204" s="20" t="n">
        <v>45335</v>
      </c>
      <c r="G204" s="21" t="s">
        <v>58</v>
      </c>
      <c r="H204" s="19" t="n">
        <v>144951</v>
      </c>
      <c r="I204" s="19" t="s">
        <v>401</v>
      </c>
      <c r="J204" s="21" t="n">
        <v>45709</v>
      </c>
      <c r="K204" s="19"/>
      <c r="L204" s="19" t="n">
        <v>0</v>
      </c>
      <c r="M204" s="19" t="s">
        <v>61</v>
      </c>
      <c r="N204" s="19" t="s">
        <v>123</v>
      </c>
      <c r="O204" s="22" t="n">
        <v>0</v>
      </c>
      <c r="P204" s="23" t="s">
        <v>88</v>
      </c>
      <c r="Q204" s="23" t="s">
        <v>88</v>
      </c>
      <c r="R204" s="25" t="n">
        <v>40298</v>
      </c>
      <c r="S204" s="25" t="s">
        <v>404</v>
      </c>
      <c r="T204" s="25" t="n">
        <v>6</v>
      </c>
      <c r="U204" s="25" t="n">
        <v>3600</v>
      </c>
      <c r="V204" s="26"/>
      <c r="W204" s="26" t="s">
        <v>291</v>
      </c>
      <c r="X204" s="26"/>
      <c r="Y204" s="26" t="n">
        <v>0</v>
      </c>
      <c r="Z204" s="25"/>
      <c r="AA204" s="25" t="s">
        <v>291</v>
      </c>
      <c r="AB204" s="25"/>
      <c r="AC204" s="25" t="n">
        <v>0</v>
      </c>
      <c r="AD204" s="26"/>
      <c r="AE204" s="26" t="s">
        <v>291</v>
      </c>
      <c r="AF204" s="26"/>
      <c r="AG204" s="26" t="n">
        <v>0</v>
      </c>
      <c r="AH204" s="29"/>
      <c r="AI204" s="29" t="s">
        <v>291</v>
      </c>
      <c r="AJ204" s="29"/>
      <c r="AK204" s="29" t="n">
        <v>0</v>
      </c>
      <c r="AL204" s="29"/>
      <c r="AM204" s="29" t="s">
        <v>291</v>
      </c>
      <c r="AN204" s="29"/>
      <c r="AO204" s="29" t="n">
        <v>0</v>
      </c>
      <c r="AP204" s="29"/>
      <c r="AQ204" s="29" t="s">
        <v>291</v>
      </c>
      <c r="AR204" s="29"/>
      <c r="AS204" s="29" t="n">
        <v>0</v>
      </c>
      <c r="AT204" s="29"/>
      <c r="AU204" s="29" t="s">
        <v>291</v>
      </c>
      <c r="AV204" s="29"/>
      <c r="AW204" s="29" t="n">
        <v>0</v>
      </c>
      <c r="AX204" s="29"/>
      <c r="AY204" s="29"/>
      <c r="AZ204" s="29"/>
      <c r="BA204" s="29"/>
      <c r="BB204" s="29"/>
      <c r="BC204" s="29"/>
      <c r="BD204" s="29"/>
      <c r="BE204" s="30"/>
    </row>
    <row r="205" customFormat="false" ht="15" hidden="false" customHeight="false" outlineLevel="0" collapsed="false">
      <c r="A205" s="17" t="n">
        <f aca="false">A204+1</f>
        <v>353</v>
      </c>
      <c r="B205" s="18" t="s">
        <v>120</v>
      </c>
      <c r="C205" s="19" t="str">
        <f aca="false">_xlfn.xlookup(B205,[1]Clients!B$1:B$1048576,[1]Clients!C$1:C$1048576)</f>
        <v>Mijo</v>
      </c>
      <c r="D205" s="18" t="s">
        <v>120</v>
      </c>
      <c r="E205" s="19" t="str">
        <f aca="false">_xlfn.xlookup(D205,[1]Clients!B$1:B$1048576,[1]Clients!C$1:C$1048576)</f>
        <v>Mijo</v>
      </c>
      <c r="F205" s="20" t="n">
        <v>45336</v>
      </c>
      <c r="G205" s="21" t="s">
        <v>58</v>
      </c>
      <c r="H205" s="19" t="n">
        <v>14369</v>
      </c>
      <c r="I205" s="19" t="s">
        <v>122</v>
      </c>
      <c r="J205" s="21" t="n">
        <v>45709</v>
      </c>
      <c r="K205" s="19"/>
      <c r="L205" s="19" t="n">
        <v>0</v>
      </c>
      <c r="M205" s="19" t="s">
        <v>74</v>
      </c>
      <c r="N205" s="19" t="s">
        <v>123</v>
      </c>
      <c r="O205" s="22" t="n">
        <v>0</v>
      </c>
      <c r="P205" s="23" t="s">
        <v>88</v>
      </c>
      <c r="Q205" s="23" t="s">
        <v>88</v>
      </c>
      <c r="R205" s="25" t="n">
        <v>40299</v>
      </c>
      <c r="S205" s="25" t="s">
        <v>340</v>
      </c>
      <c r="T205" s="25" t="n">
        <v>12</v>
      </c>
      <c r="U205" s="25" t="n">
        <v>14400</v>
      </c>
      <c r="V205" s="26"/>
      <c r="W205" s="26" t="s">
        <v>291</v>
      </c>
      <c r="X205" s="26"/>
      <c r="Y205" s="26" t="n">
        <v>0</v>
      </c>
      <c r="Z205" s="25"/>
      <c r="AA205" s="25" t="s">
        <v>291</v>
      </c>
      <c r="AB205" s="25"/>
      <c r="AC205" s="25" t="n">
        <v>0</v>
      </c>
      <c r="AD205" s="26"/>
      <c r="AE205" s="26" t="s">
        <v>291</v>
      </c>
      <c r="AF205" s="26"/>
      <c r="AG205" s="26" t="n">
        <v>0</v>
      </c>
      <c r="AH205" s="29"/>
      <c r="AI205" s="29" t="s">
        <v>291</v>
      </c>
      <c r="AJ205" s="29"/>
      <c r="AK205" s="29" t="n">
        <v>0</v>
      </c>
      <c r="AL205" s="29"/>
      <c r="AM205" s="29" t="s">
        <v>291</v>
      </c>
      <c r="AN205" s="29"/>
      <c r="AO205" s="29" t="n">
        <v>0</v>
      </c>
      <c r="AP205" s="29"/>
      <c r="AQ205" s="29" t="s">
        <v>291</v>
      </c>
      <c r="AR205" s="29"/>
      <c r="AS205" s="29" t="n">
        <v>0</v>
      </c>
      <c r="AT205" s="29"/>
      <c r="AU205" s="29" t="s">
        <v>291</v>
      </c>
      <c r="AV205" s="29"/>
      <c r="AW205" s="29" t="n">
        <v>0</v>
      </c>
      <c r="AX205" s="29"/>
      <c r="AY205" s="29"/>
      <c r="AZ205" s="29"/>
      <c r="BA205" s="29"/>
      <c r="BB205" s="29"/>
      <c r="BC205" s="29"/>
      <c r="BD205" s="29"/>
      <c r="BE205" s="30"/>
    </row>
    <row r="206" customFormat="false" ht="15" hidden="false" customHeight="false" outlineLevel="0" collapsed="false">
      <c r="A206" s="17" t="n">
        <f aca="false">A205+1</f>
        <v>354</v>
      </c>
      <c r="B206" s="18" t="s">
        <v>194</v>
      </c>
      <c r="C206" s="19" t="str">
        <f aca="false">_xlfn.xlookup(B206,[1]Clients!B$1:B$1048576,[1]Clients!C$1:C$1048576)</f>
        <v>IMS</v>
      </c>
      <c r="D206" s="18" t="s">
        <v>194</v>
      </c>
      <c r="E206" s="19" t="str">
        <f aca="false">_xlfn.xlookup(D206,[1]Clients!B$1:B$1048576,[1]Clients!C$1:C$1048576)</f>
        <v>IMS</v>
      </c>
      <c r="F206" s="20" t="n">
        <v>45339</v>
      </c>
      <c r="G206" s="21" t="s">
        <v>58</v>
      </c>
      <c r="H206" s="19" t="n">
        <v>2501937</v>
      </c>
      <c r="I206" s="19" t="s">
        <v>379</v>
      </c>
      <c r="J206" s="21" t="n">
        <v>45712</v>
      </c>
      <c r="K206" s="19"/>
      <c r="L206" s="19" t="n">
        <v>0</v>
      </c>
      <c r="M206" s="19" t="s">
        <v>74</v>
      </c>
      <c r="N206" s="19" t="s">
        <v>70</v>
      </c>
      <c r="O206" s="22" t="n">
        <v>5904</v>
      </c>
      <c r="P206" s="23" t="s">
        <v>88</v>
      </c>
      <c r="Q206" s="23" t="s">
        <v>88</v>
      </c>
      <c r="R206" s="25" t="n">
        <v>40300</v>
      </c>
      <c r="S206" s="25" t="s">
        <v>405</v>
      </c>
      <c r="T206" s="25" t="n">
        <v>4</v>
      </c>
      <c r="U206" s="25" t="n">
        <v>6120</v>
      </c>
      <c r="V206" s="26" t="n">
        <v>40285</v>
      </c>
      <c r="W206" s="26" t="s">
        <v>380</v>
      </c>
      <c r="X206" s="26" t="n">
        <v>1</v>
      </c>
      <c r="Y206" s="26" t="n">
        <v>1080</v>
      </c>
      <c r="Z206" s="25" t="n">
        <v>40300</v>
      </c>
      <c r="AA206" s="25" t="s">
        <v>405</v>
      </c>
      <c r="AB206" s="25" t="n">
        <v>4</v>
      </c>
      <c r="AC206" s="25" t="n">
        <v>6120</v>
      </c>
      <c r="AD206" s="26" t="n">
        <v>40285</v>
      </c>
      <c r="AE206" s="26" t="s">
        <v>380</v>
      </c>
      <c r="AF206" s="26" t="n">
        <v>1</v>
      </c>
      <c r="AG206" s="26" t="n">
        <v>1080</v>
      </c>
      <c r="AH206" s="29"/>
      <c r="AI206" s="29" t="s">
        <v>291</v>
      </c>
      <c r="AJ206" s="29"/>
      <c r="AK206" s="29" t="n">
        <v>0</v>
      </c>
      <c r="AL206" s="29"/>
      <c r="AM206" s="29" t="s">
        <v>291</v>
      </c>
      <c r="AN206" s="29"/>
      <c r="AO206" s="29" t="n">
        <v>0</v>
      </c>
      <c r="AP206" s="29"/>
      <c r="AQ206" s="29" t="s">
        <v>291</v>
      </c>
      <c r="AR206" s="29"/>
      <c r="AS206" s="29" t="n">
        <v>0</v>
      </c>
      <c r="AT206" s="29"/>
      <c r="AU206" s="29" t="s">
        <v>291</v>
      </c>
      <c r="AV206" s="29"/>
      <c r="AW206" s="29" t="n">
        <v>0</v>
      </c>
      <c r="AX206" s="29"/>
      <c r="AY206" s="29"/>
      <c r="AZ206" s="29"/>
      <c r="BA206" s="29"/>
      <c r="BB206" s="29"/>
      <c r="BC206" s="29"/>
      <c r="BD206" s="29"/>
      <c r="BE206" s="30"/>
    </row>
    <row r="207" customFormat="false" ht="15" hidden="false" customHeight="false" outlineLevel="0" collapsed="false">
      <c r="A207" s="17" t="n">
        <f aca="false">A206+1</f>
        <v>355</v>
      </c>
      <c r="B207" s="18" t="s">
        <v>300</v>
      </c>
      <c r="C207" s="19" t="str">
        <f aca="false">_xlfn.xlookup(B207,[1]Clients!B$1:B$1048576,[1]Clients!C$1:C$1048576)</f>
        <v>Select</v>
      </c>
      <c r="D207" s="18" t="s">
        <v>300</v>
      </c>
      <c r="E207" s="19" t="str">
        <f aca="false">_xlfn.xlookup(D207,[1]Clients!B$1:B$1048576,[1]Clients!C$1:C$1048576)</f>
        <v>Select</v>
      </c>
      <c r="F207" s="20" t="n">
        <v>45706</v>
      </c>
      <c r="G207" s="21" t="s">
        <v>58</v>
      </c>
      <c r="H207" s="19" t="s">
        <v>406</v>
      </c>
      <c r="I207" s="19" t="s">
        <v>407</v>
      </c>
      <c r="J207" s="21" t="n">
        <v>45713</v>
      </c>
      <c r="K207" s="19"/>
      <c r="L207" s="19" t="n">
        <v>0</v>
      </c>
      <c r="M207" s="19" t="s">
        <v>303</v>
      </c>
      <c r="N207" s="19" t="s">
        <v>70</v>
      </c>
      <c r="O207" s="22" t="n">
        <v>1256.4</v>
      </c>
      <c r="P207" s="23" t="s">
        <v>88</v>
      </c>
      <c r="Q207" s="23" t="s">
        <v>88</v>
      </c>
      <c r="R207" s="25"/>
      <c r="S207" s="25"/>
      <c r="T207" s="25"/>
      <c r="U207" s="25"/>
      <c r="V207" s="26"/>
      <c r="W207" s="26"/>
      <c r="X207" s="26"/>
      <c r="Y207" s="26"/>
      <c r="Z207" s="25"/>
      <c r="AA207" s="25"/>
      <c r="AB207" s="25"/>
      <c r="AC207" s="25"/>
      <c r="AD207" s="26"/>
      <c r="AE207" s="26"/>
      <c r="AF207" s="26"/>
      <c r="AG207" s="26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  <c r="AX207" s="29"/>
      <c r="AY207" s="29"/>
      <c r="AZ207" s="29"/>
      <c r="BA207" s="29"/>
      <c r="BB207" s="29"/>
      <c r="BC207" s="29"/>
      <c r="BD207" s="29"/>
      <c r="BE207" s="30"/>
    </row>
    <row r="208" customFormat="false" ht="15" hidden="false" customHeight="false" outlineLevel="0" collapsed="false">
      <c r="A208" s="17" t="n">
        <f aca="false">A207+1</f>
        <v>356</v>
      </c>
      <c r="B208" s="18" t="s">
        <v>131</v>
      </c>
      <c r="C208" s="19" t="str">
        <f aca="false">_xlfn.xlookup(B208,[1]Clients!B$1:B$1048576,[1]Clients!C$1:C$1048576)</f>
        <v>LabelEdge</v>
      </c>
      <c r="D208" s="18" t="s">
        <v>131</v>
      </c>
      <c r="E208" s="19" t="str">
        <f aca="false">_xlfn.xlookup(D208,[1]Clients!B$1:B$1048576,[1]Clients!C$1:C$1048576)</f>
        <v>LabelEdge</v>
      </c>
      <c r="F208" s="20" t="n">
        <v>45706</v>
      </c>
      <c r="G208" s="21" t="s">
        <v>58</v>
      </c>
      <c r="H208" s="19" t="s">
        <v>408</v>
      </c>
      <c r="I208" s="19"/>
      <c r="J208" s="21" t="n">
        <v>45719</v>
      </c>
      <c r="K208" s="19"/>
      <c r="L208" s="19" t="n">
        <v>0</v>
      </c>
      <c r="M208" s="19" t="s">
        <v>74</v>
      </c>
      <c r="N208" s="19" t="s">
        <v>133</v>
      </c>
      <c r="O208" s="22" t="n">
        <v>0</v>
      </c>
      <c r="P208" s="23" t="s">
        <v>88</v>
      </c>
      <c r="Q208" s="23" t="s">
        <v>88</v>
      </c>
      <c r="R208" s="25"/>
      <c r="S208" s="25"/>
      <c r="T208" s="25"/>
      <c r="U208" s="25"/>
      <c r="V208" s="26"/>
      <c r="W208" s="26"/>
      <c r="X208" s="26"/>
      <c r="Y208" s="26"/>
      <c r="Z208" s="25"/>
      <c r="AA208" s="25"/>
      <c r="AB208" s="25"/>
      <c r="AC208" s="25"/>
      <c r="AD208" s="26"/>
      <c r="AE208" s="26"/>
      <c r="AF208" s="26"/>
      <c r="AG208" s="26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  <c r="AX208" s="29"/>
      <c r="AY208" s="29"/>
      <c r="AZ208" s="29"/>
      <c r="BA208" s="29"/>
      <c r="BB208" s="29"/>
      <c r="BC208" s="29"/>
      <c r="BD208" s="29"/>
      <c r="BE208" s="30"/>
    </row>
    <row r="209" customFormat="false" ht="15" hidden="false" customHeight="false" outlineLevel="0" collapsed="false">
      <c r="A209" s="17" t="n">
        <f aca="false">A208+1</f>
        <v>357</v>
      </c>
      <c r="B209" s="18" t="s">
        <v>63</v>
      </c>
      <c r="C209" s="19" t="str">
        <f aca="false">_xlfn.xlookup(B209,[1]Clients!B$1:B$1048576,[1]Clients!C$1:C$1048576)</f>
        <v>Digi</v>
      </c>
      <c r="D209" s="18" t="s">
        <v>63</v>
      </c>
      <c r="E209" s="19" t="str">
        <f aca="false">_xlfn.xlookup(D209,[1]Clients!B$1:B$1048576,[1]Clients!C$1:C$1048576)</f>
        <v>Digi</v>
      </c>
      <c r="F209" s="20" t="n">
        <v>45707</v>
      </c>
      <c r="G209" s="21" t="s">
        <v>58</v>
      </c>
      <c r="H209" s="19" t="n">
        <v>50009215</v>
      </c>
      <c r="I209" s="19" t="s">
        <v>409</v>
      </c>
      <c r="J209" s="21" t="n">
        <v>45714</v>
      </c>
      <c r="K209" s="19"/>
      <c r="L209" s="19" t="n">
        <v>0</v>
      </c>
      <c r="M209" s="19" t="s">
        <v>61</v>
      </c>
      <c r="N209" s="19" t="s">
        <v>65</v>
      </c>
      <c r="O209" s="22" t="n">
        <v>13392</v>
      </c>
      <c r="P209" s="23" t="s">
        <v>77</v>
      </c>
      <c r="Q209" s="23" t="s">
        <v>77</v>
      </c>
      <c r="R209" s="25"/>
      <c r="S209" s="25"/>
      <c r="T209" s="25"/>
      <c r="U209" s="25"/>
      <c r="V209" s="26"/>
      <c r="W209" s="26"/>
      <c r="X209" s="26"/>
      <c r="Y209" s="26"/>
      <c r="Z209" s="25"/>
      <c r="AA209" s="25"/>
      <c r="AB209" s="25"/>
      <c r="AC209" s="25"/>
      <c r="AD209" s="26"/>
      <c r="AE209" s="26"/>
      <c r="AF209" s="26"/>
      <c r="AG209" s="26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  <c r="AX209" s="29"/>
      <c r="AY209" s="29"/>
      <c r="AZ209" s="29"/>
      <c r="BA209" s="29"/>
      <c r="BB209" s="29"/>
      <c r="BC209" s="29"/>
      <c r="BD209" s="29"/>
      <c r="BE209" s="30"/>
    </row>
    <row r="210" customFormat="false" ht="15" hidden="false" customHeight="false" outlineLevel="0" collapsed="false">
      <c r="A210" s="17" t="n">
        <f aca="false">A209+1</f>
        <v>358</v>
      </c>
      <c r="B210" s="18" t="s">
        <v>159</v>
      </c>
      <c r="C210" s="19" t="str">
        <f aca="false">_xlfn.xlookup(B210,[1]Clients!B$1:B$1048576,[1]Clients!C$1:C$1048576)</f>
        <v>Damaflex</v>
      </c>
      <c r="D210" s="18" t="s">
        <v>160</v>
      </c>
      <c r="E210" s="19" t="str">
        <f aca="false">_xlfn.xlookup(D210,[1]Clients!B$1:B$1048576,[1]Clients!C$1:C$1048576)</f>
        <v>Damaflex livraison</v>
      </c>
      <c r="F210" s="20" t="n">
        <v>45707</v>
      </c>
      <c r="G210" s="21" t="s">
        <v>58</v>
      </c>
      <c r="H210" s="19" t="n">
        <v>179201</v>
      </c>
      <c r="I210" s="19" t="s">
        <v>161</v>
      </c>
      <c r="J210" s="21" t="n">
        <v>45714</v>
      </c>
      <c r="K210" s="19"/>
      <c r="L210" s="19" t="n">
        <v>0</v>
      </c>
      <c r="M210" s="19" t="s">
        <v>74</v>
      </c>
      <c r="N210" s="19" t="s">
        <v>70</v>
      </c>
      <c r="O210" s="22" t="n">
        <v>3194.7624</v>
      </c>
      <c r="P210" s="23" t="s">
        <v>88</v>
      </c>
      <c r="Q210" s="23" t="s">
        <v>88</v>
      </c>
      <c r="R210" s="25"/>
      <c r="S210" s="25"/>
      <c r="T210" s="25"/>
      <c r="U210" s="25"/>
      <c r="V210" s="26"/>
      <c r="W210" s="26"/>
      <c r="X210" s="26"/>
      <c r="Y210" s="26"/>
      <c r="Z210" s="25"/>
      <c r="AA210" s="25"/>
      <c r="AB210" s="25"/>
      <c r="AC210" s="25"/>
      <c r="AD210" s="26"/>
      <c r="AE210" s="26"/>
      <c r="AF210" s="26"/>
      <c r="AG210" s="26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  <c r="AX210" s="29"/>
      <c r="AY210" s="29"/>
      <c r="AZ210" s="29"/>
      <c r="BA210" s="29"/>
      <c r="BB210" s="29"/>
      <c r="BC210" s="29"/>
      <c r="BD210" s="29"/>
      <c r="BE210" s="30"/>
    </row>
    <row r="211" customFormat="false" ht="15" hidden="false" customHeight="false" outlineLevel="0" collapsed="false">
      <c r="A211" s="17" t="n">
        <f aca="false">A210+1</f>
        <v>359</v>
      </c>
      <c r="B211" s="18" t="s">
        <v>94</v>
      </c>
      <c r="C211" s="19" t="str">
        <f aca="false">_xlfn.xlookup(B211,[1]Clients!B$1:B$1048576,[1]Clients!C$1:C$1048576)</f>
        <v>IMPSJ</v>
      </c>
      <c r="D211" s="18" t="s">
        <v>94</v>
      </c>
      <c r="E211" s="19" t="str">
        <f aca="false">_xlfn.xlookup(D211,[1]Clients!B$1:B$1048576,[1]Clients!C$1:C$1048576)</f>
        <v>IMPSJ</v>
      </c>
      <c r="F211" s="20" t="n">
        <v>45707</v>
      </c>
      <c r="G211" s="21" t="s">
        <v>58</v>
      </c>
      <c r="H211" s="19" t="n">
        <v>107832</v>
      </c>
      <c r="I211" s="19" t="s">
        <v>118</v>
      </c>
      <c r="J211" s="21" t="n">
        <v>45716</v>
      </c>
      <c r="K211" s="19"/>
      <c r="L211" s="19" t="n">
        <v>0</v>
      </c>
      <c r="M211" s="19" t="s">
        <v>74</v>
      </c>
      <c r="N211" s="19" t="s">
        <v>107</v>
      </c>
      <c r="O211" s="22" t="n">
        <v>1008</v>
      </c>
      <c r="P211" s="23" t="s">
        <v>77</v>
      </c>
      <c r="Q211" s="23" t="s">
        <v>77</v>
      </c>
      <c r="R211" s="25"/>
      <c r="S211" s="25"/>
      <c r="T211" s="25"/>
      <c r="U211" s="25"/>
      <c r="V211" s="26"/>
      <c r="W211" s="26"/>
      <c r="X211" s="26"/>
      <c r="Y211" s="26"/>
      <c r="Z211" s="25"/>
      <c r="AA211" s="25"/>
      <c r="AB211" s="25"/>
      <c r="AC211" s="25"/>
      <c r="AD211" s="26"/>
      <c r="AE211" s="26"/>
      <c r="AF211" s="26"/>
      <c r="AG211" s="26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  <c r="AX211" s="29"/>
      <c r="AY211" s="29"/>
      <c r="AZ211" s="29"/>
      <c r="BA211" s="29"/>
      <c r="BB211" s="29"/>
      <c r="BC211" s="29"/>
      <c r="BD211" s="29"/>
      <c r="BE211" s="30"/>
    </row>
    <row r="212" customFormat="false" ht="15" hidden="false" customHeight="false" outlineLevel="0" collapsed="false">
      <c r="A212" s="17" t="n">
        <f aca="false">A211+1</f>
        <v>360</v>
      </c>
      <c r="B212" s="18" t="s">
        <v>248</v>
      </c>
      <c r="C212" s="19" t="str">
        <f aca="false">_xlfn.xlookup(B212,[1]Clients!B$1:B$1048576,[1]Clients!C$1:C$1048576)</f>
        <v>Unik</v>
      </c>
      <c r="D212" s="18" t="s">
        <v>248</v>
      </c>
      <c r="E212" s="19" t="str">
        <f aca="false">_xlfn.xlookup(D212,[1]Clients!B$1:B$1048576,[1]Clients!C$1:C$1048576)</f>
        <v>Unik</v>
      </c>
      <c r="F212" s="20" t="n">
        <v>45707</v>
      </c>
      <c r="G212" s="21" t="s">
        <v>58</v>
      </c>
      <c r="H212" s="19" t="s">
        <v>410</v>
      </c>
      <c r="I212" s="19" t="s">
        <v>411</v>
      </c>
      <c r="J212" s="21" t="n">
        <v>45716</v>
      </c>
      <c r="K212" s="19"/>
      <c r="L212" s="19" t="n">
        <v>0</v>
      </c>
      <c r="M212" s="19" t="s">
        <v>74</v>
      </c>
      <c r="N212" s="19" t="s">
        <v>70</v>
      </c>
      <c r="O212" s="22" t="n">
        <v>3398.4</v>
      </c>
      <c r="P212" s="23" t="s">
        <v>88</v>
      </c>
      <c r="Q212" s="23" t="s">
        <v>88</v>
      </c>
      <c r="R212" s="25"/>
      <c r="S212" s="25"/>
      <c r="T212" s="25"/>
      <c r="U212" s="25"/>
      <c r="V212" s="26"/>
      <c r="W212" s="26"/>
      <c r="X212" s="26"/>
      <c r="Y212" s="26"/>
      <c r="Z212" s="25"/>
      <c r="AA212" s="25"/>
      <c r="AB212" s="25"/>
      <c r="AC212" s="25"/>
      <c r="AD212" s="26"/>
      <c r="AE212" s="26"/>
      <c r="AF212" s="26"/>
      <c r="AG212" s="26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  <c r="AX212" s="29"/>
      <c r="AY212" s="29"/>
      <c r="AZ212" s="29"/>
      <c r="BA212" s="29"/>
      <c r="BB212" s="29"/>
      <c r="BC212" s="29"/>
      <c r="BD212" s="29"/>
      <c r="BE212" s="30"/>
    </row>
    <row r="213" customFormat="false" ht="15" hidden="false" customHeight="false" outlineLevel="0" collapsed="false">
      <c r="A213" s="17" t="n">
        <f aca="false">A212+1</f>
        <v>361</v>
      </c>
      <c r="B213" s="18" t="s">
        <v>94</v>
      </c>
      <c r="C213" s="19" t="str">
        <f aca="false">_xlfn.xlookup(B213,[1]Clients!B$1:B$1048576,[1]Clients!C$1:C$1048576)</f>
        <v>IMPSJ</v>
      </c>
      <c r="D213" s="18" t="s">
        <v>94</v>
      </c>
      <c r="E213" s="19" t="str">
        <f aca="false">_xlfn.xlookup(D213,[1]Clients!B$1:B$1048576,[1]Clients!C$1:C$1048576)</f>
        <v>IMPSJ</v>
      </c>
      <c r="F213" s="20" t="n">
        <v>45708</v>
      </c>
      <c r="G213" s="21" t="s">
        <v>58</v>
      </c>
      <c r="H213" s="19" t="n">
        <v>107899</v>
      </c>
      <c r="I213" s="19" t="s">
        <v>118</v>
      </c>
      <c r="J213" s="21" t="n">
        <v>45716</v>
      </c>
      <c r="K213" s="19"/>
      <c r="L213" s="19" t="n">
        <v>0</v>
      </c>
      <c r="M213" s="19" t="s">
        <v>74</v>
      </c>
      <c r="N213" s="19" t="s">
        <v>107</v>
      </c>
      <c r="O213" s="22" t="n">
        <v>2016</v>
      </c>
      <c r="P213" s="23" t="s">
        <v>77</v>
      </c>
      <c r="Q213" s="23" t="s">
        <v>77</v>
      </c>
      <c r="R213" s="25"/>
      <c r="S213" s="25"/>
      <c r="T213" s="25"/>
      <c r="U213" s="25"/>
      <c r="V213" s="26"/>
      <c r="W213" s="26"/>
      <c r="X213" s="26"/>
      <c r="Y213" s="26"/>
      <c r="Z213" s="25"/>
      <c r="AA213" s="25"/>
      <c r="AB213" s="25"/>
      <c r="AC213" s="25"/>
      <c r="AD213" s="26"/>
      <c r="AE213" s="26"/>
      <c r="AF213" s="26"/>
      <c r="AG213" s="26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  <c r="AX213" s="29"/>
      <c r="AY213" s="29"/>
      <c r="AZ213" s="29"/>
      <c r="BA213" s="29"/>
      <c r="BB213" s="29"/>
      <c r="BC213" s="29"/>
      <c r="BD213" s="29"/>
      <c r="BE213" s="30"/>
    </row>
    <row r="214" customFormat="false" ht="15" hidden="false" customHeight="false" outlineLevel="0" collapsed="false">
      <c r="A214" s="17" t="n">
        <f aca="false">A213+1</f>
        <v>362</v>
      </c>
      <c r="B214" s="18" t="s">
        <v>94</v>
      </c>
      <c r="C214" s="19" t="str">
        <f aca="false">_xlfn.xlookup(B214,[1]Clients!B$1:B$1048576,[1]Clients!C$1:C$1048576)</f>
        <v>IMPSJ</v>
      </c>
      <c r="D214" s="18" t="s">
        <v>94</v>
      </c>
      <c r="E214" s="19" t="str">
        <f aca="false">_xlfn.xlookup(D214,[1]Clients!B$1:B$1048576,[1]Clients!C$1:C$1048576)</f>
        <v>IMPSJ</v>
      </c>
      <c r="F214" s="20" t="n">
        <v>45709</v>
      </c>
      <c r="G214" s="21" t="s">
        <v>58</v>
      </c>
      <c r="H214" s="19" t="n">
        <v>107945</v>
      </c>
      <c r="I214" s="19" t="s">
        <v>118</v>
      </c>
      <c r="J214" s="21" t="n">
        <v>45716</v>
      </c>
      <c r="K214" s="19"/>
      <c r="L214" s="19" t="n">
        <v>0</v>
      </c>
      <c r="M214" s="19" t="s">
        <v>74</v>
      </c>
      <c r="N214" s="19" t="s">
        <v>107</v>
      </c>
      <c r="O214" s="22" t="n">
        <v>972</v>
      </c>
      <c r="P214" s="23" t="s">
        <v>77</v>
      </c>
      <c r="Q214" s="23" t="s">
        <v>77</v>
      </c>
      <c r="R214" s="25"/>
      <c r="S214" s="25"/>
      <c r="T214" s="25"/>
      <c r="U214" s="25"/>
      <c r="V214" s="26"/>
      <c r="W214" s="26"/>
      <c r="X214" s="26"/>
      <c r="Y214" s="26"/>
      <c r="Z214" s="25"/>
      <c r="AA214" s="25"/>
      <c r="AB214" s="25"/>
      <c r="AC214" s="25"/>
      <c r="AD214" s="26"/>
      <c r="AE214" s="26"/>
      <c r="AF214" s="26"/>
      <c r="AG214" s="26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  <c r="AX214" s="29"/>
      <c r="AY214" s="29"/>
      <c r="AZ214" s="29"/>
      <c r="BA214" s="29"/>
      <c r="BB214" s="29"/>
      <c r="BC214" s="29"/>
      <c r="BD214" s="29"/>
      <c r="BE214" s="30"/>
    </row>
    <row r="215" customFormat="false" ht="15" hidden="false" customHeight="false" outlineLevel="0" collapsed="false">
      <c r="A215" s="17" t="n">
        <f aca="false">A214+1</f>
        <v>363</v>
      </c>
      <c r="B215" s="18" t="s">
        <v>131</v>
      </c>
      <c r="C215" s="19" t="str">
        <f aca="false">_xlfn.xlookup(B215,[1]Clients!B$1:B$1048576,[1]Clients!C$1:C$1048576)</f>
        <v>LabelEdge</v>
      </c>
      <c r="D215" s="18" t="s">
        <v>131</v>
      </c>
      <c r="E215" s="19" t="str">
        <f aca="false">_xlfn.xlookup(D215,[1]Clients!B$1:B$1048576,[1]Clients!C$1:C$1048576)</f>
        <v>LabelEdge</v>
      </c>
      <c r="F215" s="20" t="n">
        <v>45712</v>
      </c>
      <c r="G215" s="21" t="s">
        <v>58</v>
      </c>
      <c r="H215" s="19" t="s">
        <v>412</v>
      </c>
      <c r="I215" s="19"/>
      <c r="J215" s="21" t="n">
        <v>45714</v>
      </c>
      <c r="K215" s="19"/>
      <c r="L215" s="19" t="n">
        <v>0</v>
      </c>
      <c r="M215" s="19" t="s">
        <v>74</v>
      </c>
      <c r="N215" s="19" t="s">
        <v>133</v>
      </c>
      <c r="O215" s="22" t="n">
        <v>0</v>
      </c>
      <c r="P215" s="23" t="s">
        <v>88</v>
      </c>
      <c r="Q215" s="23" t="s">
        <v>88</v>
      </c>
      <c r="R215" s="25"/>
      <c r="S215" s="25"/>
      <c r="T215" s="25"/>
      <c r="U215" s="25"/>
      <c r="V215" s="26"/>
      <c r="W215" s="26"/>
      <c r="X215" s="26"/>
      <c r="Y215" s="26"/>
      <c r="Z215" s="25"/>
      <c r="AA215" s="25"/>
      <c r="AB215" s="25"/>
      <c r="AC215" s="25"/>
      <c r="AD215" s="26"/>
      <c r="AE215" s="26"/>
      <c r="AF215" s="26"/>
      <c r="AG215" s="26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  <c r="AX215" s="29"/>
      <c r="AY215" s="29"/>
      <c r="AZ215" s="29"/>
      <c r="BA215" s="29"/>
      <c r="BB215" s="29"/>
      <c r="BC215" s="29"/>
      <c r="BD215" s="29"/>
      <c r="BE215" s="30"/>
    </row>
    <row r="216" customFormat="false" ht="15" hidden="false" customHeight="false" outlineLevel="0" collapsed="false">
      <c r="A216" s="17" t="n">
        <f aca="false">A215+1</f>
        <v>364</v>
      </c>
      <c r="B216" s="18" t="s">
        <v>300</v>
      </c>
      <c r="C216" s="19" t="str">
        <f aca="false">_xlfn.xlookup(B216,[1]Clients!B$1:B$1048576,[1]Clients!C$1:C$1048576)</f>
        <v>Select</v>
      </c>
      <c r="D216" s="18" t="s">
        <v>300</v>
      </c>
      <c r="E216" s="19" t="str">
        <f aca="false">_xlfn.xlookup(D216,[1]Clients!B$1:B$1048576,[1]Clients!C$1:C$1048576)</f>
        <v>Select</v>
      </c>
      <c r="F216" s="20" t="n">
        <v>45712</v>
      </c>
      <c r="G216" s="21" t="s">
        <v>58</v>
      </c>
      <c r="H216" s="19" t="s">
        <v>413</v>
      </c>
      <c r="I216" s="19" t="s">
        <v>407</v>
      </c>
      <c r="J216" s="21" t="n">
        <v>45721</v>
      </c>
      <c r="K216" s="19"/>
      <c r="L216" s="19" t="n">
        <v>0</v>
      </c>
      <c r="M216" s="19" t="s">
        <v>303</v>
      </c>
      <c r="N216" s="19" t="s">
        <v>70</v>
      </c>
      <c r="O216" s="22" t="n">
        <v>3398.4</v>
      </c>
      <c r="P216" s="23" t="s">
        <v>88</v>
      </c>
      <c r="Q216" s="23" t="s">
        <v>88</v>
      </c>
      <c r="R216" s="25"/>
      <c r="S216" s="25"/>
      <c r="T216" s="25"/>
      <c r="U216" s="25"/>
      <c r="V216" s="26"/>
      <c r="W216" s="26"/>
      <c r="X216" s="26"/>
      <c r="Y216" s="26"/>
      <c r="Z216" s="25"/>
      <c r="AA216" s="25"/>
      <c r="AB216" s="25"/>
      <c r="AC216" s="25"/>
      <c r="AD216" s="26"/>
      <c r="AE216" s="26"/>
      <c r="AF216" s="26"/>
      <c r="AG216" s="26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  <c r="AX216" s="29"/>
      <c r="AY216" s="29"/>
      <c r="AZ216" s="29"/>
      <c r="BA216" s="29"/>
      <c r="BB216" s="29"/>
      <c r="BC216" s="29"/>
      <c r="BD216" s="29"/>
      <c r="BE216" s="30"/>
    </row>
    <row r="217" customFormat="false" ht="15" hidden="false" customHeight="false" outlineLevel="0" collapsed="false">
      <c r="A217" s="17" t="n">
        <v>365</v>
      </c>
      <c r="B217" s="18" t="s">
        <v>194</v>
      </c>
      <c r="C217" s="19" t="str">
        <f aca="false">_xlfn.xlookup(B217,[1]Clients!B$1:B$1048576,[1]Clients!C$1:C$1048576)</f>
        <v>IMS</v>
      </c>
      <c r="D217" s="18" t="s">
        <v>194</v>
      </c>
      <c r="E217" s="19" t="str">
        <f aca="false">_xlfn.xlookup(D217,[1]Clients!B$1:B$1048576,[1]Clients!C$1:C$1048576)</f>
        <v>IMS</v>
      </c>
      <c r="F217" s="20" t="n">
        <v>45713</v>
      </c>
      <c r="G217" s="21" t="s">
        <v>58</v>
      </c>
      <c r="H217" s="19" t="n">
        <v>2501994</v>
      </c>
      <c r="I217" s="19" t="s">
        <v>379</v>
      </c>
      <c r="J217" s="21" t="n">
        <v>45720</v>
      </c>
      <c r="K217" s="19"/>
      <c r="L217" s="19" t="n">
        <v>0</v>
      </c>
      <c r="M217" s="19" t="s">
        <v>74</v>
      </c>
      <c r="N217" s="19" t="s">
        <v>70</v>
      </c>
      <c r="O217" s="22" t="n">
        <v>2952</v>
      </c>
      <c r="P217" s="23" t="s">
        <v>88</v>
      </c>
      <c r="Q217" s="23" t="s">
        <v>88</v>
      </c>
      <c r="R217" s="25"/>
      <c r="S217" s="25"/>
      <c r="T217" s="25"/>
      <c r="U217" s="25"/>
      <c r="V217" s="26"/>
      <c r="W217" s="26"/>
      <c r="X217" s="26"/>
      <c r="Y217" s="26"/>
      <c r="Z217" s="25"/>
      <c r="AA217" s="25"/>
      <c r="AB217" s="25"/>
      <c r="AC217" s="25"/>
      <c r="AD217" s="26"/>
      <c r="AE217" s="26"/>
      <c r="AF217" s="26"/>
      <c r="AG217" s="26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  <c r="AX217" s="29"/>
      <c r="AY217" s="29"/>
      <c r="AZ217" s="29"/>
      <c r="BA217" s="29"/>
      <c r="BB217" s="29"/>
      <c r="BC217" s="29"/>
      <c r="BD217" s="29"/>
      <c r="BE217" s="30"/>
    </row>
    <row r="218" customFormat="false" ht="15" hidden="false" customHeight="false" outlineLevel="0" collapsed="false">
      <c r="A218" s="17" t="n">
        <v>366</v>
      </c>
      <c r="B218" s="18" t="s">
        <v>94</v>
      </c>
      <c r="C218" s="19" t="str">
        <f aca="false">_xlfn.xlookup(B218,[1]Clients!B$1:B$1048576,[1]Clients!C$1:C$1048576)</f>
        <v>IMPSJ</v>
      </c>
      <c r="D218" s="18" t="s">
        <v>94</v>
      </c>
      <c r="E218" s="19" t="str">
        <f aca="false">_xlfn.xlookup(D218,[1]Clients!B$1:B$1048576,[1]Clients!C$1:C$1048576)</f>
        <v>IMPSJ</v>
      </c>
      <c r="F218" s="20" t="n">
        <v>45714</v>
      </c>
      <c r="G218" s="21" t="s">
        <v>58</v>
      </c>
      <c r="H218" s="19" t="n">
        <v>108029</v>
      </c>
      <c r="I218" s="19" t="s">
        <v>118</v>
      </c>
      <c r="J218" s="21" t="n">
        <v>45716</v>
      </c>
      <c r="K218" s="19"/>
      <c r="L218" s="19" t="n">
        <v>0</v>
      </c>
      <c r="M218" s="19" t="s">
        <v>74</v>
      </c>
      <c r="N218" s="19" t="s">
        <v>107</v>
      </c>
      <c r="O218" s="22" t="n">
        <v>1008</v>
      </c>
      <c r="P218" s="23" t="s">
        <v>77</v>
      </c>
      <c r="Q218" s="23" t="s">
        <v>77</v>
      </c>
      <c r="R218" s="25"/>
      <c r="S218" s="25"/>
      <c r="T218" s="25"/>
      <c r="U218" s="25"/>
      <c r="V218" s="26"/>
      <c r="W218" s="26"/>
      <c r="X218" s="26"/>
      <c r="Y218" s="26"/>
      <c r="Z218" s="25"/>
      <c r="AA218" s="25"/>
      <c r="AB218" s="25"/>
      <c r="AC218" s="25"/>
      <c r="AD218" s="26"/>
      <c r="AE218" s="26"/>
      <c r="AF218" s="26"/>
      <c r="AG218" s="26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  <c r="AX218" s="29"/>
      <c r="AY218" s="29"/>
      <c r="AZ218" s="29"/>
      <c r="BA218" s="29"/>
      <c r="BB218" s="29"/>
      <c r="BC218" s="29"/>
      <c r="BD218" s="29"/>
      <c r="BE218" s="30"/>
    </row>
    <row r="219" customFormat="false" ht="15" hidden="false" customHeight="false" outlineLevel="0" collapsed="false">
      <c r="A219" s="17" t="n">
        <f aca="false">A218+1</f>
        <v>367</v>
      </c>
      <c r="B219" s="18" t="s">
        <v>63</v>
      </c>
      <c r="C219" s="19" t="str">
        <f aca="false">_xlfn.xlookup(B219,[1]Clients!B$1:B$1048576,[1]Clients!C$1:C$1048576)</f>
        <v>Digi</v>
      </c>
      <c r="D219" s="18" t="s">
        <v>63</v>
      </c>
      <c r="E219" s="19" t="str">
        <f aca="false">_xlfn.xlookup(D219,[1]Clients!B$1:B$1048576,[1]Clients!C$1:C$1048576)</f>
        <v>Digi</v>
      </c>
      <c r="F219" s="20" t="n">
        <v>45714</v>
      </c>
      <c r="G219" s="21" t="s">
        <v>58</v>
      </c>
      <c r="H219" s="19" t="n">
        <v>50009243</v>
      </c>
      <c r="I219" s="19" t="s">
        <v>409</v>
      </c>
      <c r="J219" s="21" t="n">
        <v>45723</v>
      </c>
      <c r="K219" s="19"/>
      <c r="L219" s="19" t="n">
        <v>0</v>
      </c>
      <c r="M219" s="19" t="s">
        <v>61</v>
      </c>
      <c r="N219" s="19" t="s">
        <v>65</v>
      </c>
      <c r="O219" s="22" t="n">
        <v>16014.6</v>
      </c>
      <c r="P219" s="23" t="s">
        <v>77</v>
      </c>
      <c r="Q219" s="23" t="s">
        <v>77</v>
      </c>
      <c r="R219" s="25"/>
      <c r="S219" s="34"/>
      <c r="T219" s="25"/>
      <c r="U219" s="25"/>
      <c r="V219" s="26"/>
      <c r="W219" s="1"/>
      <c r="X219" s="26"/>
      <c r="Y219" s="26"/>
      <c r="Z219" s="25"/>
      <c r="AA219" s="34"/>
      <c r="AB219" s="25"/>
      <c r="AC219" s="25"/>
      <c r="AD219" s="26"/>
      <c r="AE219" s="1"/>
      <c r="AF219" s="26"/>
      <c r="AG219" s="26"/>
      <c r="AH219" s="27"/>
      <c r="AI219" s="27"/>
      <c r="AJ219" s="27"/>
      <c r="AK219" s="27"/>
      <c r="AL219" s="27"/>
      <c r="AM219" s="27"/>
      <c r="AN219" s="27"/>
      <c r="AO219" s="27"/>
      <c r="AP219" s="27"/>
      <c r="AQ219" s="27"/>
      <c r="AR219" s="27"/>
      <c r="AS219" s="27"/>
      <c r="AT219" s="27"/>
      <c r="AU219" s="27"/>
      <c r="AV219" s="27"/>
      <c r="AW219" s="27"/>
      <c r="AX219" s="27"/>
      <c r="AY219" s="27"/>
      <c r="AZ219" s="27"/>
      <c r="BA219" s="27"/>
      <c r="BB219" s="27"/>
      <c r="BC219" s="27"/>
      <c r="BD219" s="27"/>
      <c r="BE219" s="28"/>
    </row>
    <row r="220" customFormat="false" ht="15" hidden="false" customHeight="false" outlineLevel="0" collapsed="false">
      <c r="A220" s="17" t="n">
        <f aca="false">A219+1</f>
        <v>368</v>
      </c>
      <c r="B220" s="18" t="s">
        <v>210</v>
      </c>
      <c r="C220" s="19" t="str">
        <f aca="false">_xlfn.xlookup(B220,[1]Clients!B$1:B$1048576,[1]Clients!C$1:C$1048576)</f>
        <v>3G</v>
      </c>
      <c r="D220" s="18" t="s">
        <v>210</v>
      </c>
      <c r="E220" s="19" t="str">
        <f aca="false">_xlfn.xlookup(D220,[1]Clients!B$1:B$1048576,[1]Clients!C$1:C$1048576)</f>
        <v>3G</v>
      </c>
      <c r="F220" s="20" t="n">
        <v>45714</v>
      </c>
      <c r="G220" s="21" t="s">
        <v>58</v>
      </c>
      <c r="H220" s="19" t="n">
        <v>3095</v>
      </c>
      <c r="I220" s="19" t="s">
        <v>211</v>
      </c>
      <c r="J220" s="21" t="n">
        <v>45723</v>
      </c>
      <c r="K220" s="19"/>
      <c r="L220" s="19" t="n">
        <v>0</v>
      </c>
      <c r="M220" s="19" t="s">
        <v>61</v>
      </c>
      <c r="N220" s="19" t="s">
        <v>123</v>
      </c>
      <c r="O220" s="22" t="n">
        <v>2270.06208</v>
      </c>
      <c r="P220" s="23" t="s">
        <v>88</v>
      </c>
      <c r="Q220" s="23" t="s">
        <v>88</v>
      </c>
      <c r="R220" s="25"/>
      <c r="S220" s="34"/>
      <c r="T220" s="25"/>
      <c r="U220" s="25"/>
      <c r="V220" s="26"/>
      <c r="W220" s="1"/>
      <c r="X220" s="26"/>
      <c r="Y220" s="26"/>
      <c r="Z220" s="25"/>
      <c r="AA220" s="34"/>
      <c r="AB220" s="25"/>
      <c r="AC220" s="25"/>
      <c r="AD220" s="26"/>
      <c r="AE220" s="1"/>
      <c r="AF220" s="26"/>
      <c r="AG220" s="26"/>
      <c r="AH220" s="27"/>
      <c r="AI220" s="27"/>
      <c r="AJ220" s="27"/>
      <c r="AK220" s="27"/>
      <c r="AL220" s="27"/>
      <c r="AM220" s="27"/>
      <c r="AN220" s="27"/>
      <c r="AO220" s="27"/>
      <c r="AP220" s="27"/>
      <c r="AQ220" s="27"/>
      <c r="AR220" s="27"/>
      <c r="AS220" s="27"/>
      <c r="AT220" s="27"/>
      <c r="AU220" s="27"/>
      <c r="AV220" s="27"/>
      <c r="AW220" s="27"/>
      <c r="AX220" s="27"/>
      <c r="AY220" s="27"/>
      <c r="AZ220" s="27"/>
      <c r="BA220" s="27"/>
      <c r="BB220" s="27"/>
      <c r="BC220" s="27"/>
      <c r="BD220" s="27"/>
      <c r="BE220" s="28"/>
    </row>
    <row r="221" customFormat="false" ht="15" hidden="false" customHeight="false" outlineLevel="0" collapsed="false">
      <c r="A221" s="17" t="n">
        <f aca="false">A220+1</f>
        <v>369</v>
      </c>
      <c r="B221" s="18" t="s">
        <v>96</v>
      </c>
      <c r="C221" s="19" t="str">
        <f aca="false">_xlfn.xlookup(B221,[1]Clients!B$1:B$1048576,[1]Clients!C$1:C$1048576)</f>
        <v>Luso-Flex</v>
      </c>
      <c r="D221" s="18" t="s">
        <v>96</v>
      </c>
      <c r="E221" s="19" t="str">
        <f aca="false">_xlfn.xlookup(D221,[1]Clients!B$1:B$1048576,[1]Clients!C$1:C$1048576)</f>
        <v>Luso-Flex</v>
      </c>
      <c r="F221" s="20" t="n">
        <v>45715</v>
      </c>
      <c r="G221" s="21" t="s">
        <v>58</v>
      </c>
      <c r="H221" s="19" t="n">
        <v>1988</v>
      </c>
      <c r="I221" s="19" t="s">
        <v>99</v>
      </c>
      <c r="J221" s="21" t="n">
        <v>45722</v>
      </c>
      <c r="K221" s="19"/>
      <c r="L221" s="19" t="n">
        <v>0</v>
      </c>
      <c r="M221" s="19" t="s">
        <v>74</v>
      </c>
      <c r="N221" s="19" t="s">
        <v>70</v>
      </c>
      <c r="O221" s="22" t="n">
        <v>10519.14</v>
      </c>
      <c r="P221" s="23" t="s">
        <v>88</v>
      </c>
      <c r="Q221" s="23" t="s">
        <v>88</v>
      </c>
      <c r="R221" s="25"/>
      <c r="S221" s="34"/>
      <c r="T221" s="25"/>
      <c r="U221" s="25"/>
      <c r="V221" s="26"/>
      <c r="W221" s="1"/>
      <c r="X221" s="26"/>
      <c r="Y221" s="26"/>
      <c r="Z221" s="25"/>
      <c r="AA221" s="34"/>
      <c r="AB221" s="25"/>
      <c r="AC221" s="25"/>
      <c r="AD221" s="26"/>
      <c r="AE221" s="1"/>
      <c r="AF221" s="26"/>
      <c r="AG221" s="26"/>
      <c r="AH221" s="27"/>
      <c r="AI221" s="27"/>
      <c r="AJ221" s="27"/>
      <c r="AK221" s="27"/>
      <c r="AL221" s="27"/>
      <c r="AM221" s="27"/>
      <c r="AN221" s="27"/>
      <c r="AO221" s="27"/>
      <c r="AP221" s="27"/>
      <c r="AQ221" s="27"/>
      <c r="AR221" s="27"/>
      <c r="AS221" s="27"/>
      <c r="AT221" s="27"/>
      <c r="AU221" s="27"/>
      <c r="AV221" s="27"/>
      <c r="AW221" s="27"/>
      <c r="AX221" s="27"/>
      <c r="AY221" s="27"/>
      <c r="AZ221" s="27"/>
      <c r="BA221" s="27"/>
      <c r="BB221" s="27"/>
      <c r="BC221" s="27"/>
      <c r="BD221" s="27"/>
      <c r="BE221" s="28"/>
    </row>
    <row r="222" customFormat="false" ht="15" hidden="false" customHeight="false" outlineLevel="0" collapsed="false">
      <c r="A222" s="17" t="n">
        <f aca="false">A221+1</f>
        <v>370</v>
      </c>
      <c r="B222" s="18" t="s">
        <v>96</v>
      </c>
      <c r="C222" s="19" t="str">
        <f aca="false">_xlfn.xlookup(B222,[1]Clients!B$1:B$1048576,[1]Clients!C$1:C$1048576)</f>
        <v>Luso-Flex</v>
      </c>
      <c r="D222" s="18" t="s">
        <v>96</v>
      </c>
      <c r="E222" s="19" t="str">
        <f aca="false">_xlfn.xlookup(D222,[1]Clients!B$1:B$1048576,[1]Clients!C$1:C$1048576)</f>
        <v>Luso-Flex</v>
      </c>
      <c r="F222" s="20" t="n">
        <v>45715</v>
      </c>
      <c r="G222" s="21" t="s">
        <v>58</v>
      </c>
      <c r="H222" s="19" t="n">
        <v>1989</v>
      </c>
      <c r="I222" s="19" t="s">
        <v>99</v>
      </c>
      <c r="J222" s="21" t="n">
        <v>45722</v>
      </c>
      <c r="K222" s="19"/>
      <c r="L222" s="19" t="n">
        <v>0</v>
      </c>
      <c r="M222" s="19" t="s">
        <v>74</v>
      </c>
      <c r="N222" s="19" t="s">
        <v>70</v>
      </c>
      <c r="O222" s="22" t="n">
        <v>5716.5</v>
      </c>
      <c r="P222" s="23" t="str">
        <f aca="false">_xlfn.xlookup(B222,[1]Clients!B$1:B$1048576,[1]Clients!Y$1:Y$1048576,FALSE())</f>
        <v>CAD</v>
      </c>
      <c r="Q222" s="23" t="str">
        <f aca="false">_xlfn.xlookup(B222,[1]Clients!B$1:B$1048576,[1]Clients!Z$1:Z$1048576,FALSE())</f>
        <v>CAD</v>
      </c>
      <c r="R222" s="25"/>
      <c r="S222" s="34"/>
      <c r="T222" s="25"/>
      <c r="U222" s="25"/>
      <c r="V222" s="26"/>
      <c r="W222" s="1"/>
      <c r="X222" s="26"/>
      <c r="Y222" s="26"/>
      <c r="Z222" s="25"/>
      <c r="AA222" s="34"/>
      <c r="AB222" s="25"/>
      <c r="AC222" s="25"/>
      <c r="AD222" s="26"/>
      <c r="AE222" s="1"/>
      <c r="AF222" s="26"/>
      <c r="AG222" s="26"/>
      <c r="AH222" s="27"/>
      <c r="AI222" s="27"/>
      <c r="AJ222" s="27"/>
      <c r="AK222" s="27"/>
      <c r="AL222" s="27"/>
      <c r="AM222" s="27"/>
      <c r="AN222" s="27"/>
      <c r="AO222" s="27"/>
      <c r="AP222" s="27"/>
      <c r="AQ222" s="27"/>
      <c r="AR222" s="27"/>
      <c r="AS222" s="27"/>
      <c r="AT222" s="27"/>
      <c r="AU222" s="27"/>
      <c r="AV222" s="27"/>
      <c r="AW222" s="27"/>
      <c r="AX222" s="27"/>
      <c r="AY222" s="27"/>
      <c r="AZ222" s="27"/>
      <c r="BA222" s="27"/>
      <c r="BB222" s="27"/>
      <c r="BC222" s="27"/>
      <c r="BD222" s="27"/>
      <c r="BE222" s="28"/>
    </row>
    <row r="223" customFormat="false" ht="15" hidden="false" customHeight="false" outlineLevel="0" collapsed="false">
      <c r="A223" s="17" t="n">
        <v>371</v>
      </c>
      <c r="B223" s="18" t="s">
        <v>306</v>
      </c>
      <c r="C223" s="19" t="str">
        <f aca="false">_xlfn.xlookup(B223,[1]Clients!B$1:B$1048576,[1]Clients!C$1:C$1048576)</f>
        <v>Nationale admin</v>
      </c>
      <c r="D223" s="18" t="s">
        <v>307</v>
      </c>
      <c r="E223" s="19" t="str">
        <f aca="false">_xlfn.xlookup(D223,[1]Clients!B$1:B$1048576,[1]Clients!C$1:C$1048576)</f>
        <v>Nationale livraison</v>
      </c>
      <c r="F223" s="20" t="n">
        <v>45715</v>
      </c>
      <c r="G223" s="21" t="s">
        <v>58</v>
      </c>
      <c r="H223" s="19" t="s">
        <v>414</v>
      </c>
      <c r="I223" s="19" t="s">
        <v>309</v>
      </c>
      <c r="J223" s="21" t="n">
        <v>45721</v>
      </c>
      <c r="K223" s="19"/>
      <c r="L223" s="19" t="n">
        <v>0</v>
      </c>
      <c r="M223" s="19" t="s">
        <v>74</v>
      </c>
      <c r="N223" s="19" t="s">
        <v>70</v>
      </c>
      <c r="O223" s="22" t="n">
        <v>8013.6</v>
      </c>
      <c r="P223" s="23" t="str">
        <f aca="false">_xlfn.xlookup(B223,[1]Clients!B$1:B$1048576,[1]Clients!Y$1:Y$1048576,FALSE())</f>
        <v>CAD</v>
      </c>
      <c r="Q223" s="23" t="str">
        <f aca="false">_xlfn.xlookup(B223,[1]Clients!B$1:B$1048576,[1]Clients!Z$1:Z$1048576,FALSE())</f>
        <v>CAD</v>
      </c>
      <c r="R223" s="25"/>
      <c r="S223" s="34"/>
      <c r="T223" s="25"/>
      <c r="U223" s="25"/>
      <c r="V223" s="26"/>
      <c r="W223" s="1"/>
      <c r="X223" s="26"/>
      <c r="Y223" s="26"/>
      <c r="Z223" s="25"/>
      <c r="AA223" s="34"/>
      <c r="AB223" s="25"/>
      <c r="AC223" s="25"/>
      <c r="AD223" s="26"/>
      <c r="AE223" s="1"/>
      <c r="AF223" s="26"/>
      <c r="AG223" s="26"/>
      <c r="AH223" s="27"/>
      <c r="AI223" s="27"/>
      <c r="AJ223" s="27"/>
      <c r="AK223" s="27"/>
      <c r="AL223" s="27"/>
      <c r="AM223" s="27"/>
      <c r="AN223" s="27"/>
      <c r="AO223" s="27"/>
      <c r="AP223" s="27"/>
      <c r="AQ223" s="27"/>
      <c r="AR223" s="27"/>
      <c r="AS223" s="27"/>
      <c r="AT223" s="27"/>
      <c r="AU223" s="27"/>
      <c r="AV223" s="27"/>
      <c r="AW223" s="27"/>
      <c r="AX223" s="27"/>
      <c r="AY223" s="27"/>
      <c r="AZ223" s="27"/>
      <c r="BA223" s="27"/>
      <c r="BB223" s="27"/>
      <c r="BC223" s="27"/>
      <c r="BD223" s="27"/>
      <c r="BE223" s="28"/>
    </row>
    <row r="224" customFormat="false" ht="15" hidden="false" customHeight="false" outlineLevel="0" collapsed="false">
      <c r="A224" s="17" t="n">
        <f aca="false">A223+1</f>
        <v>372</v>
      </c>
      <c r="B224" s="18" t="s">
        <v>159</v>
      </c>
      <c r="C224" s="19" t="str">
        <f aca="false">_xlfn.xlookup(B224,[1]Clients!B$1:B$1048576,[1]Clients!C$1:C$1048576)</f>
        <v>Damaflex</v>
      </c>
      <c r="D224" s="18" t="s">
        <v>160</v>
      </c>
      <c r="E224" s="19" t="str">
        <f aca="false">_xlfn.xlookup(D224,[1]Clients!B$1:B$1048576,[1]Clients!C$1:C$1048576)</f>
        <v>Damaflex livraison</v>
      </c>
      <c r="F224" s="20" t="n">
        <v>45719</v>
      </c>
      <c r="G224" s="21" t="s">
        <v>58</v>
      </c>
      <c r="H224" s="19" t="n">
        <v>179203</v>
      </c>
      <c r="I224" s="19" t="s">
        <v>161</v>
      </c>
      <c r="J224" s="21" t="n">
        <v>45726</v>
      </c>
      <c r="K224" s="19"/>
      <c r="L224" s="19" t="n">
        <v>0</v>
      </c>
      <c r="M224" s="19" t="s">
        <v>74</v>
      </c>
      <c r="N224" s="19" t="s">
        <v>70</v>
      </c>
      <c r="O224" s="22" t="n">
        <v>2419.2</v>
      </c>
      <c r="P224" s="23" t="str">
        <f aca="false">_xlfn.xlookup(B224,[1]Clients!B$1:B$1048576,[1]Clients!Y$1:Y$1048576,FALSE())</f>
        <v>CAD</v>
      </c>
      <c r="Q224" s="23" t="str">
        <f aca="false">_xlfn.xlookup(B224,[1]Clients!B$1:B$1048576,[1]Clients!Z$1:Z$1048576,FALSE())</f>
        <v>CAD</v>
      </c>
      <c r="R224" s="25"/>
      <c r="S224" s="34"/>
      <c r="T224" s="25"/>
      <c r="U224" s="25"/>
      <c r="V224" s="26"/>
      <c r="W224" s="1"/>
      <c r="X224" s="26"/>
      <c r="Y224" s="26"/>
      <c r="Z224" s="25"/>
      <c r="AA224" s="34"/>
      <c r="AB224" s="25"/>
      <c r="AC224" s="25"/>
      <c r="AD224" s="26"/>
      <c r="AE224" s="1"/>
      <c r="AF224" s="26"/>
      <c r="AG224" s="26"/>
      <c r="AH224" s="27"/>
      <c r="AI224" s="27"/>
      <c r="AJ224" s="27"/>
      <c r="AK224" s="27"/>
      <c r="AL224" s="27"/>
      <c r="AM224" s="27"/>
      <c r="AN224" s="27"/>
      <c r="AO224" s="27"/>
      <c r="AP224" s="27"/>
      <c r="AQ224" s="27"/>
      <c r="AR224" s="27"/>
      <c r="AS224" s="27"/>
      <c r="AT224" s="27"/>
      <c r="AU224" s="27"/>
      <c r="AV224" s="27"/>
      <c r="AW224" s="27"/>
      <c r="AX224" s="27"/>
      <c r="AY224" s="27"/>
      <c r="AZ224" s="27"/>
      <c r="BA224" s="27"/>
      <c r="BB224" s="27"/>
      <c r="BC224" s="27"/>
      <c r="BD224" s="27"/>
      <c r="BE224" s="28"/>
    </row>
    <row r="225" customFormat="false" ht="15" hidden="false" customHeight="false" outlineLevel="0" collapsed="false">
      <c r="A225" s="17" t="n">
        <f aca="false">A224+1</f>
        <v>373</v>
      </c>
      <c r="B225" s="18" t="s">
        <v>120</v>
      </c>
      <c r="C225" s="19" t="str">
        <f aca="false">_xlfn.xlookup(B225,[1]Clients!B$1:B$1048576,[1]Clients!C$1:C$1048576)</f>
        <v>Mijo</v>
      </c>
      <c r="D225" s="18" t="s">
        <v>120</v>
      </c>
      <c r="E225" s="19" t="str">
        <f aca="false">_xlfn.xlookup(D225,[1]Clients!B$1:B$1048576,[1]Clients!C$1:C$1048576)</f>
        <v>Mijo</v>
      </c>
      <c r="F225" s="20" t="n">
        <v>45720</v>
      </c>
      <c r="G225" s="21" t="s">
        <v>58</v>
      </c>
      <c r="H225" s="19" t="n">
        <v>14381</v>
      </c>
      <c r="I225" s="19" t="s">
        <v>122</v>
      </c>
      <c r="J225" s="21" t="n">
        <v>45727</v>
      </c>
      <c r="K225" s="19"/>
      <c r="L225" s="19" t="n">
        <v>0</v>
      </c>
      <c r="M225" s="19" t="s">
        <v>74</v>
      </c>
      <c r="N225" s="19" t="s">
        <v>123</v>
      </c>
      <c r="O225" s="22" t="n">
        <v>2498.4</v>
      </c>
      <c r="P225" s="23" t="str">
        <f aca="false">_xlfn.xlookup(B225,[1]Clients!B$1:B$1048576,[1]Clients!Y$1:Y$1048576,FALSE())</f>
        <v>CAD</v>
      </c>
      <c r="Q225" s="23" t="str">
        <f aca="false">_xlfn.xlookup(B225,[1]Clients!B$1:B$1048576,[1]Clients!Z$1:Z$1048576,FALSE())</f>
        <v>CAD</v>
      </c>
      <c r="R225" s="25"/>
      <c r="S225" s="34"/>
      <c r="T225" s="25"/>
      <c r="U225" s="25"/>
      <c r="V225" s="26"/>
      <c r="W225" s="1"/>
      <c r="X225" s="26"/>
      <c r="Y225" s="26"/>
      <c r="Z225" s="25"/>
      <c r="AA225" s="34"/>
      <c r="AB225" s="25"/>
      <c r="AC225" s="25"/>
      <c r="AD225" s="26"/>
      <c r="AE225" s="1"/>
      <c r="AF225" s="26"/>
      <c r="AG225" s="26"/>
      <c r="AH225" s="27"/>
      <c r="AI225" s="27"/>
      <c r="AJ225" s="27"/>
      <c r="AK225" s="27"/>
      <c r="AL225" s="27"/>
      <c r="AM225" s="27"/>
      <c r="AN225" s="27"/>
      <c r="AO225" s="27"/>
      <c r="AP225" s="27"/>
      <c r="AQ225" s="27"/>
      <c r="AR225" s="27"/>
      <c r="AS225" s="27"/>
      <c r="AT225" s="27"/>
      <c r="AU225" s="27"/>
      <c r="AV225" s="27"/>
      <c r="AW225" s="27"/>
      <c r="AX225" s="27"/>
      <c r="AY225" s="27"/>
      <c r="AZ225" s="27"/>
      <c r="BA225" s="27"/>
      <c r="BB225" s="27"/>
      <c r="BC225" s="27"/>
      <c r="BD225" s="27"/>
      <c r="BE225" s="28"/>
    </row>
    <row r="226" customFormat="false" ht="15" hidden="false" customHeight="false" outlineLevel="0" collapsed="false">
      <c r="A226" s="17" t="n">
        <f aca="false">A225+1</f>
        <v>374</v>
      </c>
      <c r="B226" s="18" t="s">
        <v>210</v>
      </c>
      <c r="C226" s="19" t="str">
        <f aca="false">_xlfn.xlookup(B226,[1]Clients!B$1:B$1048576,[1]Clients!C$1:C$1048576)</f>
        <v>3G</v>
      </c>
      <c r="D226" s="18" t="s">
        <v>210</v>
      </c>
      <c r="E226" s="19" t="str">
        <f aca="false">_xlfn.xlookup(D226,[1]Clients!B$1:B$1048576,[1]Clients!C$1:C$1048576)</f>
        <v>3G</v>
      </c>
      <c r="F226" s="20" t="n">
        <v>45720</v>
      </c>
      <c r="G226" s="21" t="s">
        <v>58</v>
      </c>
      <c r="H226" s="19" t="n">
        <v>3106</v>
      </c>
      <c r="I226" s="19" t="s">
        <v>211</v>
      </c>
      <c r="J226" s="21" t="n">
        <v>45727</v>
      </c>
      <c r="K226" s="19"/>
      <c r="L226" s="19" t="n">
        <v>0</v>
      </c>
      <c r="M226" s="19" t="s">
        <v>61</v>
      </c>
      <c r="N226" s="19" t="s">
        <v>123</v>
      </c>
      <c r="O226" s="22" t="n">
        <v>9763.2</v>
      </c>
      <c r="P226" s="23" t="str">
        <f aca="false">_xlfn.xlookup(B226,[1]Clients!B$1:B$1048576,[1]Clients!Y$1:Y$1048576,FALSE())</f>
        <v>CAD</v>
      </c>
      <c r="Q226" s="23" t="str">
        <f aca="false">_xlfn.xlookup(B226,[1]Clients!B$1:B$1048576,[1]Clients!Z$1:Z$1048576,FALSE())</f>
        <v>CAD</v>
      </c>
      <c r="R226" s="25"/>
      <c r="S226" s="34"/>
      <c r="T226" s="25"/>
      <c r="U226" s="25"/>
      <c r="V226" s="26"/>
      <c r="W226" s="1"/>
      <c r="X226" s="26"/>
      <c r="Y226" s="26"/>
      <c r="Z226" s="25"/>
      <c r="AA226" s="34"/>
      <c r="AB226" s="25"/>
      <c r="AC226" s="25"/>
      <c r="AD226" s="26"/>
      <c r="AE226" s="1"/>
      <c r="AF226" s="26"/>
      <c r="AG226" s="26"/>
      <c r="AH226" s="27"/>
      <c r="AI226" s="27"/>
      <c r="AJ226" s="27"/>
      <c r="AK226" s="27"/>
      <c r="AL226" s="27"/>
      <c r="AM226" s="27"/>
      <c r="AN226" s="27"/>
      <c r="AO226" s="27"/>
      <c r="AP226" s="27"/>
      <c r="AQ226" s="27"/>
      <c r="AR226" s="27"/>
      <c r="AS226" s="27"/>
      <c r="AT226" s="27"/>
      <c r="AU226" s="27"/>
      <c r="AV226" s="27"/>
      <c r="AW226" s="27"/>
      <c r="AX226" s="27"/>
      <c r="AY226" s="27"/>
      <c r="AZ226" s="27"/>
      <c r="BA226" s="27"/>
      <c r="BB226" s="27"/>
      <c r="BC226" s="27"/>
      <c r="BD226" s="27"/>
      <c r="BE226" s="28"/>
    </row>
    <row r="227" customFormat="false" ht="15" hidden="false" customHeight="false" outlineLevel="0" collapsed="false">
      <c r="A227" s="17" t="n">
        <f aca="false">A226+1</f>
        <v>375</v>
      </c>
      <c r="B227" s="18" t="s">
        <v>96</v>
      </c>
      <c r="C227" s="19" t="str">
        <f aca="false">_xlfn.xlookup(B227,[1]Clients!B$1:B$1048576,[1]Clients!C$1:C$1048576)</f>
        <v>Luso-Flex</v>
      </c>
      <c r="D227" s="18" t="s">
        <v>96</v>
      </c>
      <c r="E227" s="19" t="str">
        <f aca="false">_xlfn.xlookup(D227,[1]Clients!B$1:B$1048576,[1]Clients!C$1:C$1048576)</f>
        <v>Luso-Flex</v>
      </c>
      <c r="F227" s="20" t="n">
        <v>45720</v>
      </c>
      <c r="G227" s="21" t="s">
        <v>58</v>
      </c>
      <c r="H227" s="19" t="s">
        <v>415</v>
      </c>
      <c r="I227" s="19"/>
      <c r="J227" s="21" t="n">
        <v>45721</v>
      </c>
      <c r="K227" s="19"/>
      <c r="L227" s="19" t="n">
        <v>0</v>
      </c>
      <c r="M227" s="19" t="s">
        <v>74</v>
      </c>
      <c r="N227" s="19" t="s">
        <v>70</v>
      </c>
      <c r="O227" s="22" t="n">
        <v>0</v>
      </c>
      <c r="P227" s="23" t="str">
        <f aca="false">_xlfn.xlookup(B227,[1]Clients!B$1:B$1048576,[1]Clients!Y$1:Y$1048576,FALSE())</f>
        <v>CAD</v>
      </c>
      <c r="Q227" s="23" t="str">
        <f aca="false">_xlfn.xlookup(B227,[1]Clients!B$1:B$1048576,[1]Clients!Z$1:Z$1048576,FALSE())</f>
        <v>CAD</v>
      </c>
      <c r="R227" s="25"/>
      <c r="S227" s="34"/>
      <c r="T227" s="25"/>
      <c r="U227" s="25"/>
      <c r="V227" s="26"/>
      <c r="W227" s="1"/>
      <c r="X227" s="26"/>
      <c r="Y227" s="26"/>
      <c r="Z227" s="25"/>
      <c r="AA227" s="34"/>
      <c r="AB227" s="25"/>
      <c r="AC227" s="25"/>
      <c r="AD227" s="26"/>
      <c r="AE227" s="1"/>
      <c r="AF227" s="26"/>
      <c r="AG227" s="26"/>
      <c r="AH227" s="27"/>
      <c r="AI227" s="27"/>
      <c r="AJ227" s="27"/>
      <c r="AK227" s="27"/>
      <c r="AL227" s="27"/>
      <c r="AM227" s="27"/>
      <c r="AN227" s="27"/>
      <c r="AO227" s="27"/>
      <c r="AP227" s="27"/>
      <c r="AQ227" s="27"/>
      <c r="AR227" s="27"/>
      <c r="AS227" s="27"/>
      <c r="AT227" s="27"/>
      <c r="AU227" s="27"/>
      <c r="AV227" s="27"/>
      <c r="AW227" s="27"/>
      <c r="AX227" s="27"/>
      <c r="AY227" s="27"/>
      <c r="AZ227" s="27"/>
      <c r="BA227" s="27"/>
      <c r="BB227" s="27"/>
      <c r="BC227" s="27"/>
      <c r="BD227" s="27"/>
      <c r="BE227" s="28"/>
    </row>
    <row r="228" customFormat="false" ht="15" hidden="false" customHeight="false" outlineLevel="0" collapsed="false">
      <c r="A228" s="17" t="n">
        <f aca="false">A227+1</f>
        <v>376</v>
      </c>
      <c r="B228" s="18" t="s">
        <v>300</v>
      </c>
      <c r="C228" s="19" t="str">
        <f aca="false">_xlfn.xlookup(B228,[1]Clients!B$1:B$1048576,[1]Clients!C$1:C$1048576)</f>
        <v>Select</v>
      </c>
      <c r="D228" s="18" t="s">
        <v>300</v>
      </c>
      <c r="E228" s="19" t="str">
        <f aca="false">_xlfn.xlookup(D228,[1]Clients!B$1:B$1048576,[1]Clients!C$1:C$1048576)</f>
        <v>Select</v>
      </c>
      <c r="F228" s="20" t="n">
        <v>45721</v>
      </c>
      <c r="G228" s="21" t="s">
        <v>58</v>
      </c>
      <c r="H228" s="19" t="s">
        <v>416</v>
      </c>
      <c r="I228" s="19" t="s">
        <v>407</v>
      </c>
      <c r="J228" s="21" t="n">
        <v>45730</v>
      </c>
      <c r="K228" s="19"/>
      <c r="L228" s="19" t="n">
        <v>0</v>
      </c>
      <c r="M228" s="19" t="s">
        <v>303</v>
      </c>
      <c r="N228" s="19" t="s">
        <v>70</v>
      </c>
      <c r="O228" s="22" t="n">
        <v>3006</v>
      </c>
      <c r="P228" s="23" t="str">
        <f aca="false">_xlfn.xlookup(B228,[1]Clients!B$1:B$1048576,[1]Clients!Y$1:Y$1048576,FALSE())</f>
        <v>CAD</v>
      </c>
      <c r="Q228" s="23" t="str">
        <f aca="false">_xlfn.xlookup(B228,[1]Clients!B$1:B$1048576,[1]Clients!Z$1:Z$1048576,FALSE())</f>
        <v>CAD</v>
      </c>
      <c r="R228" s="25"/>
      <c r="S228" s="34"/>
      <c r="T228" s="25"/>
      <c r="U228" s="25"/>
      <c r="V228" s="26"/>
      <c r="W228" s="1"/>
      <c r="X228" s="26"/>
      <c r="Y228" s="26"/>
      <c r="Z228" s="25"/>
      <c r="AA228" s="34"/>
      <c r="AB228" s="25"/>
      <c r="AC228" s="25"/>
      <c r="AD228" s="26"/>
      <c r="AE228" s="1"/>
      <c r="AF228" s="26"/>
      <c r="AG228" s="26"/>
      <c r="AH228" s="27"/>
      <c r="AI228" s="27"/>
      <c r="AJ228" s="27"/>
      <c r="AK228" s="27"/>
      <c r="AL228" s="27"/>
      <c r="AM228" s="27"/>
      <c r="AN228" s="27"/>
      <c r="AO228" s="27"/>
      <c r="AP228" s="27"/>
      <c r="AQ228" s="27"/>
      <c r="AR228" s="27"/>
      <c r="AS228" s="27"/>
      <c r="AT228" s="27"/>
      <c r="AU228" s="27"/>
      <c r="AV228" s="27"/>
      <c r="AW228" s="27"/>
      <c r="AX228" s="27"/>
      <c r="AY228" s="27"/>
      <c r="AZ228" s="27"/>
      <c r="BA228" s="27"/>
      <c r="BB228" s="27"/>
      <c r="BC228" s="27"/>
      <c r="BD228" s="27"/>
      <c r="BE228" s="28"/>
    </row>
    <row r="229" customFormat="false" ht="15" hidden="false" customHeight="false" outlineLevel="0" collapsed="false">
      <c r="A229" s="17" t="n">
        <f aca="false">A228+1</f>
        <v>377</v>
      </c>
      <c r="B229" s="18" t="s">
        <v>134</v>
      </c>
      <c r="C229" s="19" t="str">
        <f aca="false">_xlfn.xlookup(B229,[1]Clients!B$1:B$1048576,[1]Clients!C$1:C$1048576)</f>
        <v>Multi-Flex</v>
      </c>
      <c r="D229" s="18" t="s">
        <v>134</v>
      </c>
      <c r="E229" s="19" t="str">
        <f aca="false">_xlfn.xlookup(D229,[1]Clients!B$1:B$1048576,[1]Clients!C$1:C$1048576)</f>
        <v>Multi-Flex</v>
      </c>
      <c r="F229" s="20" t="n">
        <v>45722</v>
      </c>
      <c r="G229" s="21" t="s">
        <v>58</v>
      </c>
      <c r="H229" s="19" t="n">
        <v>10178</v>
      </c>
      <c r="I229" s="19" t="s">
        <v>238</v>
      </c>
      <c r="J229" s="21" t="n">
        <v>45723</v>
      </c>
      <c r="K229" s="19"/>
      <c r="L229" s="19" t="n">
        <v>0</v>
      </c>
      <c r="M229" s="19" t="s">
        <v>74</v>
      </c>
      <c r="N229" s="19" t="s">
        <v>70</v>
      </c>
      <c r="O229" s="22" t="n">
        <v>6508.8</v>
      </c>
      <c r="P229" s="23" t="str">
        <f aca="false">_xlfn.xlookup(B229,[1]Clients!B$1:B$1048576,[1]Clients!Y$1:Y$1048576,FALSE())</f>
        <v>CAD</v>
      </c>
      <c r="Q229" s="23" t="str">
        <f aca="false">_xlfn.xlookup(B229,[1]Clients!B$1:B$1048576,[1]Clients!Z$1:Z$1048576,FALSE())</f>
        <v>CAD</v>
      </c>
      <c r="R229" s="25"/>
      <c r="S229" s="34"/>
      <c r="T229" s="25"/>
      <c r="U229" s="25"/>
      <c r="V229" s="26"/>
      <c r="W229" s="1"/>
      <c r="X229" s="26"/>
      <c r="Y229" s="26"/>
      <c r="Z229" s="25"/>
      <c r="AA229" s="34"/>
      <c r="AB229" s="25"/>
      <c r="AC229" s="25"/>
      <c r="AD229" s="26"/>
      <c r="AE229" s="1"/>
      <c r="AF229" s="26"/>
      <c r="AG229" s="26"/>
      <c r="AH229" s="27"/>
      <c r="AI229" s="27"/>
      <c r="AJ229" s="27"/>
      <c r="AK229" s="27"/>
      <c r="AL229" s="27"/>
      <c r="AM229" s="27"/>
      <c r="AN229" s="27"/>
      <c r="AO229" s="27"/>
      <c r="AP229" s="27"/>
      <c r="AQ229" s="27"/>
      <c r="AR229" s="27"/>
      <c r="AS229" s="27"/>
      <c r="AT229" s="27"/>
      <c r="AU229" s="27"/>
      <c r="AV229" s="27"/>
      <c r="AW229" s="27"/>
      <c r="AX229" s="27"/>
      <c r="AY229" s="27"/>
      <c r="AZ229" s="27"/>
      <c r="BA229" s="27"/>
      <c r="BB229" s="27"/>
      <c r="BC229" s="27"/>
      <c r="BD229" s="27"/>
      <c r="BE229" s="28"/>
    </row>
    <row r="230" customFormat="false" ht="15" hidden="false" customHeight="false" outlineLevel="0" collapsed="false">
      <c r="A230" s="17" t="n">
        <f aca="false">A229+1</f>
        <v>378</v>
      </c>
      <c r="B230" s="18" t="s">
        <v>96</v>
      </c>
      <c r="C230" s="19" t="str">
        <f aca="false">_xlfn.xlookup(B230,[1]Clients!B$1:B$1048576,[1]Clients!C$1:C$1048576)</f>
        <v>Luso-Flex</v>
      </c>
      <c r="D230" s="18" t="s">
        <v>96</v>
      </c>
      <c r="E230" s="19" t="str">
        <f aca="false">_xlfn.xlookup(D230,[1]Clients!B$1:B$1048576,[1]Clients!C$1:C$1048576)</f>
        <v>Luso-Flex</v>
      </c>
      <c r="F230" s="20" t="n">
        <v>45722</v>
      </c>
      <c r="G230" s="21" t="s">
        <v>58</v>
      </c>
      <c r="H230" s="19" t="n">
        <v>1991</v>
      </c>
      <c r="I230" s="19" t="s">
        <v>99</v>
      </c>
      <c r="J230" s="21" t="n">
        <v>45727</v>
      </c>
      <c r="K230" s="19"/>
      <c r="L230" s="19" t="n">
        <v>0</v>
      </c>
      <c r="M230" s="19" t="s">
        <v>74</v>
      </c>
      <c r="N230" s="19" t="s">
        <v>70</v>
      </c>
      <c r="O230" s="22" t="n">
        <v>5144.85</v>
      </c>
      <c r="P230" s="23" t="str">
        <f aca="false">_xlfn.xlookup(B230,[1]Clients!B$1:B$1048576,[1]Clients!Y$1:Y$1048576,FALSE())</f>
        <v>CAD</v>
      </c>
      <c r="Q230" s="23" t="str">
        <f aca="false">_xlfn.xlookup(B230,[1]Clients!B$1:B$1048576,[1]Clients!Z$1:Z$1048576,FALSE())</f>
        <v>CAD</v>
      </c>
      <c r="R230" s="25"/>
      <c r="S230" s="34"/>
      <c r="T230" s="25"/>
      <c r="U230" s="25"/>
      <c r="V230" s="26"/>
      <c r="W230" s="1"/>
      <c r="X230" s="26"/>
      <c r="Y230" s="26"/>
      <c r="Z230" s="25"/>
      <c r="AA230" s="34"/>
      <c r="AB230" s="25"/>
      <c r="AC230" s="25"/>
      <c r="AD230" s="26"/>
      <c r="AE230" s="1"/>
      <c r="AF230" s="26"/>
      <c r="AG230" s="26"/>
      <c r="AH230" s="27"/>
      <c r="AI230" s="27"/>
      <c r="AJ230" s="27"/>
      <c r="AK230" s="27"/>
      <c r="AL230" s="27"/>
      <c r="AM230" s="27"/>
      <c r="AN230" s="27"/>
      <c r="AO230" s="27"/>
      <c r="AP230" s="27"/>
      <c r="AQ230" s="27"/>
      <c r="AR230" s="27"/>
      <c r="AS230" s="27"/>
      <c r="AT230" s="27"/>
      <c r="AU230" s="27"/>
      <c r="AV230" s="27"/>
      <c r="AW230" s="27"/>
      <c r="AX230" s="27"/>
      <c r="AY230" s="27"/>
      <c r="AZ230" s="27"/>
      <c r="BA230" s="27"/>
      <c r="BB230" s="27"/>
      <c r="BC230" s="27"/>
      <c r="BD230" s="27"/>
      <c r="BE230" s="28"/>
    </row>
    <row r="231" customFormat="false" ht="15" hidden="false" customHeight="false" outlineLevel="0" collapsed="false">
      <c r="A231" s="17" t="n">
        <f aca="false">A230+1</f>
        <v>379</v>
      </c>
      <c r="B231" s="18" t="s">
        <v>120</v>
      </c>
      <c r="C231" s="19" t="str">
        <f aca="false">_xlfn.xlookup(B231,[1]Clients!B$1:B$1048576,[1]Clients!C$1:C$1048576)</f>
        <v>Mijo</v>
      </c>
      <c r="D231" s="18" t="s">
        <v>120</v>
      </c>
      <c r="E231" s="19" t="str">
        <f aca="false">_xlfn.xlookup(D231,[1]Clients!B$1:B$1048576,[1]Clients!C$1:C$1048576)</f>
        <v>Mijo</v>
      </c>
      <c r="F231" s="20" t="n">
        <v>45726</v>
      </c>
      <c r="G231" s="21" t="s">
        <v>58</v>
      </c>
      <c r="H231" s="19" t="n">
        <v>14392</v>
      </c>
      <c r="I231" s="19" t="s">
        <v>122</v>
      </c>
      <c r="J231" s="21" t="n">
        <v>45733</v>
      </c>
      <c r="K231" s="19"/>
      <c r="L231" s="19" t="n">
        <v>0</v>
      </c>
      <c r="M231" s="19" t="s">
        <v>74</v>
      </c>
      <c r="N231" s="19" t="s">
        <v>123</v>
      </c>
      <c r="O231" s="22" t="n">
        <v>2498.4</v>
      </c>
      <c r="P231" s="23" t="str">
        <f aca="false">_xlfn.xlookup(B231,[1]Clients!B$1:B$1048576,[1]Clients!Y$1:Y$1048576,FALSE())</f>
        <v>CAD</v>
      </c>
      <c r="Q231" s="23" t="str">
        <f aca="false">_xlfn.xlookup(B231,[1]Clients!B$1:B$1048576,[1]Clients!Z$1:Z$1048576,FALSE())</f>
        <v>CAD</v>
      </c>
      <c r="R231" s="25"/>
      <c r="S231" s="34"/>
      <c r="T231" s="25"/>
      <c r="U231" s="25"/>
      <c r="V231" s="26"/>
      <c r="W231" s="1"/>
      <c r="X231" s="26"/>
      <c r="Y231" s="26"/>
      <c r="Z231" s="25"/>
      <c r="AA231" s="34"/>
      <c r="AB231" s="25"/>
      <c r="AC231" s="25"/>
      <c r="AD231" s="26"/>
      <c r="AE231" s="1"/>
      <c r="AF231" s="26"/>
      <c r="AG231" s="26"/>
      <c r="AH231" s="27"/>
      <c r="AI231" s="27"/>
      <c r="AJ231" s="27"/>
      <c r="AK231" s="27"/>
      <c r="AL231" s="27"/>
      <c r="AM231" s="27"/>
      <c r="AN231" s="27"/>
      <c r="AO231" s="27"/>
      <c r="AP231" s="27"/>
      <c r="AQ231" s="27"/>
      <c r="AR231" s="27"/>
      <c r="AS231" s="27"/>
      <c r="AT231" s="27"/>
      <c r="AU231" s="27"/>
      <c r="AV231" s="27"/>
      <c r="AW231" s="27"/>
      <c r="AX231" s="27"/>
      <c r="AY231" s="27"/>
      <c r="AZ231" s="27"/>
      <c r="BA231" s="27"/>
      <c r="BB231" s="27"/>
      <c r="BC231" s="27"/>
      <c r="BD231" s="27"/>
      <c r="BE231" s="28"/>
    </row>
    <row r="232" customFormat="false" ht="15" hidden="false" customHeight="false" outlineLevel="0" collapsed="false">
      <c r="A232" s="17" t="n">
        <f aca="false">A231+1</f>
        <v>380</v>
      </c>
      <c r="B232" s="18" t="s">
        <v>368</v>
      </c>
      <c r="C232" s="19" t="str">
        <f aca="false">_xlfn.xlookup(B232,[1]Clients!B$1:B$1048576,[1]Clients!C$1:C$1048576)</f>
        <v>SYL</v>
      </c>
      <c r="D232" s="18" t="s">
        <v>368</v>
      </c>
      <c r="E232" s="19" t="str">
        <f aca="false">_xlfn.xlookup(D232,[1]Clients!B$1:B$1048576,[1]Clients!C$1:C$1048576)</f>
        <v>SYL</v>
      </c>
      <c r="F232" s="20" t="n">
        <v>45727</v>
      </c>
      <c r="G232" s="21" t="s">
        <v>58</v>
      </c>
      <c r="H232" s="19" t="s">
        <v>417</v>
      </c>
      <c r="I232" s="19" t="s">
        <v>370</v>
      </c>
      <c r="J232" s="21" t="n">
        <v>45733</v>
      </c>
      <c r="K232" s="19"/>
      <c r="L232" s="35" t="n">
        <f aca="false">_xlfn.xlookup(B232,[1]Clients!B$1:B$1048576,[1]Clients!X$1:X$1048576,FALSE())</f>
        <v>0</v>
      </c>
      <c r="M232" s="35" t="str">
        <f aca="false">_xlfn.xlookup(B232,[1]Clients!B$1:B$1048576,[1]Clients!N$1:N$1048576,FALSE())</f>
        <v>Net 30 jours</v>
      </c>
      <c r="N232" s="35" t="str">
        <f aca="false">_xlfn.xlookup(B232,[1]Clients!B$1:B$1048576,[1]Clients!S$1:S$1048576,FALSE())</f>
        <v>Livraison incluse</v>
      </c>
      <c r="O232" s="36" t="n">
        <f aca="false">SUMIF('PO item'!$D:$D,$A232,'PO item'!$X:$X)</f>
        <v>0</v>
      </c>
      <c r="P232" s="23" t="str">
        <f aca="false">_xlfn.xlookup(B232,[1]Clients!B$1:B$1048576,[1]Clients!Y$1:Y$1048576,FALSE())</f>
        <v>CAD</v>
      </c>
      <c r="Q232" s="23" t="str">
        <f aca="false">_xlfn.xlookup(B232,[1]Clients!B$1:B$1048576,[1]Clients!Z$1:Z$1048576,FALSE())</f>
        <v>CAD</v>
      </c>
      <c r="R232" s="25"/>
      <c r="S232" s="34"/>
      <c r="T232" s="25"/>
      <c r="U232" s="25"/>
      <c r="V232" s="26"/>
      <c r="W232" s="1"/>
      <c r="X232" s="26"/>
      <c r="Y232" s="26"/>
      <c r="Z232" s="25"/>
      <c r="AA232" s="34"/>
      <c r="AB232" s="25"/>
      <c r="AC232" s="25"/>
      <c r="AD232" s="26"/>
      <c r="AE232" s="1"/>
      <c r="AF232" s="26"/>
      <c r="AG232" s="26"/>
      <c r="AH232" s="27"/>
      <c r="AI232" s="27"/>
      <c r="AJ232" s="27"/>
      <c r="AK232" s="27"/>
      <c r="AL232" s="27"/>
      <c r="AM232" s="27"/>
      <c r="AN232" s="27"/>
      <c r="AO232" s="27"/>
      <c r="AP232" s="27"/>
      <c r="AQ232" s="27"/>
      <c r="AR232" s="27"/>
      <c r="AS232" s="27"/>
      <c r="AT232" s="27"/>
      <c r="AU232" s="27"/>
      <c r="AV232" s="27"/>
      <c r="AW232" s="27"/>
      <c r="AX232" s="27"/>
      <c r="AY232" s="27"/>
      <c r="AZ232" s="27"/>
      <c r="BA232" s="27"/>
      <c r="BB232" s="27"/>
      <c r="BC232" s="27"/>
      <c r="BD232" s="27"/>
      <c r="BE232" s="28"/>
    </row>
    <row r="233" customFormat="false" ht="15" hidden="false" customHeight="false" outlineLevel="0" collapsed="false">
      <c r="A233" s="17" t="n">
        <f aca="false">A232+1</f>
        <v>381</v>
      </c>
      <c r="B233" s="18" t="s">
        <v>210</v>
      </c>
      <c r="C233" s="19" t="str">
        <f aca="false">_xlfn.xlookup(B233,[1]Clients!B$1:B$1048576,[1]Clients!C$1:C$1048576)</f>
        <v>3G</v>
      </c>
      <c r="D233" s="18" t="s">
        <v>210</v>
      </c>
      <c r="E233" s="19" t="str">
        <f aca="false">_xlfn.xlookup(D233,[1]Clients!B$1:B$1048576,[1]Clients!C$1:C$1048576)</f>
        <v>3G</v>
      </c>
      <c r="F233" s="20" t="n">
        <v>45727</v>
      </c>
      <c r="G233" s="21" t="s">
        <v>58</v>
      </c>
      <c r="H233" s="19" t="n">
        <v>3126</v>
      </c>
      <c r="I233" s="19" t="s">
        <v>211</v>
      </c>
      <c r="J233" s="21" t="n">
        <v>45730</v>
      </c>
      <c r="K233" s="19"/>
      <c r="L233" s="35" t="n">
        <f aca="false">_xlfn.xlookup(B233,[1]Clients!B$1:B$1048576,[1]Clients!X$1:X$1048576,FALSE())</f>
        <v>0</v>
      </c>
      <c r="M233" s="35" t="str">
        <f aca="false">_xlfn.xlookup(B233,[1]Clients!B$1:B$1048576,[1]Clients!N$1:N$1048576,FALSE())</f>
        <v>Net 30 days</v>
      </c>
      <c r="N233" s="35" t="str">
        <f aca="false">_xlfn.xlookup(B233,[1]Clients!B$1:B$1048576,[1]Clients!S$1:S$1048576,FALSE())</f>
        <v>Delivery Included</v>
      </c>
      <c r="O233" s="36" t="n">
        <f aca="false">SUMIF('PO item'!$D:$D,$A233,'PO item'!$X:$X)</f>
        <v>2613.6</v>
      </c>
      <c r="P233" s="23" t="str">
        <f aca="false">_xlfn.xlookup(B233,[1]Clients!B$1:B$1048576,[1]Clients!Y$1:Y$1048576,FALSE())</f>
        <v>CAD</v>
      </c>
      <c r="Q233" s="23" t="str">
        <f aca="false">_xlfn.xlookup(B233,[1]Clients!B$1:B$1048576,[1]Clients!Z$1:Z$1048576,FALSE())</f>
        <v>CAD</v>
      </c>
      <c r="R233" s="25"/>
      <c r="S233" s="34"/>
      <c r="T233" s="25"/>
      <c r="U233" s="25"/>
      <c r="V233" s="26"/>
      <c r="W233" s="1"/>
      <c r="X233" s="26"/>
      <c r="Y233" s="26"/>
      <c r="Z233" s="25"/>
      <c r="AA233" s="34"/>
      <c r="AB233" s="25"/>
      <c r="AC233" s="25"/>
      <c r="AD233" s="26"/>
      <c r="AE233" s="1"/>
      <c r="AF233" s="26"/>
      <c r="AG233" s="26"/>
      <c r="AH233" s="27"/>
      <c r="AI233" s="27"/>
      <c r="AJ233" s="27"/>
      <c r="AK233" s="27"/>
      <c r="AL233" s="27"/>
      <c r="AM233" s="27"/>
      <c r="AN233" s="27"/>
      <c r="AO233" s="27"/>
      <c r="AP233" s="27"/>
      <c r="AQ233" s="27"/>
      <c r="AR233" s="27"/>
      <c r="AS233" s="27"/>
      <c r="AT233" s="27"/>
      <c r="AU233" s="27"/>
      <c r="AV233" s="27"/>
      <c r="AW233" s="27"/>
      <c r="AX233" s="27"/>
      <c r="AY233" s="27"/>
      <c r="AZ233" s="27"/>
      <c r="BA233" s="27"/>
      <c r="BB233" s="27"/>
      <c r="BC233" s="27"/>
      <c r="BD233" s="27"/>
      <c r="BE233" s="28"/>
    </row>
    <row r="234" customFormat="false" ht="15" hidden="false" customHeight="false" outlineLevel="0" collapsed="false">
      <c r="A234" s="17" t="n">
        <f aca="false">A233+1</f>
        <v>382</v>
      </c>
      <c r="B234" s="18" t="s">
        <v>78</v>
      </c>
      <c r="C234" s="19" t="str">
        <f aca="false">_xlfn.xlookup(B234,[1]Clients!B$1:B$1048576,[1]Clients!C$1:C$1048576)</f>
        <v>Labelink</v>
      </c>
      <c r="D234" s="18" t="s">
        <v>395</v>
      </c>
      <c r="E234" s="19" t="str">
        <f aca="false">_xlfn.xlookup(D234,[1]Clients!B$1:B$1048576,[1]Clients!C$1:C$1048576)</f>
        <v>Labelink Mtrl</v>
      </c>
      <c r="F234" s="20" t="n">
        <v>45727</v>
      </c>
      <c r="G234" s="21" t="s">
        <v>58</v>
      </c>
      <c r="H234" s="19" t="n">
        <v>146122</v>
      </c>
      <c r="I234" s="19" t="s">
        <v>396</v>
      </c>
      <c r="J234" s="21" t="n">
        <v>45734</v>
      </c>
      <c r="K234" s="19"/>
      <c r="L234" s="35" t="n">
        <f aca="false">_xlfn.xlookup(B234,[1]Clients!B$1:B$1048576,[1]Clients!X$1:X$1048576,FALSE())</f>
        <v>0</v>
      </c>
      <c r="M234" s="35" t="str">
        <f aca="false">_xlfn.xlookup(B234,[1]Clients!B$1:B$1048576,[1]Clients!N$1:N$1048576,FALSE())</f>
        <v>Net 30 days</v>
      </c>
      <c r="N234" s="35" t="str">
        <f aca="false">_xlfn.xlookup(B234,[1]Clients!B$1:B$1048576,[1]Clients!S$1:S$1048576,FALSE())</f>
        <v>Delivery Included</v>
      </c>
      <c r="O234" s="36" t="n">
        <f aca="false">SUMIF('PO item'!$D:$D,$A234,'PO item'!$X:$X)</f>
        <v>2455.2</v>
      </c>
      <c r="P234" s="23" t="str">
        <f aca="false">_xlfn.xlookup(B234,[1]Clients!B$1:B$1048576,[1]Clients!Y$1:Y$1048576,FALSE())</f>
        <v>CAD</v>
      </c>
      <c r="Q234" s="23" t="str">
        <f aca="false">_xlfn.xlookup(B234,[1]Clients!B$1:B$1048576,[1]Clients!Z$1:Z$1048576,FALSE())</f>
        <v>CAD</v>
      </c>
      <c r="R234" s="25"/>
      <c r="S234" s="34"/>
      <c r="T234" s="25"/>
      <c r="U234" s="25"/>
      <c r="V234" s="26"/>
      <c r="W234" s="1"/>
      <c r="X234" s="26"/>
      <c r="Y234" s="26"/>
      <c r="Z234" s="25"/>
      <c r="AA234" s="34"/>
      <c r="AB234" s="25"/>
      <c r="AC234" s="25"/>
      <c r="AD234" s="26"/>
      <c r="AE234" s="1"/>
      <c r="AF234" s="26"/>
      <c r="AG234" s="26"/>
      <c r="AH234" s="27"/>
      <c r="AI234" s="27"/>
      <c r="AJ234" s="27"/>
      <c r="AK234" s="27"/>
      <c r="AL234" s="27"/>
      <c r="AM234" s="27"/>
      <c r="AN234" s="27"/>
      <c r="AO234" s="27"/>
      <c r="AP234" s="27"/>
      <c r="AQ234" s="27"/>
      <c r="AR234" s="27"/>
      <c r="AS234" s="27"/>
      <c r="AT234" s="27"/>
      <c r="AU234" s="27"/>
      <c r="AV234" s="27"/>
      <c r="AW234" s="27"/>
      <c r="AX234" s="27"/>
      <c r="AY234" s="27"/>
      <c r="AZ234" s="27"/>
      <c r="BA234" s="27"/>
      <c r="BB234" s="27"/>
      <c r="BC234" s="27"/>
      <c r="BD234" s="27"/>
      <c r="BE234" s="28"/>
    </row>
    <row r="235" customFormat="false" ht="15" hidden="false" customHeight="false" outlineLevel="0" collapsed="false">
      <c r="A235" s="17" t="n">
        <f aca="false">A234+1</f>
        <v>383</v>
      </c>
      <c r="B235" s="18" t="s">
        <v>96</v>
      </c>
      <c r="C235" s="19" t="str">
        <f aca="false">_xlfn.xlookup(B235,[1]Clients!B$1:B$1048576,[1]Clients!C$1:C$1048576)</f>
        <v>Luso-Flex</v>
      </c>
      <c r="D235" s="18" t="s">
        <v>96</v>
      </c>
      <c r="E235" s="19" t="str">
        <f aca="false">_xlfn.xlookup(D235,[1]Clients!B$1:B$1048576,[1]Clients!C$1:C$1048576)</f>
        <v>Luso-Flex</v>
      </c>
      <c r="F235" s="20" t="n">
        <v>45727</v>
      </c>
      <c r="G235" s="21" t="s">
        <v>58</v>
      </c>
      <c r="H235" s="19" t="n">
        <v>1992</v>
      </c>
      <c r="I235" s="19" t="s">
        <v>99</v>
      </c>
      <c r="J235" s="21" t="n">
        <v>45736</v>
      </c>
      <c r="K235" s="19"/>
      <c r="L235" s="35" t="n">
        <f aca="false">_xlfn.xlookup(B235,[1]Clients!B$1:B$1048576,[1]Clients!X$1:X$1048576,FALSE())</f>
        <v>0</v>
      </c>
      <c r="M235" s="35" t="str">
        <f aca="false">_xlfn.xlookup(B235,[1]Clients!B$1:B$1048576,[1]Clients!N$1:N$1048576,FALSE())</f>
        <v>Net 30 jours</v>
      </c>
      <c r="N235" s="35" t="str">
        <f aca="false">_xlfn.xlookup(B235,[1]Clients!B$1:B$1048576,[1]Clients!S$1:S$1048576,FALSE())</f>
        <v>Livraison incluse</v>
      </c>
      <c r="O235" s="36" t="n">
        <f aca="false">SUMIF('PO item'!$D:$D,$A235,'PO item'!$X:$X)</f>
        <v>6859.8</v>
      </c>
      <c r="P235" s="23" t="str">
        <f aca="false">_xlfn.xlookup(B235,[1]Clients!B$1:B$1048576,[1]Clients!Y$1:Y$1048576,FALSE())</f>
        <v>CAD</v>
      </c>
      <c r="Q235" s="23" t="str">
        <f aca="false">_xlfn.xlookup(B235,[1]Clients!B$1:B$1048576,[1]Clients!Z$1:Z$1048576,FALSE())</f>
        <v>CAD</v>
      </c>
      <c r="R235" s="25"/>
      <c r="S235" s="34"/>
      <c r="T235" s="25"/>
      <c r="U235" s="25"/>
      <c r="V235" s="26"/>
      <c r="W235" s="1"/>
      <c r="X235" s="26"/>
      <c r="Y235" s="26"/>
      <c r="Z235" s="25"/>
      <c r="AA235" s="34"/>
      <c r="AB235" s="25"/>
      <c r="AC235" s="25"/>
      <c r="AD235" s="26"/>
      <c r="AE235" s="1"/>
      <c r="AF235" s="26"/>
      <c r="AG235" s="26"/>
      <c r="AH235" s="27"/>
      <c r="AI235" s="27"/>
      <c r="AJ235" s="27"/>
      <c r="AK235" s="27"/>
      <c r="AL235" s="27"/>
      <c r="AM235" s="27"/>
      <c r="AN235" s="27"/>
      <c r="AO235" s="27"/>
      <c r="AP235" s="27"/>
      <c r="AQ235" s="27"/>
      <c r="AR235" s="27"/>
      <c r="AS235" s="27"/>
      <c r="AT235" s="27"/>
      <c r="AU235" s="27"/>
      <c r="AV235" s="27"/>
      <c r="AW235" s="27"/>
      <c r="AX235" s="27"/>
      <c r="AY235" s="27"/>
      <c r="AZ235" s="27"/>
      <c r="BA235" s="27"/>
      <c r="BB235" s="27"/>
      <c r="BC235" s="27"/>
      <c r="BD235" s="27"/>
      <c r="BE235" s="28"/>
    </row>
    <row r="236" customFormat="false" ht="15" hidden="false" customHeight="false" outlineLevel="0" collapsed="false">
      <c r="A236" s="17" t="n">
        <f aca="false">A235+1</f>
        <v>384</v>
      </c>
      <c r="B236" s="18" t="s">
        <v>418</v>
      </c>
      <c r="C236" s="19" t="str">
        <f aca="false">_xlfn.xlookup(B236,[1]Clients!B$1:B$1048576,[1]Clients!C$1:C$1048576)</f>
        <v>Inter Label</v>
      </c>
      <c r="D236" s="18" t="s">
        <v>418</v>
      </c>
      <c r="E236" s="19" t="str">
        <f aca="false">_xlfn.xlookup(D236,[1]Clients!B$1:B$1048576,[1]Clients!C$1:C$1048576)</f>
        <v>Inter Label</v>
      </c>
      <c r="F236" s="20" t="n">
        <v>45728</v>
      </c>
      <c r="G236" s="21" t="s">
        <v>58</v>
      </c>
      <c r="H236" s="19" t="s">
        <v>419</v>
      </c>
      <c r="I236" s="19" t="s">
        <v>420</v>
      </c>
      <c r="J236" s="21" t="n">
        <v>45735</v>
      </c>
      <c r="K236" s="19"/>
      <c r="L236" s="35" t="n">
        <f aca="false">_xlfn.xlookup(B236,[1]Clients!B$1:B$1048576,[1]Clients!X$1:X$1048576,FALSE())</f>
        <v>0</v>
      </c>
      <c r="M236" s="35" t="str">
        <f aca="false">_xlfn.xlookup(B236,[1]Clients!B$1:B$1048576,[1]Clients!N$1:N$1048576,FALSE())</f>
        <v>Net 30 days</v>
      </c>
      <c r="N236" s="35" t="str">
        <f aca="false">_xlfn.xlookup(B236,[1]Clients!B$1:B$1048576,[1]Clients!S$1:S$1048576,FALSE())</f>
        <v>Delivery Included</v>
      </c>
      <c r="O236" s="36" t="n">
        <f aca="false">SUMIF('PO item'!$D:$D,$A236,'PO item'!$X:$X)</f>
        <v>0</v>
      </c>
      <c r="P236" s="23" t="str">
        <f aca="false">_xlfn.xlookup(B236,[1]Clients!B$1:B$1048576,[1]Clients!Y$1:Y$1048576,FALSE())</f>
        <v>CAD</v>
      </c>
      <c r="Q236" s="23" t="str">
        <f aca="false">_xlfn.xlookup(B236,[1]Clients!B$1:B$1048576,[1]Clients!Z$1:Z$1048576,FALSE())</f>
        <v>CAD</v>
      </c>
      <c r="R236" s="25"/>
      <c r="S236" s="34"/>
      <c r="T236" s="25"/>
      <c r="U236" s="25"/>
      <c r="V236" s="26"/>
      <c r="W236" s="1"/>
      <c r="X236" s="26"/>
      <c r="Y236" s="26"/>
      <c r="Z236" s="25"/>
      <c r="AA236" s="34"/>
      <c r="AB236" s="25"/>
      <c r="AC236" s="25"/>
      <c r="AD236" s="26"/>
      <c r="AE236" s="1"/>
      <c r="AF236" s="26"/>
      <c r="AG236" s="26"/>
      <c r="AH236" s="27"/>
      <c r="AI236" s="27"/>
      <c r="AJ236" s="27"/>
      <c r="AK236" s="27"/>
      <c r="AL236" s="27"/>
      <c r="AM236" s="27"/>
      <c r="AN236" s="27"/>
      <c r="AO236" s="27"/>
      <c r="AP236" s="27"/>
      <c r="AQ236" s="27"/>
      <c r="AR236" s="27"/>
      <c r="AS236" s="27"/>
      <c r="AT236" s="27"/>
      <c r="AU236" s="27"/>
      <c r="AV236" s="27"/>
      <c r="AW236" s="27"/>
      <c r="AX236" s="27"/>
      <c r="AY236" s="27"/>
      <c r="AZ236" s="27"/>
      <c r="BA236" s="27"/>
      <c r="BB236" s="27"/>
      <c r="BC236" s="27"/>
      <c r="BD236" s="27"/>
      <c r="BE236" s="28"/>
    </row>
    <row r="237" customFormat="false" ht="15" hidden="false" customHeight="false" outlineLevel="0" collapsed="false">
      <c r="A237" s="17" t="n">
        <f aca="false">A236+1</f>
        <v>385</v>
      </c>
      <c r="B237" s="18" t="s">
        <v>421</v>
      </c>
      <c r="C237" s="19" t="str">
        <f aca="false">_xlfn.xlookup(B237,[1]Clients!B$1:B$1048576,[1]Clients!C$1:C$1048576)</f>
        <v>Étiquesse</v>
      </c>
      <c r="D237" s="18" t="s">
        <v>421</v>
      </c>
      <c r="E237" s="19" t="str">
        <f aca="false">_xlfn.xlookup(D237,[1]Clients!B$1:B$1048576,[1]Clients!C$1:C$1048576)</f>
        <v>Étiquesse</v>
      </c>
      <c r="F237" s="20" t="n">
        <v>45729</v>
      </c>
      <c r="G237" s="21" t="s">
        <v>58</v>
      </c>
      <c r="H237" s="19" t="s">
        <v>105</v>
      </c>
      <c r="I237" s="19" t="s">
        <v>422</v>
      </c>
      <c r="J237" s="21" t="n">
        <v>45736</v>
      </c>
      <c r="K237" s="19"/>
      <c r="L237" s="35" t="n">
        <f aca="false">_xlfn.xlookup(B237,[1]Clients!B$1:B$1048576,[1]Clients!X$1:X$1048576,FALSE())</f>
        <v>0</v>
      </c>
      <c r="M237" s="35" t="str">
        <f aca="false">_xlfn.xlookup(B237,[1]Clients!B$1:B$1048576,[1]Clients!N$1:N$1048576,FALSE())</f>
        <v>Net 30 jours</v>
      </c>
      <c r="N237" s="35" t="str">
        <f aca="false">_xlfn.xlookup(B237,[1]Clients!B$1:B$1048576,[1]Clients!S$1:S$1048576,FALSE())</f>
        <v>Livraison incluse</v>
      </c>
      <c r="O237" s="36" t="n">
        <f aca="false">SUMIF('PO item'!$D:$D,$A237,'PO item'!$X:$X)</f>
        <v>0</v>
      </c>
      <c r="P237" s="23" t="str">
        <f aca="false">_xlfn.xlookup(B237,[1]Clients!B$1:B$1048576,[1]Clients!Y$1:Y$1048576,FALSE())</f>
        <v>CAD</v>
      </c>
      <c r="Q237" s="23" t="str">
        <f aca="false">_xlfn.xlookup(B237,[1]Clients!B$1:B$1048576,[1]Clients!Z$1:Z$1048576,FALSE())</f>
        <v>CAD</v>
      </c>
      <c r="R237" s="25"/>
      <c r="S237" s="34"/>
      <c r="T237" s="25"/>
      <c r="U237" s="25"/>
      <c r="V237" s="26"/>
      <c r="W237" s="1"/>
      <c r="X237" s="26"/>
      <c r="Y237" s="26"/>
      <c r="Z237" s="25"/>
      <c r="AA237" s="34"/>
      <c r="AB237" s="25"/>
      <c r="AC237" s="25"/>
      <c r="AD237" s="26"/>
      <c r="AE237" s="1"/>
      <c r="AF237" s="26"/>
      <c r="AG237" s="26"/>
      <c r="AH237" s="27"/>
      <c r="AI237" s="27"/>
      <c r="AJ237" s="27"/>
      <c r="AK237" s="27"/>
      <c r="AL237" s="27"/>
      <c r="AM237" s="27"/>
      <c r="AN237" s="27"/>
      <c r="AO237" s="27"/>
      <c r="AP237" s="27"/>
      <c r="AQ237" s="27"/>
      <c r="AR237" s="27"/>
      <c r="AS237" s="27"/>
      <c r="AT237" s="27"/>
      <c r="AU237" s="27"/>
      <c r="AV237" s="27"/>
      <c r="AW237" s="27"/>
      <c r="AX237" s="27"/>
      <c r="AY237" s="27"/>
      <c r="AZ237" s="27"/>
      <c r="BA237" s="27"/>
      <c r="BB237" s="27"/>
      <c r="BC237" s="27"/>
      <c r="BD237" s="27"/>
      <c r="BE237" s="28"/>
    </row>
    <row r="238" customFormat="false" ht="15" hidden="false" customHeight="false" outlineLevel="0" collapsed="false">
      <c r="A238" s="17" t="n">
        <f aca="false">A237+1</f>
        <v>386</v>
      </c>
      <c r="B238" s="37" t="s">
        <v>306</v>
      </c>
      <c r="C238" s="19" t="str">
        <f aca="false">_xlfn.xlookup(B238,[1]Clients!B$1:B$1048576,[1]Clients!C$1:C$1048576)</f>
        <v>Nationale admin</v>
      </c>
      <c r="D238" s="37" t="s">
        <v>307</v>
      </c>
      <c r="E238" s="19" t="str">
        <f aca="false">_xlfn.xlookup(D238,[1]Clients!B$1:B$1048576,[1]Clients!C$1:C$1048576)</f>
        <v>Nationale livraison</v>
      </c>
      <c r="F238" s="38" t="n">
        <v>45730</v>
      </c>
      <c r="G238" s="21" t="s">
        <v>58</v>
      </c>
      <c r="H238" s="37" t="s">
        <v>423</v>
      </c>
      <c r="I238" s="37" t="s">
        <v>309</v>
      </c>
      <c r="J238" s="39" t="n">
        <v>45737</v>
      </c>
      <c r="K238" s="37"/>
      <c r="L238" s="40" t="n">
        <f aca="false">_xlfn.xlookup(B238,[1]Clients!B$1:B$1048576,[1]Clients!X$1:X$1048576,FALSE())</f>
        <v>0</v>
      </c>
      <c r="M238" s="40" t="str">
        <f aca="false">_xlfn.xlookup(B238,[1]Clients!B$1:B$1048576,[1]Clients!N$1:N$1048576,FALSE())</f>
        <v>Net 30 jours</v>
      </c>
      <c r="N238" s="40" t="str">
        <f aca="false">_xlfn.xlookup(B238,[1]Clients!B$1:B$1048576,[1]Clients!S$1:S$1048576,FALSE())</f>
        <v>Livraison incluse</v>
      </c>
      <c r="O238" s="41" t="n">
        <f aca="false">SUMIF('PO item'!$D:$D,$A238,'PO item'!$X:$X)</f>
        <v>5342.4</v>
      </c>
      <c r="P238" s="42" t="str">
        <f aca="false">_xlfn.xlookup(B238,[1]Clients!B$1:B$1048576,[1]Clients!Y$1:Y$1048576,FALSE())</f>
        <v>CAD</v>
      </c>
      <c r="Q238" s="42" t="str">
        <f aca="false">_xlfn.xlookup(B238,[1]Clients!B$1:B$1048576,[1]Clients!Z$1:Z$1048576,FALSE())</f>
        <v>CAD</v>
      </c>
      <c r="R238" s="25"/>
      <c r="S238" s="34"/>
      <c r="T238" s="25"/>
      <c r="U238" s="25"/>
      <c r="V238" s="26"/>
      <c r="W238" s="1"/>
      <c r="X238" s="26"/>
      <c r="Y238" s="26"/>
      <c r="Z238" s="25"/>
      <c r="AA238" s="34"/>
      <c r="AB238" s="25"/>
      <c r="AC238" s="25"/>
      <c r="AD238" s="26"/>
      <c r="AE238" s="1"/>
      <c r="AF238" s="26"/>
      <c r="AG238" s="26"/>
      <c r="AH238" s="27"/>
      <c r="AI238" s="27"/>
      <c r="AJ238" s="27"/>
      <c r="AK238" s="27"/>
      <c r="AL238" s="27"/>
      <c r="AM238" s="27"/>
      <c r="AN238" s="27"/>
      <c r="AO238" s="27"/>
      <c r="AP238" s="27"/>
      <c r="AQ238" s="27"/>
      <c r="AR238" s="27"/>
      <c r="AS238" s="27"/>
      <c r="AT238" s="27"/>
      <c r="AU238" s="27"/>
      <c r="AV238" s="27"/>
      <c r="AW238" s="27"/>
      <c r="AX238" s="27"/>
      <c r="AY238" s="27"/>
      <c r="AZ238" s="27"/>
      <c r="BA238" s="27"/>
      <c r="BB238" s="27"/>
      <c r="BC238" s="27"/>
      <c r="BD238" s="27"/>
      <c r="BE238" s="28"/>
    </row>
    <row r="239" customFormat="false" ht="15" hidden="false" customHeight="false" outlineLevel="0" collapsed="false">
      <c r="A239" s="17" t="n">
        <f aca="false">A238+1</f>
        <v>387</v>
      </c>
      <c r="B239" s="37" t="s">
        <v>159</v>
      </c>
      <c r="C239" s="19" t="str">
        <f aca="false">_xlfn.xlookup(B239,[1]Clients!B$1:B$1048576,[1]Clients!C$1:C$1048576)</f>
        <v>Damaflex</v>
      </c>
      <c r="D239" s="18" t="s">
        <v>160</v>
      </c>
      <c r="E239" s="19" t="str">
        <f aca="false">_xlfn.xlookup(D239,[1]Clients!B$1:B$1048576,[1]Clients!C$1:C$1048576)</f>
        <v>Damaflex livraison</v>
      </c>
      <c r="F239" s="38" t="n">
        <v>45733</v>
      </c>
      <c r="G239" s="21" t="s">
        <v>58</v>
      </c>
      <c r="H239" s="37" t="n">
        <v>179205</v>
      </c>
      <c r="I239" s="37" t="s">
        <v>161</v>
      </c>
      <c r="J239" s="39" t="n">
        <v>45740</v>
      </c>
      <c r="K239" s="37"/>
      <c r="L239" s="40" t="n">
        <f aca="false">_xlfn.xlookup(B239,[1]Clients!B$1:B$1048576,[1]Clients!X$1:X$1048576,FALSE())</f>
        <v>0</v>
      </c>
      <c r="M239" s="40" t="str">
        <f aca="false">_xlfn.xlookup(B239,[1]Clients!B$1:B$1048576,[1]Clients!N$1:N$1048576,FALSE())</f>
        <v>Net 30 jours</v>
      </c>
      <c r="N239" s="40" t="str">
        <f aca="false">_xlfn.xlookup(B239,[1]Clients!B$1:B$1048576,[1]Clients!S$1:S$1048576,FALSE())</f>
        <v>Livraison incluse</v>
      </c>
      <c r="O239" s="41" t="n">
        <f aca="false">SUMIF('PO item'!$D:$D,$A239,'PO item'!$X:$X)</f>
        <v>3045.6</v>
      </c>
      <c r="P239" s="42" t="str">
        <f aca="false">_xlfn.xlookup(B239,[1]Clients!B$1:B$1048576,[1]Clients!Y$1:Y$1048576,FALSE())</f>
        <v>CAD</v>
      </c>
      <c r="Q239" s="42" t="str">
        <f aca="false">_xlfn.xlookup(B239,[1]Clients!B$1:B$1048576,[1]Clients!Z$1:Z$1048576,FALSE())</f>
        <v>CAD</v>
      </c>
      <c r="R239" s="25"/>
      <c r="S239" s="34"/>
      <c r="T239" s="25"/>
      <c r="U239" s="25"/>
      <c r="V239" s="26"/>
      <c r="W239" s="1"/>
      <c r="X239" s="26"/>
      <c r="Y239" s="26"/>
      <c r="Z239" s="25"/>
      <c r="AA239" s="34"/>
      <c r="AB239" s="25"/>
      <c r="AC239" s="25"/>
      <c r="AD239" s="26"/>
      <c r="AE239" s="1"/>
      <c r="AF239" s="26"/>
      <c r="AG239" s="26"/>
      <c r="AH239" s="27"/>
      <c r="AI239" s="27"/>
      <c r="AJ239" s="27"/>
      <c r="AK239" s="27"/>
      <c r="AL239" s="27"/>
      <c r="AM239" s="27"/>
      <c r="AN239" s="27"/>
      <c r="AO239" s="27"/>
      <c r="AP239" s="27"/>
      <c r="AQ239" s="27"/>
      <c r="AR239" s="27"/>
      <c r="AS239" s="27"/>
      <c r="AT239" s="27"/>
      <c r="AU239" s="27"/>
      <c r="AV239" s="27"/>
      <c r="AW239" s="27"/>
      <c r="AX239" s="27"/>
      <c r="AY239" s="27"/>
      <c r="AZ239" s="27"/>
      <c r="BA239" s="27"/>
      <c r="BB239" s="27"/>
      <c r="BC239" s="27"/>
      <c r="BD239" s="27"/>
      <c r="BE239" s="28"/>
    </row>
    <row r="240" customFormat="false" ht="15" hidden="false" customHeight="false" outlineLevel="0" collapsed="false">
      <c r="A240" s="17" t="n">
        <f aca="false">A239+1</f>
        <v>388</v>
      </c>
      <c r="B240" s="37" t="s">
        <v>78</v>
      </c>
      <c r="C240" s="19" t="str">
        <f aca="false">_xlfn.xlookup(B240,[1]Clients!B$1:B$1048576,[1]Clients!C$1:C$1048576)</f>
        <v>Labelink</v>
      </c>
      <c r="D240" s="37" t="s">
        <v>395</v>
      </c>
      <c r="E240" s="19" t="str">
        <f aca="false">_xlfn.xlookup(D240,[1]Clients!B$1:B$1048576,[1]Clients!C$1:C$1048576)</f>
        <v>Labelink Mtrl</v>
      </c>
      <c r="F240" s="38" t="n">
        <v>45733</v>
      </c>
      <c r="G240" s="39" t="s">
        <v>424</v>
      </c>
      <c r="H240" s="37" t="n">
        <v>146349</v>
      </c>
      <c r="I240" s="37" t="s">
        <v>396</v>
      </c>
      <c r="J240" s="39" t="n">
        <v>45777</v>
      </c>
      <c r="K240" s="37"/>
      <c r="L240" s="40" t="n">
        <f aca="false">_xlfn.xlookup(B240,[1]Clients!B$1:B$1048576,[1]Clients!X$1:X$1048576,FALSE())</f>
        <v>0</v>
      </c>
      <c r="M240" s="40" t="str">
        <f aca="false">_xlfn.xlookup(B240,[1]Clients!B$1:B$1048576,[1]Clients!N$1:N$1048576,FALSE())</f>
        <v>Net 30 days</v>
      </c>
      <c r="N240" s="40" t="str">
        <f aca="false">_xlfn.xlookup(B240,[1]Clients!B$1:B$1048576,[1]Clients!S$1:S$1048576,FALSE())</f>
        <v>Delivery Included</v>
      </c>
      <c r="O240" s="41" t="n">
        <f aca="false">SUMIF('PO item'!$D:$D,$A240,'PO item'!$X:$X)</f>
        <v>5851.44</v>
      </c>
      <c r="P240" s="42" t="str">
        <f aca="false">_xlfn.xlookup(B240,[1]Clients!B$1:B$1048576,[1]Clients!Y$1:Y$1048576,FALSE())</f>
        <v>CAD</v>
      </c>
      <c r="Q240" s="42" t="str">
        <f aca="false">_xlfn.xlookup(B240,[1]Clients!B$1:B$1048576,[1]Clients!Z$1:Z$1048576,FALSE())</f>
        <v>CAD</v>
      </c>
      <c r="R240" s="25"/>
      <c r="S240" s="34"/>
      <c r="T240" s="25"/>
      <c r="U240" s="25"/>
      <c r="V240" s="26"/>
      <c r="W240" s="1"/>
      <c r="X240" s="26"/>
      <c r="Y240" s="26"/>
      <c r="Z240" s="25"/>
      <c r="AA240" s="34"/>
      <c r="AB240" s="25"/>
      <c r="AC240" s="25"/>
      <c r="AD240" s="26"/>
      <c r="AE240" s="1"/>
      <c r="AF240" s="26"/>
      <c r="AG240" s="26"/>
      <c r="AH240" s="27"/>
      <c r="AI240" s="27"/>
      <c r="AJ240" s="27"/>
      <c r="AK240" s="27"/>
      <c r="AL240" s="27"/>
      <c r="AM240" s="27"/>
      <c r="AN240" s="27"/>
      <c r="AO240" s="27"/>
      <c r="AP240" s="27"/>
      <c r="AQ240" s="27"/>
      <c r="AR240" s="27"/>
      <c r="AS240" s="27"/>
      <c r="AT240" s="27"/>
      <c r="AU240" s="27"/>
      <c r="AV240" s="27"/>
      <c r="AW240" s="27"/>
      <c r="AX240" s="27"/>
      <c r="AY240" s="27"/>
      <c r="AZ240" s="27"/>
      <c r="BA240" s="27"/>
      <c r="BB240" s="27"/>
      <c r="BC240" s="27"/>
      <c r="BD240" s="27"/>
      <c r="BE240" s="28"/>
    </row>
    <row r="241" customFormat="false" ht="15" hidden="false" customHeight="false" outlineLevel="0" collapsed="false">
      <c r="A241" s="17" t="n">
        <f aca="false">A240+1</f>
        <v>389</v>
      </c>
      <c r="B241" s="37" t="s">
        <v>120</v>
      </c>
      <c r="C241" s="19" t="str">
        <f aca="false">_xlfn.xlookup(B241,[1]Clients!B$1:B$1048576,[1]Clients!C$1:C$1048576)</f>
        <v>Mijo</v>
      </c>
      <c r="D241" s="37" t="s">
        <v>120</v>
      </c>
      <c r="E241" s="19" t="str">
        <f aca="false">_xlfn.xlookup(D241,[1]Clients!B$1:B$1048576,[1]Clients!C$1:C$1048576)</f>
        <v>Mijo</v>
      </c>
      <c r="F241" s="38" t="n">
        <v>45733</v>
      </c>
      <c r="G241" s="39" t="s">
        <v>424</v>
      </c>
      <c r="H241" s="37" t="n">
        <v>14395</v>
      </c>
      <c r="I241" s="37" t="s">
        <v>122</v>
      </c>
      <c r="J241" s="39" t="n">
        <v>45740</v>
      </c>
      <c r="K241" s="37"/>
      <c r="L241" s="40" t="n">
        <f aca="false">_xlfn.xlookup(B241,[1]Clients!B$1:B$1048576,[1]Clients!X$1:X$1048576,FALSE())</f>
        <v>0</v>
      </c>
      <c r="M241" s="40" t="str">
        <f aca="false">_xlfn.xlookup(B241,[1]Clients!B$1:B$1048576,[1]Clients!N$1:N$1048576,FALSE())</f>
        <v>Net 30 jours</v>
      </c>
      <c r="N241" s="40" t="str">
        <f aca="false">_xlfn.xlookup(B241,[1]Clients!B$1:B$1048576,[1]Clients!S$1:S$1048576,FALSE())</f>
        <v>Delivery Included</v>
      </c>
      <c r="O241" s="41" t="n">
        <f aca="false">SUMIF('PO item'!$D:$D,$A241,'PO item'!$X:$X)</f>
        <v>2505.6</v>
      </c>
      <c r="P241" s="42" t="str">
        <f aca="false">_xlfn.xlookup(B241,[1]Clients!B$1:B$1048576,[1]Clients!Y$1:Y$1048576,FALSE())</f>
        <v>CAD</v>
      </c>
      <c r="Q241" s="42" t="str">
        <f aca="false">_xlfn.xlookup(B241,[1]Clients!B$1:B$1048576,[1]Clients!Z$1:Z$1048576,FALSE())</f>
        <v>CAD</v>
      </c>
      <c r="R241" s="25"/>
      <c r="S241" s="34"/>
      <c r="T241" s="25"/>
      <c r="U241" s="25"/>
      <c r="V241" s="26"/>
      <c r="W241" s="1"/>
      <c r="X241" s="26"/>
      <c r="Y241" s="26"/>
      <c r="Z241" s="25"/>
      <c r="AA241" s="34"/>
      <c r="AB241" s="25"/>
      <c r="AC241" s="25"/>
      <c r="AD241" s="26"/>
      <c r="AE241" s="1"/>
      <c r="AF241" s="26"/>
      <c r="AG241" s="26"/>
      <c r="AH241" s="27"/>
      <c r="AI241" s="27"/>
      <c r="AJ241" s="27"/>
      <c r="AK241" s="27"/>
      <c r="AL241" s="27"/>
      <c r="AM241" s="27"/>
      <c r="AN241" s="27"/>
      <c r="AO241" s="27"/>
      <c r="AP241" s="27"/>
      <c r="AQ241" s="27"/>
      <c r="AR241" s="27"/>
      <c r="AS241" s="27"/>
      <c r="AT241" s="27"/>
      <c r="AU241" s="27"/>
      <c r="AV241" s="27"/>
      <c r="AW241" s="27"/>
      <c r="AX241" s="27"/>
      <c r="AY241" s="27"/>
      <c r="AZ241" s="27"/>
      <c r="BA241" s="27"/>
      <c r="BB241" s="27"/>
      <c r="BC241" s="27"/>
      <c r="BD241" s="27"/>
      <c r="BE241" s="28"/>
    </row>
    <row r="242" customFormat="false" ht="15" hidden="true" customHeight="false" outlineLevel="0" collapsed="false">
      <c r="A242" s="43"/>
      <c r="B242" s="37"/>
      <c r="C242" s="19" t="n">
        <f aca="false">_xlfn.xlookup(B242,[1]Clients!B$1:B$1048576,[1]Clients!C$1:C$1048576)</f>
        <v>0</v>
      </c>
      <c r="D242" s="37"/>
      <c r="E242" s="19" t="n">
        <f aca="false">_xlfn.xlookup(D242,[1]Clients!B$1:B$1048576,[1]Clients!C$1:C$1048576)</f>
        <v>0</v>
      </c>
      <c r="F242" s="38"/>
      <c r="G242" s="39"/>
      <c r="H242" s="37"/>
      <c r="I242" s="37"/>
      <c r="J242" s="39"/>
      <c r="K242" s="37"/>
      <c r="L242" s="40" t="n">
        <f aca="false">_xlfn.xlookup(B242,[1]Clients!B$1:B$1048576,[1]Clients!X$1:X$1048576,FALSE())</f>
        <v>0</v>
      </c>
      <c r="M242" s="40" t="n">
        <f aca="false">_xlfn.xlookup(B242,[1]Clients!B$1:B$1048576,[1]Clients!N$1:N$1048576,FALSE())</f>
        <v>0</v>
      </c>
      <c r="N242" s="40" t="n">
        <f aca="false">_xlfn.xlookup(B242,[1]Clients!B$1:B$1048576,[1]Clients!S$1:S$1048576,FALSE())</f>
        <v>0</v>
      </c>
      <c r="O242" s="41" t="n">
        <f aca="false">SUMIF('PO item'!$D:$D,$A242,'PO item'!$X:$X)</f>
        <v>0</v>
      </c>
      <c r="P242" s="42" t="n">
        <f aca="false">_xlfn.xlookup(B242,[1]Clients!B$1:B$1048576,[1]Clients!Y$1:Y$1048576,FALSE())</f>
        <v>0</v>
      </c>
      <c r="Q242" s="42" t="n">
        <f aca="false">_xlfn.xlookup(B242,[1]Clients!B$1:B$1048576,[1]Clients!Z$1:Z$1048576,FALSE())</f>
        <v>0</v>
      </c>
      <c r="R242" s="25"/>
      <c r="S242" s="34"/>
      <c r="T242" s="25"/>
      <c r="U242" s="25"/>
      <c r="V242" s="26"/>
      <c r="W242" s="1"/>
      <c r="X242" s="26"/>
      <c r="Y242" s="26"/>
      <c r="Z242" s="25"/>
      <c r="AA242" s="34"/>
      <c r="AB242" s="25"/>
      <c r="AC242" s="25"/>
      <c r="AD242" s="26"/>
      <c r="AE242" s="1"/>
      <c r="AF242" s="26"/>
      <c r="AG242" s="26"/>
      <c r="AH242" s="27"/>
      <c r="AI242" s="27"/>
      <c r="AJ242" s="27"/>
      <c r="AK242" s="27"/>
      <c r="AL242" s="27"/>
      <c r="AM242" s="27"/>
      <c r="AN242" s="27"/>
      <c r="AO242" s="27"/>
      <c r="AP242" s="27"/>
      <c r="AQ242" s="27"/>
      <c r="AR242" s="27"/>
      <c r="AS242" s="27"/>
      <c r="AT242" s="27"/>
      <c r="AU242" s="27"/>
      <c r="AV242" s="27"/>
      <c r="AW242" s="27"/>
      <c r="AX242" s="27"/>
      <c r="AY242" s="27"/>
      <c r="AZ242" s="27"/>
      <c r="BA242" s="27"/>
      <c r="BB242" s="27"/>
      <c r="BC242" s="27"/>
      <c r="BD242" s="27"/>
      <c r="BE242" s="28"/>
    </row>
    <row r="243" customFormat="false" ht="15" hidden="true" customHeight="false" outlineLevel="0" collapsed="false">
      <c r="A243" s="43"/>
      <c r="B243" s="37"/>
      <c r="C243" s="19" t="n">
        <f aca="false">_xlfn.xlookup(B243,[1]Clients!B$1:B$1048576,[1]Clients!C$1:C$1048576)</f>
        <v>0</v>
      </c>
      <c r="D243" s="37"/>
      <c r="E243" s="19" t="n">
        <f aca="false">_xlfn.xlookup(D243,[1]Clients!B$1:B$1048576,[1]Clients!C$1:C$1048576)</f>
        <v>0</v>
      </c>
      <c r="F243" s="38"/>
      <c r="G243" s="39"/>
      <c r="H243" s="37"/>
      <c r="I243" s="37"/>
      <c r="J243" s="39"/>
      <c r="K243" s="37"/>
      <c r="L243" s="40" t="n">
        <f aca="false">_xlfn.xlookup(B243,[1]Clients!B$1:B$1048576,[1]Clients!X$1:X$1048576,FALSE())</f>
        <v>0</v>
      </c>
      <c r="M243" s="40" t="n">
        <f aca="false">_xlfn.xlookup(B243,[1]Clients!B$1:B$1048576,[1]Clients!N$1:N$1048576,FALSE())</f>
        <v>0</v>
      </c>
      <c r="N243" s="40" t="n">
        <f aca="false">_xlfn.xlookup(B243,[1]Clients!B$1:B$1048576,[1]Clients!S$1:S$1048576,FALSE())</f>
        <v>0</v>
      </c>
      <c r="O243" s="41" t="n">
        <f aca="false">SUMIF('PO item'!$D:$D,$A243,'PO item'!$X:$X)</f>
        <v>0</v>
      </c>
      <c r="P243" s="42" t="n">
        <f aca="false">_xlfn.xlookup(B243,[1]Clients!B$1:B$1048576,[1]Clients!Y$1:Y$1048576,FALSE())</f>
        <v>0</v>
      </c>
      <c r="Q243" s="42" t="n">
        <f aca="false">_xlfn.xlookup(B243,[1]Clients!B$1:B$1048576,[1]Clients!Z$1:Z$1048576,FALSE())</f>
        <v>0</v>
      </c>
      <c r="R243" s="25"/>
      <c r="S243" s="34"/>
      <c r="T243" s="25"/>
      <c r="U243" s="25"/>
      <c r="V243" s="26"/>
      <c r="W243" s="1"/>
      <c r="X243" s="26"/>
      <c r="Y243" s="26"/>
      <c r="Z243" s="25"/>
      <c r="AA243" s="34"/>
      <c r="AB243" s="25"/>
      <c r="AC243" s="25"/>
      <c r="AD243" s="26"/>
      <c r="AE243" s="1"/>
      <c r="AF243" s="26"/>
      <c r="AG243" s="26"/>
      <c r="AH243" s="27"/>
      <c r="AI243" s="27"/>
      <c r="AJ243" s="27"/>
      <c r="AK243" s="27"/>
      <c r="AL243" s="27"/>
      <c r="AM243" s="27"/>
      <c r="AN243" s="27"/>
      <c r="AO243" s="27"/>
      <c r="AP243" s="27"/>
      <c r="AQ243" s="27"/>
      <c r="AR243" s="27"/>
      <c r="AS243" s="27"/>
      <c r="AT243" s="27"/>
      <c r="AU243" s="27"/>
      <c r="AV243" s="27"/>
      <c r="AW243" s="27"/>
      <c r="AX243" s="27"/>
      <c r="AY243" s="27"/>
      <c r="AZ243" s="27"/>
      <c r="BA243" s="27"/>
      <c r="BB243" s="27"/>
      <c r="BC243" s="27"/>
      <c r="BD243" s="27"/>
      <c r="BE243" s="28"/>
    </row>
    <row r="244" customFormat="false" ht="15" hidden="true" customHeight="false" outlineLevel="0" collapsed="false">
      <c r="A244" s="43"/>
      <c r="B244" s="37"/>
      <c r="C244" s="19" t="n">
        <f aca="false">_xlfn.xlookup(B244,[1]Clients!B$1:B$1048576,[1]Clients!C$1:C$1048576)</f>
        <v>0</v>
      </c>
      <c r="D244" s="37"/>
      <c r="E244" s="19" t="n">
        <f aca="false">_xlfn.xlookup(D244,[1]Clients!B$1:B$1048576,[1]Clients!C$1:C$1048576)</f>
        <v>0</v>
      </c>
      <c r="F244" s="38"/>
      <c r="G244" s="39"/>
      <c r="H244" s="37"/>
      <c r="I244" s="37"/>
      <c r="J244" s="39"/>
      <c r="K244" s="37"/>
      <c r="L244" s="40" t="n">
        <f aca="false">_xlfn.xlookup(B244,[1]Clients!B$1:B$1048576,[1]Clients!X$1:X$1048576,FALSE())</f>
        <v>0</v>
      </c>
      <c r="M244" s="40" t="n">
        <f aca="false">_xlfn.xlookup(B244,[1]Clients!B$1:B$1048576,[1]Clients!N$1:N$1048576,FALSE())</f>
        <v>0</v>
      </c>
      <c r="N244" s="40" t="n">
        <f aca="false">_xlfn.xlookup(B244,[1]Clients!B$1:B$1048576,[1]Clients!S$1:S$1048576,FALSE())</f>
        <v>0</v>
      </c>
      <c r="O244" s="41" t="n">
        <f aca="false">SUMIF('PO item'!$D:$D,$A244,'PO item'!$X:$X)</f>
        <v>0</v>
      </c>
      <c r="P244" s="42" t="n">
        <f aca="false">_xlfn.xlookup(B244,[1]Clients!B$1:B$1048576,[1]Clients!Y$1:Y$1048576,FALSE())</f>
        <v>0</v>
      </c>
      <c r="Q244" s="42" t="n">
        <f aca="false">_xlfn.xlookup(B244,[1]Clients!B$1:B$1048576,[1]Clients!Z$1:Z$1048576,FALSE())</f>
        <v>0</v>
      </c>
      <c r="R244" s="25"/>
      <c r="S244" s="34"/>
      <c r="T244" s="25"/>
      <c r="U244" s="25"/>
      <c r="V244" s="26"/>
      <c r="W244" s="1"/>
      <c r="X244" s="26"/>
      <c r="Y244" s="26"/>
      <c r="Z244" s="25"/>
      <c r="AA244" s="34"/>
      <c r="AB244" s="25"/>
      <c r="AC244" s="25"/>
      <c r="AD244" s="26"/>
      <c r="AE244" s="1"/>
      <c r="AF244" s="26"/>
      <c r="AG244" s="26"/>
      <c r="AH244" s="27"/>
      <c r="AI244" s="27"/>
      <c r="AJ244" s="27"/>
      <c r="AK244" s="27"/>
      <c r="AL244" s="27"/>
      <c r="AM244" s="27"/>
      <c r="AN244" s="27"/>
      <c r="AO244" s="27"/>
      <c r="AP244" s="27"/>
      <c r="AQ244" s="27"/>
      <c r="AR244" s="27"/>
      <c r="AS244" s="27"/>
      <c r="AT244" s="27"/>
      <c r="AU244" s="27"/>
      <c r="AV244" s="27"/>
      <c r="AW244" s="27"/>
      <c r="AX244" s="27"/>
      <c r="AY244" s="27"/>
      <c r="AZ244" s="27"/>
      <c r="BA244" s="27"/>
      <c r="BB244" s="27"/>
      <c r="BC244" s="27"/>
      <c r="BD244" s="27"/>
      <c r="BE244" s="28"/>
    </row>
    <row r="245" customFormat="false" ht="15" hidden="true" customHeight="false" outlineLevel="0" collapsed="false">
      <c r="A245" s="43"/>
      <c r="B245" s="37"/>
      <c r="C245" s="19" t="n">
        <f aca="false">_xlfn.xlookup(B245,[1]Clients!B$1:B$1048576,[1]Clients!C$1:C$1048576)</f>
        <v>0</v>
      </c>
      <c r="D245" s="37"/>
      <c r="E245" s="19" t="n">
        <f aca="false">_xlfn.xlookup(D245,[1]Clients!B$1:B$1048576,[1]Clients!C$1:C$1048576)</f>
        <v>0</v>
      </c>
      <c r="F245" s="38"/>
      <c r="G245" s="39"/>
      <c r="H245" s="37"/>
      <c r="I245" s="37"/>
      <c r="J245" s="39"/>
      <c r="K245" s="37"/>
      <c r="L245" s="40" t="n">
        <f aca="false">_xlfn.xlookup(B245,[1]Clients!B$1:B$1048576,[1]Clients!X$1:X$1048576,FALSE())</f>
        <v>0</v>
      </c>
      <c r="M245" s="40" t="n">
        <f aca="false">_xlfn.xlookup(B245,[1]Clients!B$1:B$1048576,[1]Clients!N$1:N$1048576,FALSE())</f>
        <v>0</v>
      </c>
      <c r="N245" s="40" t="n">
        <f aca="false">_xlfn.xlookup(B245,[1]Clients!B$1:B$1048576,[1]Clients!S$1:S$1048576,FALSE())</f>
        <v>0</v>
      </c>
      <c r="O245" s="41" t="n">
        <f aca="false">SUMIF('PO item'!$D:$D,$A245,'PO item'!$X:$X)</f>
        <v>0</v>
      </c>
      <c r="P245" s="42" t="n">
        <f aca="false">_xlfn.xlookup(B245,[1]Clients!B$1:B$1048576,[1]Clients!Y$1:Y$1048576,FALSE())</f>
        <v>0</v>
      </c>
      <c r="Q245" s="42" t="n">
        <f aca="false">_xlfn.xlookup(B245,[1]Clients!B$1:B$1048576,[1]Clients!Z$1:Z$1048576,FALSE())</f>
        <v>0</v>
      </c>
      <c r="R245" s="25"/>
      <c r="S245" s="34"/>
      <c r="T245" s="25"/>
      <c r="U245" s="25"/>
      <c r="V245" s="26"/>
      <c r="W245" s="1"/>
      <c r="X245" s="26"/>
      <c r="Y245" s="26"/>
      <c r="Z245" s="25"/>
      <c r="AA245" s="34"/>
      <c r="AB245" s="25"/>
      <c r="AC245" s="25"/>
      <c r="AD245" s="26"/>
      <c r="AE245" s="1"/>
      <c r="AF245" s="26"/>
      <c r="AG245" s="26"/>
      <c r="AH245" s="27"/>
      <c r="AI245" s="27"/>
      <c r="AJ245" s="27"/>
      <c r="AK245" s="27"/>
      <c r="AL245" s="27"/>
      <c r="AM245" s="27"/>
      <c r="AN245" s="27"/>
      <c r="AO245" s="27"/>
      <c r="AP245" s="27"/>
      <c r="AQ245" s="27"/>
      <c r="AR245" s="27"/>
      <c r="AS245" s="27"/>
      <c r="AT245" s="27"/>
      <c r="AU245" s="27"/>
      <c r="AV245" s="27"/>
      <c r="AW245" s="27"/>
      <c r="AX245" s="27"/>
      <c r="AY245" s="27"/>
      <c r="AZ245" s="27"/>
      <c r="BA245" s="27"/>
      <c r="BB245" s="27"/>
      <c r="BC245" s="27"/>
      <c r="BD245" s="27"/>
      <c r="BE245" s="28"/>
    </row>
    <row r="246" customFormat="false" ht="15" hidden="true" customHeight="false" outlineLevel="0" collapsed="false">
      <c r="A246" s="43"/>
      <c r="B246" s="37"/>
      <c r="C246" s="19" t="n">
        <f aca="false">_xlfn.xlookup(B246,[1]Clients!B$1:B$1048576,[1]Clients!C$1:C$1048576)</f>
        <v>0</v>
      </c>
      <c r="D246" s="37"/>
      <c r="E246" s="19" t="n">
        <f aca="false">_xlfn.xlookup(D246,[1]Clients!B$1:B$1048576,[1]Clients!C$1:C$1048576)</f>
        <v>0</v>
      </c>
      <c r="F246" s="38"/>
      <c r="G246" s="39"/>
      <c r="H246" s="37"/>
      <c r="I246" s="37"/>
      <c r="J246" s="39"/>
      <c r="K246" s="37"/>
      <c r="L246" s="40" t="n">
        <f aca="false">_xlfn.xlookup(B246,[1]Clients!B$1:B$1048576,[1]Clients!X$1:X$1048576,FALSE())</f>
        <v>0</v>
      </c>
      <c r="M246" s="40" t="n">
        <f aca="false">_xlfn.xlookup(B246,[1]Clients!B$1:B$1048576,[1]Clients!N$1:N$1048576,FALSE())</f>
        <v>0</v>
      </c>
      <c r="N246" s="40" t="n">
        <f aca="false">_xlfn.xlookup(B246,[1]Clients!B$1:B$1048576,[1]Clients!S$1:S$1048576,FALSE())</f>
        <v>0</v>
      </c>
      <c r="O246" s="41" t="n">
        <f aca="false">SUMIF('PO item'!$D:$D,$A246,'PO item'!$X:$X)</f>
        <v>0</v>
      </c>
      <c r="P246" s="42" t="n">
        <f aca="false">_xlfn.xlookup(B246,[1]Clients!B$1:B$1048576,[1]Clients!Y$1:Y$1048576,FALSE())</f>
        <v>0</v>
      </c>
      <c r="Q246" s="42" t="n">
        <f aca="false">_xlfn.xlookup(B246,[1]Clients!B$1:B$1048576,[1]Clients!Z$1:Z$1048576,FALSE())</f>
        <v>0</v>
      </c>
      <c r="R246" s="25"/>
      <c r="S246" s="34"/>
      <c r="T246" s="25"/>
      <c r="U246" s="25"/>
      <c r="V246" s="26"/>
      <c r="W246" s="1"/>
      <c r="X246" s="26"/>
      <c r="Y246" s="26"/>
      <c r="Z246" s="25"/>
      <c r="AA246" s="34"/>
      <c r="AB246" s="25"/>
      <c r="AC246" s="25"/>
      <c r="AD246" s="26"/>
      <c r="AE246" s="1"/>
      <c r="AF246" s="26"/>
      <c r="AG246" s="26"/>
      <c r="AH246" s="27"/>
      <c r="AI246" s="27"/>
      <c r="AJ246" s="27"/>
      <c r="AK246" s="27"/>
      <c r="AL246" s="27"/>
      <c r="AM246" s="27"/>
      <c r="AN246" s="27"/>
      <c r="AO246" s="27"/>
      <c r="AP246" s="27"/>
      <c r="AQ246" s="27"/>
      <c r="AR246" s="27"/>
      <c r="AS246" s="27"/>
      <c r="AT246" s="27"/>
      <c r="AU246" s="27"/>
      <c r="AV246" s="27"/>
      <c r="AW246" s="27"/>
      <c r="AX246" s="27"/>
      <c r="AY246" s="27"/>
      <c r="AZ246" s="27"/>
      <c r="BA246" s="27"/>
      <c r="BB246" s="27"/>
      <c r="BC246" s="27"/>
      <c r="BD246" s="27"/>
      <c r="BE246" s="28"/>
    </row>
    <row r="247" customFormat="false" ht="15" hidden="true" customHeight="false" outlineLevel="0" collapsed="false">
      <c r="A247" s="43"/>
      <c r="B247" s="37"/>
      <c r="C247" s="19" t="n">
        <f aca="false">_xlfn.xlookup(B247,[1]Clients!B$1:B$1048576,[1]Clients!C$1:C$1048576)</f>
        <v>0</v>
      </c>
      <c r="D247" s="37"/>
      <c r="E247" s="19" t="n">
        <f aca="false">_xlfn.xlookup(D247,[1]Clients!B$1:B$1048576,[1]Clients!C$1:C$1048576)</f>
        <v>0</v>
      </c>
      <c r="F247" s="38"/>
      <c r="G247" s="39"/>
      <c r="H247" s="37"/>
      <c r="I247" s="37"/>
      <c r="J247" s="39"/>
      <c r="K247" s="37"/>
      <c r="L247" s="40" t="n">
        <f aca="false">_xlfn.xlookup(B247,[1]Clients!B$1:B$1048576,[1]Clients!X$1:X$1048576,FALSE())</f>
        <v>0</v>
      </c>
      <c r="M247" s="40" t="n">
        <f aca="false">_xlfn.xlookup(B247,[1]Clients!B$1:B$1048576,[1]Clients!N$1:N$1048576,FALSE())</f>
        <v>0</v>
      </c>
      <c r="N247" s="40" t="n">
        <f aca="false">_xlfn.xlookup(B247,[1]Clients!B$1:B$1048576,[1]Clients!S$1:S$1048576,FALSE())</f>
        <v>0</v>
      </c>
      <c r="O247" s="41" t="n">
        <f aca="false">SUMIF('PO item'!$D:$D,$A247,'PO item'!$X:$X)</f>
        <v>0</v>
      </c>
      <c r="P247" s="42" t="n">
        <f aca="false">_xlfn.xlookup(B247,[1]Clients!B$1:B$1048576,[1]Clients!Y$1:Y$1048576,FALSE())</f>
        <v>0</v>
      </c>
      <c r="Q247" s="42" t="n">
        <f aca="false">_xlfn.xlookup(B247,[1]Clients!B$1:B$1048576,[1]Clients!Z$1:Z$1048576,FALSE())</f>
        <v>0</v>
      </c>
      <c r="R247" s="25"/>
      <c r="S247" s="34"/>
      <c r="T247" s="25"/>
      <c r="U247" s="25"/>
      <c r="V247" s="26"/>
      <c r="W247" s="1"/>
      <c r="X247" s="26"/>
      <c r="Y247" s="26"/>
      <c r="Z247" s="25"/>
      <c r="AA247" s="34"/>
      <c r="AB247" s="25"/>
      <c r="AC247" s="25"/>
      <c r="AD247" s="26"/>
      <c r="AE247" s="1"/>
      <c r="AF247" s="26"/>
      <c r="AG247" s="26"/>
      <c r="AH247" s="27"/>
      <c r="AI247" s="27"/>
      <c r="AJ247" s="27"/>
      <c r="AK247" s="27"/>
      <c r="AL247" s="27"/>
      <c r="AM247" s="27"/>
      <c r="AN247" s="27"/>
      <c r="AO247" s="27"/>
      <c r="AP247" s="27"/>
      <c r="AQ247" s="27"/>
      <c r="AR247" s="27"/>
      <c r="AS247" s="27"/>
      <c r="AT247" s="27"/>
      <c r="AU247" s="27"/>
      <c r="AV247" s="27"/>
      <c r="AW247" s="27"/>
      <c r="AX247" s="27"/>
      <c r="AY247" s="27"/>
      <c r="AZ247" s="27"/>
      <c r="BA247" s="27"/>
      <c r="BB247" s="27"/>
      <c r="BC247" s="27"/>
      <c r="BD247" s="27"/>
      <c r="BE247" s="28"/>
    </row>
    <row r="248" customFormat="false" ht="15" hidden="true" customHeight="false" outlineLevel="0" collapsed="false">
      <c r="A248" s="43"/>
      <c r="B248" s="37"/>
      <c r="C248" s="19" t="n">
        <f aca="false">_xlfn.xlookup(B248,[1]Clients!B$1:B$1048576,[1]Clients!C$1:C$1048576)</f>
        <v>0</v>
      </c>
      <c r="D248" s="37"/>
      <c r="E248" s="19" t="n">
        <f aca="false">_xlfn.xlookup(D248,[1]Clients!B$1:B$1048576,[1]Clients!C$1:C$1048576)</f>
        <v>0</v>
      </c>
      <c r="F248" s="38"/>
      <c r="G248" s="39"/>
      <c r="H248" s="37"/>
      <c r="I248" s="37"/>
      <c r="J248" s="39"/>
      <c r="K248" s="37"/>
      <c r="L248" s="40" t="n">
        <f aca="false">_xlfn.xlookup(B248,[1]Clients!B$1:B$1048576,[1]Clients!X$1:X$1048576,FALSE())</f>
        <v>0</v>
      </c>
      <c r="M248" s="40" t="n">
        <f aca="false">_xlfn.xlookup(B248,[1]Clients!B$1:B$1048576,[1]Clients!N$1:N$1048576,FALSE())</f>
        <v>0</v>
      </c>
      <c r="N248" s="40" t="n">
        <f aca="false">_xlfn.xlookup(B248,[1]Clients!B$1:B$1048576,[1]Clients!S$1:S$1048576,FALSE())</f>
        <v>0</v>
      </c>
      <c r="O248" s="41" t="n">
        <f aca="false">SUMIF('PO item'!$D:$D,$A248,'PO item'!$X:$X)</f>
        <v>0</v>
      </c>
      <c r="P248" s="42" t="n">
        <f aca="false">_xlfn.xlookup(B248,[1]Clients!B$1:B$1048576,[1]Clients!Y$1:Y$1048576,FALSE())</f>
        <v>0</v>
      </c>
      <c r="Q248" s="42" t="n">
        <f aca="false">_xlfn.xlookup(B248,[1]Clients!B$1:B$1048576,[1]Clients!Z$1:Z$1048576,FALSE())</f>
        <v>0</v>
      </c>
      <c r="R248" s="25"/>
      <c r="S248" s="34"/>
      <c r="T248" s="25"/>
      <c r="U248" s="25"/>
      <c r="V248" s="26"/>
      <c r="W248" s="1"/>
      <c r="X248" s="26"/>
      <c r="Y248" s="26"/>
      <c r="Z248" s="25"/>
      <c r="AA248" s="34"/>
      <c r="AB248" s="25"/>
      <c r="AC248" s="25"/>
      <c r="AD248" s="26"/>
      <c r="AE248" s="1"/>
      <c r="AF248" s="26"/>
      <c r="AG248" s="26"/>
      <c r="AH248" s="27"/>
      <c r="AI248" s="27"/>
      <c r="AJ248" s="27"/>
      <c r="AK248" s="27"/>
      <c r="AL248" s="27"/>
      <c r="AM248" s="27"/>
      <c r="AN248" s="27"/>
      <c r="AO248" s="27"/>
      <c r="AP248" s="27"/>
      <c r="AQ248" s="27"/>
      <c r="AR248" s="27"/>
      <c r="AS248" s="27"/>
      <c r="AT248" s="27"/>
      <c r="AU248" s="27"/>
      <c r="AV248" s="27"/>
      <c r="AW248" s="27"/>
      <c r="AX248" s="27"/>
      <c r="AY248" s="27"/>
      <c r="AZ248" s="27"/>
      <c r="BA248" s="27"/>
      <c r="BB248" s="27"/>
      <c r="BC248" s="27"/>
      <c r="BD248" s="27"/>
      <c r="BE248" s="28"/>
    </row>
    <row r="249" customFormat="false" ht="15" hidden="true" customHeight="false" outlineLevel="0" collapsed="false">
      <c r="A249" s="43"/>
      <c r="B249" s="37"/>
      <c r="C249" s="19" t="n">
        <f aca="false">_xlfn.xlookup(B249,[1]Clients!B$1:B$1048576,[1]Clients!C$1:C$1048576)</f>
        <v>0</v>
      </c>
      <c r="D249" s="37"/>
      <c r="E249" s="19" t="n">
        <f aca="false">_xlfn.xlookup(D249,[1]Clients!B$1:B$1048576,[1]Clients!C$1:C$1048576)</f>
        <v>0</v>
      </c>
      <c r="F249" s="38"/>
      <c r="G249" s="39"/>
      <c r="H249" s="37"/>
      <c r="I249" s="37"/>
      <c r="J249" s="39"/>
      <c r="K249" s="37"/>
      <c r="L249" s="40" t="n">
        <f aca="false">_xlfn.xlookup(B249,[1]Clients!B$1:B$1048576,[1]Clients!X$1:X$1048576,FALSE())</f>
        <v>0</v>
      </c>
      <c r="M249" s="40" t="n">
        <f aca="false">_xlfn.xlookup(B249,[1]Clients!B$1:B$1048576,[1]Clients!N$1:N$1048576,FALSE())</f>
        <v>0</v>
      </c>
      <c r="N249" s="40" t="n">
        <f aca="false">_xlfn.xlookup(B249,[1]Clients!B$1:B$1048576,[1]Clients!S$1:S$1048576,FALSE())</f>
        <v>0</v>
      </c>
      <c r="O249" s="41" t="n">
        <f aca="false">SUMIF('PO item'!$D:$D,$A249,'PO item'!$X:$X)</f>
        <v>0</v>
      </c>
      <c r="P249" s="42" t="n">
        <f aca="false">_xlfn.xlookup(B249,[1]Clients!B$1:B$1048576,[1]Clients!Y$1:Y$1048576,FALSE())</f>
        <v>0</v>
      </c>
      <c r="Q249" s="42" t="n">
        <f aca="false">_xlfn.xlookup(B249,[1]Clients!B$1:B$1048576,[1]Clients!Z$1:Z$1048576,FALSE())</f>
        <v>0</v>
      </c>
      <c r="R249" s="25"/>
      <c r="S249" s="34"/>
      <c r="T249" s="25"/>
      <c r="U249" s="25"/>
      <c r="V249" s="26"/>
      <c r="W249" s="1"/>
      <c r="X249" s="26"/>
      <c r="Y249" s="26"/>
      <c r="Z249" s="25"/>
      <c r="AA249" s="34"/>
      <c r="AB249" s="25"/>
      <c r="AC249" s="25"/>
      <c r="AD249" s="26"/>
      <c r="AE249" s="1"/>
      <c r="AF249" s="26"/>
      <c r="AG249" s="26"/>
      <c r="AH249" s="27"/>
      <c r="AI249" s="27"/>
      <c r="AJ249" s="27"/>
      <c r="AK249" s="27"/>
      <c r="AL249" s="27"/>
      <c r="AM249" s="27"/>
      <c r="AN249" s="27"/>
      <c r="AO249" s="27"/>
      <c r="AP249" s="27"/>
      <c r="AQ249" s="27"/>
      <c r="AR249" s="27"/>
      <c r="AS249" s="27"/>
      <c r="AT249" s="27"/>
      <c r="AU249" s="27"/>
      <c r="AV249" s="27"/>
      <c r="AW249" s="27"/>
      <c r="AX249" s="27"/>
      <c r="AY249" s="27"/>
      <c r="AZ249" s="27"/>
      <c r="BA249" s="27"/>
      <c r="BB249" s="27"/>
      <c r="BC249" s="27"/>
      <c r="BD249" s="27"/>
      <c r="BE249" s="28"/>
    </row>
    <row r="250" customFormat="false" ht="15" hidden="true" customHeight="false" outlineLevel="0" collapsed="false">
      <c r="A250" s="43"/>
      <c r="B250" s="37"/>
      <c r="C250" s="19" t="n">
        <f aca="false">_xlfn.xlookup(B250,[1]Clients!B$1:B$1048576,[1]Clients!C$1:C$1048576)</f>
        <v>0</v>
      </c>
      <c r="D250" s="37"/>
      <c r="E250" s="19" t="n">
        <f aca="false">_xlfn.xlookup(D250,[1]Clients!B$1:B$1048576,[1]Clients!C$1:C$1048576)</f>
        <v>0</v>
      </c>
      <c r="F250" s="38"/>
      <c r="G250" s="39"/>
      <c r="H250" s="37"/>
      <c r="I250" s="37"/>
      <c r="J250" s="39"/>
      <c r="K250" s="37"/>
      <c r="L250" s="40" t="n">
        <f aca="false">_xlfn.xlookup(B250,[1]Clients!B$1:B$1048576,[1]Clients!X$1:X$1048576,FALSE())</f>
        <v>0</v>
      </c>
      <c r="M250" s="40" t="n">
        <f aca="false">_xlfn.xlookup(B250,[1]Clients!B$1:B$1048576,[1]Clients!N$1:N$1048576,FALSE())</f>
        <v>0</v>
      </c>
      <c r="N250" s="40" t="n">
        <f aca="false">_xlfn.xlookup(B250,[1]Clients!B$1:B$1048576,[1]Clients!S$1:S$1048576,FALSE())</f>
        <v>0</v>
      </c>
      <c r="O250" s="41" t="n">
        <f aca="false">SUMIF('PO item'!$D:$D,$A250,'PO item'!$X:$X)</f>
        <v>0</v>
      </c>
      <c r="P250" s="42" t="n">
        <f aca="false">_xlfn.xlookup(B250,[1]Clients!B$1:B$1048576,[1]Clients!Y$1:Y$1048576,FALSE())</f>
        <v>0</v>
      </c>
      <c r="Q250" s="42" t="n">
        <f aca="false">_xlfn.xlookup(B250,[1]Clients!B$1:B$1048576,[1]Clients!Z$1:Z$1048576,FALSE())</f>
        <v>0</v>
      </c>
      <c r="R250" s="25"/>
      <c r="S250" s="34"/>
      <c r="T250" s="25"/>
      <c r="U250" s="25"/>
      <c r="V250" s="26"/>
      <c r="W250" s="1"/>
      <c r="X250" s="26"/>
      <c r="Y250" s="26"/>
      <c r="Z250" s="25"/>
      <c r="AA250" s="34"/>
      <c r="AB250" s="25"/>
      <c r="AC250" s="25"/>
      <c r="AD250" s="26"/>
      <c r="AE250" s="1"/>
      <c r="AF250" s="26"/>
      <c r="AG250" s="26"/>
      <c r="AH250" s="27"/>
      <c r="AI250" s="27"/>
      <c r="AJ250" s="27"/>
      <c r="AK250" s="27"/>
      <c r="AL250" s="27"/>
      <c r="AM250" s="27"/>
      <c r="AN250" s="27"/>
      <c r="AO250" s="27"/>
      <c r="AP250" s="27"/>
      <c r="AQ250" s="27"/>
      <c r="AR250" s="27"/>
      <c r="AS250" s="27"/>
      <c r="AT250" s="27"/>
      <c r="AU250" s="27"/>
      <c r="AV250" s="27"/>
      <c r="AW250" s="27"/>
      <c r="AX250" s="27"/>
      <c r="AY250" s="27"/>
      <c r="AZ250" s="27"/>
      <c r="BA250" s="27"/>
      <c r="BB250" s="27"/>
      <c r="BC250" s="27"/>
      <c r="BD250" s="27"/>
      <c r="BE250" s="28"/>
    </row>
    <row r="251" customFormat="false" ht="15" hidden="true" customHeight="false" outlineLevel="0" collapsed="false">
      <c r="A251" s="43"/>
      <c r="B251" s="37"/>
      <c r="C251" s="19" t="n">
        <f aca="false">_xlfn.xlookup(B251,[1]Clients!B$1:B$1048576,[1]Clients!C$1:C$1048576)</f>
        <v>0</v>
      </c>
      <c r="D251" s="37"/>
      <c r="E251" s="19" t="n">
        <f aca="false">_xlfn.xlookup(D251,[1]Clients!B$1:B$1048576,[1]Clients!C$1:C$1048576)</f>
        <v>0</v>
      </c>
      <c r="F251" s="38"/>
      <c r="G251" s="39"/>
      <c r="H251" s="37"/>
      <c r="I251" s="37"/>
      <c r="J251" s="39"/>
      <c r="K251" s="37"/>
      <c r="L251" s="40" t="n">
        <f aca="false">_xlfn.xlookup(B251,[1]Clients!B$1:B$1048576,[1]Clients!X$1:X$1048576,FALSE())</f>
        <v>0</v>
      </c>
      <c r="M251" s="40" t="n">
        <f aca="false">_xlfn.xlookup(B251,[1]Clients!B$1:B$1048576,[1]Clients!N$1:N$1048576,FALSE())</f>
        <v>0</v>
      </c>
      <c r="N251" s="40" t="n">
        <f aca="false">_xlfn.xlookup(B251,[1]Clients!B$1:B$1048576,[1]Clients!S$1:S$1048576,FALSE())</f>
        <v>0</v>
      </c>
      <c r="O251" s="41" t="n">
        <f aca="false">SUMIF('PO item'!$D:$D,$A251,'PO item'!$X:$X)</f>
        <v>0</v>
      </c>
      <c r="P251" s="42" t="n">
        <f aca="false">_xlfn.xlookup(B251,[1]Clients!B$1:B$1048576,[1]Clients!Y$1:Y$1048576,FALSE())</f>
        <v>0</v>
      </c>
      <c r="Q251" s="42" t="n">
        <f aca="false">_xlfn.xlookup(B251,[1]Clients!B$1:B$1048576,[1]Clients!Z$1:Z$1048576,FALSE())</f>
        <v>0</v>
      </c>
      <c r="R251" s="25"/>
      <c r="S251" s="34"/>
      <c r="T251" s="25"/>
      <c r="U251" s="25"/>
      <c r="V251" s="26"/>
      <c r="W251" s="1"/>
      <c r="X251" s="26"/>
      <c r="Y251" s="26"/>
      <c r="Z251" s="25"/>
      <c r="AA251" s="34"/>
      <c r="AB251" s="25"/>
      <c r="AC251" s="25"/>
      <c r="AD251" s="26"/>
      <c r="AE251" s="1"/>
      <c r="AF251" s="26"/>
      <c r="AG251" s="26"/>
      <c r="AH251" s="27"/>
      <c r="AI251" s="27"/>
      <c r="AJ251" s="27"/>
      <c r="AK251" s="27"/>
      <c r="AL251" s="27"/>
      <c r="AM251" s="27"/>
      <c r="AN251" s="27"/>
      <c r="AO251" s="27"/>
      <c r="AP251" s="27"/>
      <c r="AQ251" s="27"/>
      <c r="AR251" s="27"/>
      <c r="AS251" s="27"/>
      <c r="AT251" s="27"/>
      <c r="AU251" s="27"/>
      <c r="AV251" s="27"/>
      <c r="AW251" s="27"/>
      <c r="AX251" s="27"/>
      <c r="AY251" s="27"/>
      <c r="AZ251" s="27"/>
      <c r="BA251" s="27"/>
      <c r="BB251" s="27"/>
      <c r="BC251" s="27"/>
      <c r="BD251" s="27"/>
      <c r="BE251" s="28"/>
    </row>
    <row r="252" customFormat="false" ht="15" hidden="true" customHeight="false" outlineLevel="0" collapsed="false">
      <c r="A252" s="43"/>
      <c r="B252" s="37"/>
      <c r="C252" s="19" t="n">
        <f aca="false">_xlfn.xlookup(B252,[1]Clients!B$1:B$1048576,[1]Clients!C$1:C$1048576)</f>
        <v>0</v>
      </c>
      <c r="D252" s="37"/>
      <c r="E252" s="19" t="n">
        <f aca="false">_xlfn.xlookup(D252,[1]Clients!B$1:B$1048576,[1]Clients!C$1:C$1048576)</f>
        <v>0</v>
      </c>
      <c r="F252" s="38"/>
      <c r="G252" s="39"/>
      <c r="H252" s="37"/>
      <c r="I252" s="37"/>
      <c r="J252" s="39"/>
      <c r="K252" s="37"/>
      <c r="L252" s="40" t="n">
        <f aca="false">_xlfn.xlookup(B252,[1]Clients!B$1:B$1048576,[1]Clients!X$1:X$1048576,FALSE())</f>
        <v>0</v>
      </c>
      <c r="M252" s="40" t="n">
        <f aca="false">_xlfn.xlookup(B252,[1]Clients!B$1:B$1048576,[1]Clients!N$1:N$1048576,FALSE())</f>
        <v>0</v>
      </c>
      <c r="N252" s="40" t="n">
        <f aca="false">_xlfn.xlookup(B252,[1]Clients!B$1:B$1048576,[1]Clients!S$1:S$1048576,FALSE())</f>
        <v>0</v>
      </c>
      <c r="O252" s="41" t="n">
        <f aca="false">SUMIF('PO item'!$D:$D,$A252,'PO item'!$X:$X)</f>
        <v>0</v>
      </c>
      <c r="P252" s="42" t="n">
        <f aca="false">_xlfn.xlookup(B252,[1]Clients!B$1:B$1048576,[1]Clients!Y$1:Y$1048576,FALSE())</f>
        <v>0</v>
      </c>
      <c r="Q252" s="42" t="n">
        <f aca="false">_xlfn.xlookup(B252,[1]Clients!B$1:B$1048576,[1]Clients!Z$1:Z$1048576,FALSE())</f>
        <v>0</v>
      </c>
      <c r="R252" s="25"/>
      <c r="S252" s="34"/>
      <c r="T252" s="25"/>
      <c r="U252" s="25"/>
      <c r="V252" s="26"/>
      <c r="W252" s="1"/>
      <c r="X252" s="26"/>
      <c r="Y252" s="26"/>
      <c r="Z252" s="25"/>
      <c r="AA252" s="34"/>
      <c r="AB252" s="25"/>
      <c r="AC252" s="25"/>
      <c r="AD252" s="26"/>
      <c r="AE252" s="1"/>
      <c r="AF252" s="26"/>
      <c r="AG252" s="26"/>
      <c r="AH252" s="27"/>
      <c r="AI252" s="27"/>
      <c r="AJ252" s="27"/>
      <c r="AK252" s="27"/>
      <c r="AL252" s="27"/>
      <c r="AM252" s="27"/>
      <c r="AN252" s="27"/>
      <c r="AO252" s="27"/>
      <c r="AP252" s="27"/>
      <c r="AQ252" s="27"/>
      <c r="AR252" s="27"/>
      <c r="AS252" s="27"/>
      <c r="AT252" s="27"/>
      <c r="AU252" s="27"/>
      <c r="AV252" s="27"/>
      <c r="AW252" s="27"/>
      <c r="AX252" s="27"/>
      <c r="AY252" s="27"/>
      <c r="AZ252" s="27"/>
      <c r="BA252" s="27"/>
      <c r="BB252" s="27"/>
      <c r="BC252" s="27"/>
      <c r="BD252" s="27"/>
      <c r="BE252" s="28"/>
    </row>
    <row r="256" customFormat="false" ht="15" hidden="false" customHeight="false" outlineLevel="0" collapsed="false">
      <c r="A256" s="44" t="n">
        <f aca="false">MAX(A203:A238)</f>
        <v>386</v>
      </c>
    </row>
  </sheetData>
  <autoFilter ref="A1:O252">
    <filterColumn colId="6">
      <filters>
        <filter val="A"/>
      </filters>
    </filterColumn>
  </autoFilter>
  <dataValidations count="1">
    <dataValidation allowBlank="true" errorStyle="stop" operator="between" showDropDown="false" showErrorMessage="true" showInputMessage="true" sqref="B2:B252 D2:D252" type="list">
      <formula1>Clients!$B:$B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9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N14" activeCellId="0" sqref="N14"/>
    </sheetView>
  </sheetViews>
  <sheetFormatPr defaultColWidth="8.59765625" defaultRowHeight="15" zeroHeight="false" outlineLevelRow="0" outlineLevelCol="0"/>
  <cols>
    <col collapsed="false" customWidth="true" hidden="false" outlineLevel="0" max="1" min="1" style="45" width="12.14"/>
    <col collapsed="false" customWidth="true" hidden="true" outlineLevel="0" max="2" min="2" style="45" width="6.71"/>
    <col collapsed="false" customWidth="true" hidden="false" outlineLevel="0" max="3" min="3" style="45" width="10.57"/>
    <col collapsed="false" customWidth="true" hidden="false" outlineLevel="0" max="4" min="4" style="1" width="8.14"/>
    <col collapsed="false" customWidth="true" hidden="false" outlineLevel="0" max="8" min="5" style="1" width="9.14"/>
    <col collapsed="false" customWidth="true" hidden="false" outlineLevel="0" max="10" min="9" style="1" width="11"/>
    <col collapsed="false" customWidth="true" hidden="false" outlineLevel="0" max="12" min="11" style="1" width="9.14"/>
    <col collapsed="false" customWidth="true" hidden="false" outlineLevel="0" max="13" min="13" style="1" width="7.57"/>
    <col collapsed="false" customWidth="true" hidden="false" outlineLevel="0" max="14" min="14" style="1" width="7.28"/>
    <col collapsed="false" customWidth="true" hidden="false" outlineLevel="0" max="15" min="15" style="1" width="7.57"/>
    <col collapsed="false" customWidth="true" hidden="false" outlineLevel="0" max="17" min="16" style="1" width="7.15"/>
    <col collapsed="false" customWidth="true" hidden="false" outlineLevel="0" max="19" min="18" style="1" width="9.14"/>
    <col collapsed="false" customWidth="true" hidden="true" outlineLevel="0" max="20" min="20" style="1" width="7.86"/>
    <col collapsed="false" customWidth="true" hidden="true" outlineLevel="0" max="21" min="21" style="1" width="9.14"/>
    <col collapsed="false" customWidth="true" hidden="false" outlineLevel="0" max="22" min="22" style="46" width="9.14"/>
    <col collapsed="false" customWidth="true" hidden="false" outlineLevel="0" max="24" min="23" style="47" width="9.14"/>
    <col collapsed="false" customWidth="true" hidden="false" outlineLevel="0" max="25" min="25" style="48" width="9.14"/>
    <col collapsed="false" customWidth="true" hidden="false" outlineLevel="0" max="26" min="26" style="1" width="15.43"/>
  </cols>
  <sheetData>
    <row r="1" customFormat="false" ht="54" hidden="false" customHeight="true" outlineLevel="0" collapsed="false">
      <c r="A1" s="49" t="s">
        <v>425</v>
      </c>
      <c r="B1" s="49" t="s">
        <v>426</v>
      </c>
      <c r="C1" s="50" t="s">
        <v>427</v>
      </c>
      <c r="D1" s="50" t="s">
        <v>428</v>
      </c>
      <c r="E1" s="49" t="s">
        <v>429</v>
      </c>
      <c r="F1" s="49" t="s">
        <v>430</v>
      </c>
      <c r="G1" s="49" t="s">
        <v>431</v>
      </c>
      <c r="H1" s="49"/>
      <c r="I1" s="49" t="s">
        <v>432</v>
      </c>
      <c r="J1" s="50" t="s">
        <v>433</v>
      </c>
      <c r="K1" s="49" t="s">
        <v>434</v>
      </c>
      <c r="L1" s="49" t="s">
        <v>435</v>
      </c>
      <c r="M1" s="50" t="s">
        <v>436</v>
      </c>
      <c r="N1" s="50" t="s">
        <v>437</v>
      </c>
      <c r="O1" s="50" t="s">
        <v>438</v>
      </c>
      <c r="P1" s="50" t="s">
        <v>439</v>
      </c>
      <c r="Q1" s="50" t="s">
        <v>440</v>
      </c>
      <c r="R1" s="50" t="s">
        <v>441</v>
      </c>
      <c r="S1" s="50" t="s">
        <v>442</v>
      </c>
      <c r="T1" s="50" t="s">
        <v>443</v>
      </c>
      <c r="U1" s="50" t="s">
        <v>444</v>
      </c>
      <c r="V1" s="51" t="s">
        <v>445</v>
      </c>
      <c r="W1" s="52" t="s">
        <v>446</v>
      </c>
      <c r="X1" s="52" t="s">
        <v>447</v>
      </c>
      <c r="Y1" s="53" t="s">
        <v>448</v>
      </c>
      <c r="Z1" s="49" t="s">
        <v>449</v>
      </c>
      <c r="AA1" s="50" t="s">
        <v>450</v>
      </c>
    </row>
    <row r="2" customFormat="false" ht="15" hidden="false" customHeight="false" outlineLevel="0" collapsed="false">
      <c r="A2" s="45" t="s">
        <v>194</v>
      </c>
      <c r="B2" s="45" t="n">
        <v>326</v>
      </c>
      <c r="C2" s="45" t="n">
        <v>2501937</v>
      </c>
      <c r="D2" s="1" t="n">
        <v>354</v>
      </c>
      <c r="E2" s="1" t="s">
        <v>451</v>
      </c>
      <c r="F2" s="1" t="n">
        <v>1</v>
      </c>
      <c r="G2" s="1" t="s">
        <v>452</v>
      </c>
      <c r="I2" s="1" t="s">
        <v>453</v>
      </c>
      <c r="J2" s="1" t="s">
        <v>454</v>
      </c>
      <c r="K2" s="1" t="n">
        <v>12.75</v>
      </c>
      <c r="L2" s="1" t="n">
        <v>10000</v>
      </c>
      <c r="M2" s="1" t="n">
        <v>1</v>
      </c>
      <c r="N2" s="1" t="n">
        <v>4</v>
      </c>
      <c r="O2" s="1" t="n">
        <v>4</v>
      </c>
      <c r="P2" s="1" t="n">
        <v>0</v>
      </c>
      <c r="Q2" s="1" t="n">
        <v>40000</v>
      </c>
      <c r="R2" s="1" t="n">
        <v>1530</v>
      </c>
      <c r="S2" s="1" t="n">
        <v>6120</v>
      </c>
      <c r="T2" s="1" t="n">
        <v>3</v>
      </c>
      <c r="U2" s="1" t="s">
        <v>455</v>
      </c>
      <c r="V2" s="46" t="n">
        <v>0.41</v>
      </c>
      <c r="W2" s="47" t="n">
        <v>627.3</v>
      </c>
      <c r="X2" s="47" t="n">
        <v>2509.2</v>
      </c>
      <c r="Y2" s="48" t="s">
        <v>88</v>
      </c>
      <c r="Z2" s="1" t="s">
        <v>405</v>
      </c>
      <c r="AA2" s="48" t="n">
        <v>51</v>
      </c>
    </row>
    <row r="3" customFormat="false" ht="15" hidden="false" customHeight="false" outlineLevel="0" collapsed="false">
      <c r="A3" s="45" t="s">
        <v>194</v>
      </c>
      <c r="B3" s="45" t="n">
        <v>326</v>
      </c>
      <c r="C3" s="45" t="n">
        <v>2501937</v>
      </c>
      <c r="D3" s="1" t="n">
        <v>354</v>
      </c>
      <c r="E3" s="1" t="s">
        <v>456</v>
      </c>
      <c r="F3" s="1" t="n">
        <v>2</v>
      </c>
      <c r="G3" s="1" t="s">
        <v>452</v>
      </c>
      <c r="I3" s="1" t="s">
        <v>457</v>
      </c>
      <c r="J3" s="1" t="s">
        <v>454</v>
      </c>
      <c r="K3" s="1" t="n">
        <v>9</v>
      </c>
      <c r="L3" s="1" t="n">
        <v>10000</v>
      </c>
      <c r="M3" s="1" t="n">
        <v>1</v>
      </c>
      <c r="N3" s="1" t="n">
        <v>1</v>
      </c>
      <c r="O3" s="1" t="n">
        <v>1</v>
      </c>
      <c r="P3" s="1" t="n">
        <v>0</v>
      </c>
      <c r="Q3" s="1" t="n">
        <v>10000</v>
      </c>
      <c r="R3" s="1" t="n">
        <v>1080</v>
      </c>
      <c r="S3" s="1" t="n">
        <v>1080</v>
      </c>
      <c r="T3" s="1" t="n">
        <v>3</v>
      </c>
      <c r="U3" s="1" t="s">
        <v>455</v>
      </c>
      <c r="V3" s="46" t="n">
        <v>0.41</v>
      </c>
      <c r="W3" s="47" t="n">
        <v>442.8</v>
      </c>
      <c r="X3" s="47" t="n">
        <v>442.8</v>
      </c>
      <c r="Y3" s="48" t="s">
        <v>88</v>
      </c>
      <c r="Z3" s="1" t="s">
        <v>380</v>
      </c>
      <c r="AA3" s="48" t="n">
        <v>9</v>
      </c>
    </row>
    <row r="4" customFormat="false" ht="15" hidden="false" customHeight="false" outlineLevel="0" collapsed="false">
      <c r="A4" s="45" t="s">
        <v>194</v>
      </c>
      <c r="B4" s="45" t="n">
        <v>326</v>
      </c>
      <c r="C4" s="45" t="n">
        <v>2501937</v>
      </c>
      <c r="D4" s="1" t="n">
        <v>354</v>
      </c>
      <c r="E4" s="1" t="s">
        <v>458</v>
      </c>
      <c r="F4" s="1" t="n">
        <v>3</v>
      </c>
      <c r="G4" s="1" t="s">
        <v>452</v>
      </c>
      <c r="I4" s="1" t="s">
        <v>459</v>
      </c>
      <c r="J4" s="1" t="s">
        <v>454</v>
      </c>
      <c r="K4" s="1" t="n">
        <v>12.75</v>
      </c>
      <c r="L4" s="1" t="n">
        <v>10000</v>
      </c>
      <c r="M4" s="1" t="n">
        <v>1</v>
      </c>
      <c r="N4" s="1" t="n">
        <v>4</v>
      </c>
      <c r="O4" s="1" t="n">
        <v>4</v>
      </c>
      <c r="P4" s="1" t="n">
        <v>0</v>
      </c>
      <c r="Q4" s="1" t="n">
        <v>40000</v>
      </c>
      <c r="R4" s="1" t="n">
        <v>1530</v>
      </c>
      <c r="S4" s="1" t="n">
        <v>6120</v>
      </c>
      <c r="T4" s="1" t="n">
        <v>3</v>
      </c>
      <c r="U4" s="1" t="s">
        <v>455</v>
      </c>
      <c r="V4" s="46" t="n">
        <v>0.41</v>
      </c>
      <c r="W4" s="47" t="n">
        <v>627.3</v>
      </c>
      <c r="X4" s="47" t="n">
        <v>2509.2</v>
      </c>
      <c r="Y4" s="48" t="s">
        <v>88</v>
      </c>
      <c r="Z4" s="1" t="s">
        <v>405</v>
      </c>
      <c r="AA4" s="48" t="n">
        <v>51</v>
      </c>
    </row>
    <row r="5" customFormat="false" ht="15" hidden="false" customHeight="false" outlineLevel="0" collapsed="false">
      <c r="A5" s="45" t="s">
        <v>194</v>
      </c>
      <c r="B5" s="45" t="n">
        <v>326</v>
      </c>
      <c r="C5" s="45" t="n">
        <v>2501937</v>
      </c>
      <c r="D5" s="1" t="n">
        <v>354</v>
      </c>
      <c r="E5" s="1" t="s">
        <v>460</v>
      </c>
      <c r="F5" s="1" t="n">
        <v>4</v>
      </c>
      <c r="G5" s="1" t="s">
        <v>452</v>
      </c>
      <c r="I5" s="1" t="s">
        <v>461</v>
      </c>
      <c r="J5" s="1" t="s">
        <v>454</v>
      </c>
      <c r="K5" s="1" t="n">
        <v>9</v>
      </c>
      <c r="L5" s="1" t="n">
        <v>10000</v>
      </c>
      <c r="M5" s="1" t="n">
        <v>1</v>
      </c>
      <c r="N5" s="1" t="n">
        <v>1</v>
      </c>
      <c r="O5" s="1" t="n">
        <v>1</v>
      </c>
      <c r="P5" s="1" t="n">
        <v>0</v>
      </c>
      <c r="Q5" s="1" t="n">
        <v>10000</v>
      </c>
      <c r="R5" s="1" t="n">
        <v>1080</v>
      </c>
      <c r="S5" s="1" t="n">
        <v>1080</v>
      </c>
      <c r="T5" s="1" t="n">
        <v>3</v>
      </c>
      <c r="U5" s="1" t="s">
        <v>455</v>
      </c>
      <c r="V5" s="46" t="n">
        <v>0.41</v>
      </c>
      <c r="W5" s="47" t="n">
        <v>442.8</v>
      </c>
      <c r="X5" s="47" t="n">
        <v>442.8</v>
      </c>
      <c r="Y5" s="48" t="s">
        <v>88</v>
      </c>
      <c r="Z5" s="1" t="s">
        <v>380</v>
      </c>
      <c r="AA5" s="48" t="n">
        <v>9</v>
      </c>
    </row>
    <row r="6" customFormat="false" ht="15" hidden="false" customHeight="false" outlineLevel="0" collapsed="false">
      <c r="A6" s="45" t="s">
        <v>462</v>
      </c>
      <c r="B6" s="45" t="n">
        <v>335</v>
      </c>
      <c r="C6" s="45" t="s">
        <v>406</v>
      </c>
      <c r="D6" s="1" t="n">
        <v>355</v>
      </c>
      <c r="E6" s="1" t="s">
        <v>463</v>
      </c>
      <c r="F6" s="1" t="n">
        <v>1</v>
      </c>
      <c r="G6" s="1" t="s">
        <v>464</v>
      </c>
      <c r="I6" s="1" t="s">
        <v>465</v>
      </c>
      <c r="J6" s="1" t="s">
        <v>466</v>
      </c>
      <c r="K6" s="1" t="n">
        <v>4.375</v>
      </c>
      <c r="L6" s="1" t="n">
        <v>5000</v>
      </c>
      <c r="M6" s="1" t="n">
        <v>1</v>
      </c>
      <c r="N6" s="1" t="n">
        <v>10</v>
      </c>
      <c r="O6" s="1" t="n">
        <v>10</v>
      </c>
      <c r="P6" s="1" t="n">
        <v>0</v>
      </c>
      <c r="Q6" s="1" t="n">
        <v>50000</v>
      </c>
      <c r="R6" s="1" t="n">
        <v>262.5</v>
      </c>
      <c r="S6" s="1" t="n">
        <v>2625</v>
      </c>
      <c r="T6" s="1" t="n">
        <v>1</v>
      </c>
      <c r="U6" s="1" t="s">
        <v>467</v>
      </c>
      <c r="V6" s="46" t="n">
        <v>0.349</v>
      </c>
      <c r="W6" s="47" t="n">
        <v>91.6125</v>
      </c>
      <c r="X6" s="47" t="n">
        <v>916.125</v>
      </c>
      <c r="Y6" s="48" t="s">
        <v>88</v>
      </c>
      <c r="Z6" s="1" t="s">
        <v>468</v>
      </c>
      <c r="AA6" s="48" t="n">
        <v>43.75</v>
      </c>
    </row>
    <row r="7" customFormat="false" ht="15" hidden="false" customHeight="false" outlineLevel="0" collapsed="false">
      <c r="A7" s="45" t="s">
        <v>462</v>
      </c>
      <c r="B7" s="45" t="n">
        <v>335</v>
      </c>
      <c r="C7" s="45" t="s">
        <v>406</v>
      </c>
      <c r="D7" s="1" t="n">
        <v>355</v>
      </c>
      <c r="E7" s="1" t="s">
        <v>469</v>
      </c>
      <c r="F7" s="1" t="n">
        <v>2</v>
      </c>
      <c r="G7" s="1" t="s">
        <v>464</v>
      </c>
      <c r="I7" s="1" t="s">
        <v>470</v>
      </c>
      <c r="J7" s="1" t="s">
        <v>466</v>
      </c>
      <c r="K7" s="1" t="n">
        <v>3.625</v>
      </c>
      <c r="L7" s="1" t="n">
        <v>5000</v>
      </c>
      <c r="M7" s="1" t="n">
        <v>1</v>
      </c>
      <c r="N7" s="1" t="n">
        <v>2</v>
      </c>
      <c r="O7" s="1" t="n">
        <v>2</v>
      </c>
      <c r="P7" s="1" t="n">
        <v>0</v>
      </c>
      <c r="Q7" s="1" t="n">
        <v>10000</v>
      </c>
      <c r="R7" s="1" t="n">
        <v>217.5</v>
      </c>
      <c r="S7" s="1" t="n">
        <v>435</v>
      </c>
      <c r="T7" s="1" t="n">
        <v>1</v>
      </c>
      <c r="U7" s="1" t="s">
        <v>467</v>
      </c>
      <c r="V7" s="46" t="n">
        <v>0.349</v>
      </c>
      <c r="W7" s="47" t="n">
        <v>75.9075</v>
      </c>
      <c r="X7" s="47" t="n">
        <v>151.815</v>
      </c>
      <c r="Y7" s="48" t="s">
        <v>88</v>
      </c>
      <c r="Z7" s="1" t="s">
        <v>471</v>
      </c>
      <c r="AA7" s="48" t="n">
        <v>7.25</v>
      </c>
    </row>
    <row r="8" customFormat="false" ht="15" hidden="false" customHeight="false" outlineLevel="0" collapsed="false">
      <c r="A8" s="45" t="s">
        <v>462</v>
      </c>
      <c r="B8" s="45" t="n">
        <v>335</v>
      </c>
      <c r="C8" s="45" t="s">
        <v>406</v>
      </c>
      <c r="D8" s="1" t="n">
        <v>355</v>
      </c>
      <c r="E8" s="1" t="s">
        <v>472</v>
      </c>
      <c r="F8" s="1" t="n">
        <v>3</v>
      </c>
      <c r="G8" s="1" t="s">
        <v>464</v>
      </c>
      <c r="I8" s="1" t="s">
        <v>473</v>
      </c>
      <c r="J8" s="1" t="s">
        <v>466</v>
      </c>
      <c r="K8" s="1" t="n">
        <v>3.75</v>
      </c>
      <c r="L8" s="1" t="n">
        <v>5000</v>
      </c>
      <c r="M8" s="1" t="n">
        <v>1</v>
      </c>
      <c r="N8" s="1" t="n">
        <v>2</v>
      </c>
      <c r="O8" s="1" t="n">
        <v>2</v>
      </c>
      <c r="P8" s="1" t="n">
        <v>0</v>
      </c>
      <c r="Q8" s="1" t="n">
        <v>10000</v>
      </c>
      <c r="R8" s="1" t="n">
        <v>225</v>
      </c>
      <c r="S8" s="1" t="n">
        <v>450</v>
      </c>
      <c r="T8" s="1" t="n">
        <v>1</v>
      </c>
      <c r="U8" s="1" t="s">
        <v>467</v>
      </c>
      <c r="V8" s="46" t="n">
        <v>0.349</v>
      </c>
      <c r="W8" s="47" t="n">
        <v>78.525</v>
      </c>
      <c r="X8" s="47" t="n">
        <v>157.05</v>
      </c>
      <c r="Y8" s="48" t="s">
        <v>88</v>
      </c>
      <c r="Z8" s="1" t="s">
        <v>474</v>
      </c>
      <c r="AA8" s="48" t="n">
        <v>7.5</v>
      </c>
    </row>
    <row r="9" customFormat="false" ht="15" hidden="false" customHeight="false" outlineLevel="0" collapsed="false">
      <c r="A9" s="45" t="s">
        <v>462</v>
      </c>
      <c r="B9" s="45" t="n">
        <v>335</v>
      </c>
      <c r="C9" s="45" t="s">
        <v>406</v>
      </c>
      <c r="D9" s="1" t="n">
        <v>355</v>
      </c>
      <c r="E9" s="1" t="s">
        <v>475</v>
      </c>
      <c r="F9" s="1" t="n">
        <v>4</v>
      </c>
      <c r="G9" s="1" t="s">
        <v>464</v>
      </c>
      <c r="I9" s="1" t="s">
        <v>476</v>
      </c>
      <c r="J9" s="1" t="s">
        <v>466</v>
      </c>
      <c r="K9" s="1" t="n">
        <v>1.5</v>
      </c>
      <c r="L9" s="1" t="n">
        <v>5000</v>
      </c>
      <c r="M9" s="1" t="n">
        <v>1</v>
      </c>
      <c r="N9" s="1" t="n">
        <v>1</v>
      </c>
      <c r="O9" s="1" t="n">
        <v>1</v>
      </c>
      <c r="P9" s="1" t="n">
        <v>0</v>
      </c>
      <c r="Q9" s="1" t="n">
        <v>5000</v>
      </c>
      <c r="R9" s="1" t="n">
        <v>90</v>
      </c>
      <c r="S9" s="1" t="n">
        <v>90</v>
      </c>
      <c r="T9" s="1" t="n">
        <v>1</v>
      </c>
      <c r="U9" s="1" t="s">
        <v>467</v>
      </c>
      <c r="V9" s="46" t="n">
        <v>0.349</v>
      </c>
      <c r="W9" s="47" t="n">
        <v>31.41</v>
      </c>
      <c r="X9" s="47" t="n">
        <v>31.41</v>
      </c>
      <c r="Y9" s="48" t="s">
        <v>88</v>
      </c>
      <c r="Z9" s="1" t="s">
        <v>477</v>
      </c>
      <c r="AA9" s="48" t="n">
        <v>1.5</v>
      </c>
    </row>
    <row r="10" customFormat="false" ht="15" hidden="false" customHeight="false" outlineLevel="0" collapsed="false">
      <c r="A10" s="45" t="s">
        <v>131</v>
      </c>
      <c r="B10" s="45" t="n">
        <v>317</v>
      </c>
      <c r="C10" s="45" t="s">
        <v>408</v>
      </c>
      <c r="D10" s="1" t="n">
        <v>356</v>
      </c>
      <c r="E10" s="1" t="s">
        <v>478</v>
      </c>
      <c r="F10" s="1" t="n">
        <v>1</v>
      </c>
      <c r="G10" s="1" t="s">
        <v>452</v>
      </c>
      <c r="I10" s="1" t="s">
        <v>479</v>
      </c>
      <c r="J10" s="1" t="s">
        <v>480</v>
      </c>
      <c r="K10" s="1" t="n">
        <v>8.5</v>
      </c>
      <c r="L10" s="1" t="n">
        <v>1000</v>
      </c>
      <c r="M10" s="1" t="n">
        <v>1</v>
      </c>
      <c r="N10" s="1" t="n">
        <v>1</v>
      </c>
      <c r="O10" s="1" t="n">
        <v>1</v>
      </c>
      <c r="Q10" s="1" t="n">
        <v>1000</v>
      </c>
      <c r="R10" s="1" t="n">
        <v>102</v>
      </c>
      <c r="S10" s="1" t="n">
        <v>102</v>
      </c>
      <c r="T10" s="1" t="n">
        <v>0</v>
      </c>
      <c r="U10" s="1" t="s">
        <v>481</v>
      </c>
      <c r="V10" s="46" t="n">
        <v>0</v>
      </c>
      <c r="W10" s="47" t="n">
        <v>0</v>
      </c>
      <c r="X10" s="47" t="n">
        <v>0</v>
      </c>
      <c r="Y10" s="48" t="s">
        <v>88</v>
      </c>
      <c r="Z10" s="1" t="s">
        <v>482</v>
      </c>
      <c r="AA10" s="48" t="n">
        <v>8.5</v>
      </c>
    </row>
    <row r="11" customFormat="false" ht="15" hidden="false" customHeight="false" outlineLevel="0" collapsed="false">
      <c r="A11" s="45" t="s">
        <v>131</v>
      </c>
      <c r="B11" s="45" t="n">
        <v>317</v>
      </c>
      <c r="C11" s="45" t="s">
        <v>408</v>
      </c>
      <c r="D11" s="1" t="n">
        <v>356</v>
      </c>
      <c r="E11" s="1" t="s">
        <v>483</v>
      </c>
      <c r="F11" s="1" t="n">
        <v>2</v>
      </c>
      <c r="G11" s="1" t="s">
        <v>484</v>
      </c>
      <c r="I11" s="1" t="s">
        <v>485</v>
      </c>
      <c r="J11" s="1" t="s">
        <v>486</v>
      </c>
      <c r="K11" s="1" t="n">
        <v>8.5</v>
      </c>
      <c r="L11" s="1" t="n">
        <v>1000</v>
      </c>
      <c r="M11" s="1" t="n">
        <v>1</v>
      </c>
      <c r="N11" s="1" t="n">
        <v>1</v>
      </c>
      <c r="O11" s="1" t="n">
        <v>1</v>
      </c>
      <c r="Q11" s="1" t="n">
        <v>1000</v>
      </c>
      <c r="R11" s="1" t="n">
        <v>102</v>
      </c>
      <c r="S11" s="1" t="n">
        <v>102</v>
      </c>
      <c r="T11" s="1" t="n">
        <v>0</v>
      </c>
      <c r="U11" s="1" t="s">
        <v>487</v>
      </c>
      <c r="V11" s="46" t="n">
        <v>0</v>
      </c>
      <c r="W11" s="47" t="n">
        <v>0</v>
      </c>
      <c r="X11" s="47" t="n">
        <v>0</v>
      </c>
      <c r="Y11" s="48" t="s">
        <v>88</v>
      </c>
      <c r="Z11" s="1" t="s">
        <v>488</v>
      </c>
      <c r="AA11" s="48" t="n">
        <v>8.5</v>
      </c>
    </row>
    <row r="12" customFormat="false" ht="15" hidden="false" customHeight="false" outlineLevel="0" collapsed="false">
      <c r="A12" s="45" t="s">
        <v>131</v>
      </c>
      <c r="B12" s="45" t="n">
        <v>317</v>
      </c>
      <c r="C12" s="45" t="s">
        <v>408</v>
      </c>
      <c r="D12" s="1" t="n">
        <v>356</v>
      </c>
      <c r="E12" s="1" t="s">
        <v>489</v>
      </c>
      <c r="F12" s="1" t="n">
        <v>3</v>
      </c>
      <c r="G12" s="1" t="s">
        <v>464</v>
      </c>
      <c r="I12" s="1" t="s">
        <v>490</v>
      </c>
      <c r="J12" s="1" t="s">
        <v>491</v>
      </c>
      <c r="K12" s="1" t="n">
        <v>8.5</v>
      </c>
      <c r="L12" s="1" t="n">
        <v>1000</v>
      </c>
      <c r="M12" s="1" t="n">
        <v>1</v>
      </c>
      <c r="N12" s="1" t="n">
        <v>1</v>
      </c>
      <c r="O12" s="1" t="n">
        <v>1</v>
      </c>
      <c r="Q12" s="1" t="n">
        <v>1000</v>
      </c>
      <c r="R12" s="1" t="n">
        <v>102</v>
      </c>
      <c r="S12" s="1" t="n">
        <v>102</v>
      </c>
      <c r="T12" s="1" t="n">
        <v>0</v>
      </c>
      <c r="U12" s="1" t="s">
        <v>492</v>
      </c>
      <c r="V12" s="46" t="n">
        <v>0</v>
      </c>
      <c r="W12" s="47" t="n">
        <v>0</v>
      </c>
      <c r="X12" s="47" t="n">
        <v>0</v>
      </c>
      <c r="Y12" s="48" t="s">
        <v>88</v>
      </c>
      <c r="Z12" s="1" t="s">
        <v>493</v>
      </c>
      <c r="AA12" s="48" t="n">
        <v>8.5</v>
      </c>
    </row>
    <row r="13" customFormat="false" ht="15" hidden="false" customHeight="false" outlineLevel="0" collapsed="false">
      <c r="A13" s="45" t="s">
        <v>131</v>
      </c>
      <c r="B13" s="45" t="n">
        <v>317</v>
      </c>
      <c r="C13" s="45" t="s">
        <v>408</v>
      </c>
      <c r="D13" s="1" t="n">
        <v>356</v>
      </c>
      <c r="E13" s="1" t="s">
        <v>494</v>
      </c>
      <c r="F13" s="1" t="n">
        <v>4</v>
      </c>
      <c r="G13" s="1" t="s">
        <v>495</v>
      </c>
      <c r="I13" s="1" t="s">
        <v>496</v>
      </c>
      <c r="J13" s="1" t="s">
        <v>497</v>
      </c>
      <c r="K13" s="1" t="n">
        <v>8.5</v>
      </c>
      <c r="L13" s="1" t="n">
        <v>1000</v>
      </c>
      <c r="M13" s="1" t="n">
        <v>1</v>
      </c>
      <c r="N13" s="1" t="n">
        <v>1</v>
      </c>
      <c r="O13" s="1" t="n">
        <v>1</v>
      </c>
      <c r="Q13" s="1" t="n">
        <v>1000</v>
      </c>
      <c r="R13" s="1" t="n">
        <v>102</v>
      </c>
      <c r="S13" s="1" t="n">
        <v>102</v>
      </c>
      <c r="T13" s="1" t="n">
        <v>0</v>
      </c>
      <c r="U13" s="1" t="s">
        <v>498</v>
      </c>
      <c r="V13" s="46" t="n">
        <v>0</v>
      </c>
      <c r="W13" s="47" t="n">
        <v>0</v>
      </c>
      <c r="X13" s="47" t="n">
        <v>0</v>
      </c>
      <c r="Y13" s="48" t="s">
        <v>88</v>
      </c>
      <c r="Z13" s="1" t="s">
        <v>499</v>
      </c>
      <c r="AA13" s="48" t="n">
        <v>8.5</v>
      </c>
    </row>
    <row r="14" customFormat="false" ht="15" hidden="false" customHeight="false" outlineLevel="0" collapsed="false">
      <c r="A14" s="45" t="s">
        <v>500</v>
      </c>
      <c r="B14" s="45" t="n">
        <v>300</v>
      </c>
      <c r="C14" s="45" t="n">
        <v>50009215</v>
      </c>
      <c r="D14" s="1" t="n">
        <v>357</v>
      </c>
      <c r="E14" s="1" t="s">
        <v>501</v>
      </c>
      <c r="F14" s="1" t="n">
        <v>1</v>
      </c>
      <c r="G14" s="1" t="s">
        <v>502</v>
      </c>
      <c r="I14" s="1" t="s">
        <v>503</v>
      </c>
      <c r="J14" s="1" t="s">
        <v>504</v>
      </c>
      <c r="K14" s="1" t="n">
        <v>10</v>
      </c>
      <c r="L14" s="1" t="n">
        <v>5000</v>
      </c>
      <c r="M14" s="1" t="n">
        <v>12</v>
      </c>
      <c r="N14" s="1" t="n">
        <v>6</v>
      </c>
      <c r="O14" s="1" t="n">
        <v>72</v>
      </c>
      <c r="P14" s="1" t="s">
        <v>505</v>
      </c>
      <c r="Q14" s="1" t="n">
        <v>360000</v>
      </c>
      <c r="R14" s="1" t="n">
        <v>600</v>
      </c>
      <c r="S14" s="1" t="n">
        <v>43200</v>
      </c>
      <c r="T14" s="1" t="n">
        <v>0</v>
      </c>
      <c r="U14" s="1" t="s">
        <v>506</v>
      </c>
      <c r="V14" s="46" t="n">
        <v>0.31</v>
      </c>
      <c r="W14" s="47" t="n">
        <v>186</v>
      </c>
      <c r="X14" s="47" t="n">
        <v>13392</v>
      </c>
      <c r="Y14" s="48" t="s">
        <v>77</v>
      </c>
      <c r="Z14" s="1" t="s">
        <v>323</v>
      </c>
      <c r="AA14" s="48" t="n">
        <v>720</v>
      </c>
    </row>
    <row r="15" customFormat="false" ht="15" hidden="false" customHeight="false" outlineLevel="0" collapsed="false">
      <c r="A15" s="45" t="s">
        <v>507</v>
      </c>
      <c r="B15" s="45" t="n">
        <v>324</v>
      </c>
      <c r="C15" s="45" t="n">
        <v>179201</v>
      </c>
      <c r="D15" s="1" t="n">
        <v>358</v>
      </c>
      <c r="E15" s="1" t="s">
        <v>508</v>
      </c>
      <c r="F15" s="1" t="n">
        <v>1</v>
      </c>
      <c r="G15" s="1" t="s">
        <v>509</v>
      </c>
      <c r="I15" s="1" t="s">
        <v>510</v>
      </c>
      <c r="J15" s="1" t="s">
        <v>511</v>
      </c>
      <c r="K15" s="1" t="n">
        <v>9</v>
      </c>
      <c r="L15" s="1" t="n">
        <v>5000</v>
      </c>
      <c r="M15" s="1" t="n">
        <v>2</v>
      </c>
      <c r="N15" s="1" t="n">
        <v>5</v>
      </c>
      <c r="O15" s="1" t="n">
        <v>10</v>
      </c>
      <c r="P15" s="1" t="n">
        <v>0</v>
      </c>
      <c r="Q15" s="1" t="n">
        <v>50000</v>
      </c>
      <c r="R15" s="1" t="n">
        <v>540</v>
      </c>
      <c r="S15" s="1" t="n">
        <v>5400</v>
      </c>
      <c r="T15" s="1" t="n">
        <v>1</v>
      </c>
      <c r="U15" s="1" t="s">
        <v>512</v>
      </c>
      <c r="V15" s="46" t="n">
        <v>0.431</v>
      </c>
      <c r="W15" s="47" t="n">
        <v>232.74</v>
      </c>
      <c r="X15" s="47" t="n">
        <v>2327.4</v>
      </c>
      <c r="Y15" s="48" t="s">
        <v>88</v>
      </c>
      <c r="Z15" s="1" t="s">
        <v>319</v>
      </c>
      <c r="AA15" s="48" t="n">
        <v>90</v>
      </c>
    </row>
    <row r="16" customFormat="false" ht="15" hidden="false" customHeight="false" outlineLevel="0" collapsed="false">
      <c r="A16" s="45" t="s">
        <v>507</v>
      </c>
      <c r="B16" s="45" t="n">
        <v>324</v>
      </c>
      <c r="C16" s="45" t="n">
        <v>179201</v>
      </c>
      <c r="D16" s="1" t="n">
        <v>358</v>
      </c>
      <c r="E16" s="1" t="s">
        <v>513</v>
      </c>
      <c r="F16" s="1" t="n">
        <v>2</v>
      </c>
      <c r="G16" s="1" t="s">
        <v>509</v>
      </c>
      <c r="I16" s="1" t="s">
        <v>514</v>
      </c>
      <c r="J16" s="1" t="s">
        <v>511</v>
      </c>
      <c r="K16" s="1" t="n">
        <v>15</v>
      </c>
      <c r="L16" s="1" t="n">
        <v>5000</v>
      </c>
      <c r="M16" s="1" t="n">
        <v>2</v>
      </c>
      <c r="N16" s="1" t="n">
        <v>1</v>
      </c>
      <c r="O16" s="1" t="n">
        <v>2</v>
      </c>
      <c r="P16" s="1" t="n">
        <v>0</v>
      </c>
      <c r="Q16" s="1" t="n">
        <v>10000</v>
      </c>
      <c r="R16" s="1" t="n">
        <v>900</v>
      </c>
      <c r="S16" s="1" t="n">
        <v>1800</v>
      </c>
      <c r="T16" s="1" t="n">
        <v>1</v>
      </c>
      <c r="U16" s="1" t="s">
        <v>512</v>
      </c>
      <c r="V16" s="46" t="n">
        <v>0.431</v>
      </c>
      <c r="W16" s="47" t="n">
        <v>387.9</v>
      </c>
      <c r="X16" s="47" t="n">
        <v>775.8</v>
      </c>
      <c r="Y16" s="48" t="s">
        <v>88</v>
      </c>
      <c r="Z16" s="1" t="s">
        <v>515</v>
      </c>
      <c r="AA16" s="48" t="n">
        <v>30</v>
      </c>
    </row>
    <row r="17" customFormat="false" ht="15" hidden="false" customHeight="false" outlineLevel="0" collapsed="false">
      <c r="A17" s="45" t="s">
        <v>507</v>
      </c>
      <c r="B17" s="45" t="n">
        <v>324</v>
      </c>
      <c r="C17" s="45" t="n">
        <v>179201</v>
      </c>
      <c r="D17" s="1" t="n">
        <v>358</v>
      </c>
      <c r="E17" s="1" t="s">
        <v>516</v>
      </c>
      <c r="F17" s="1" t="n">
        <v>3</v>
      </c>
      <c r="G17" s="1" t="s">
        <v>517</v>
      </c>
      <c r="I17" s="1" t="s">
        <v>518</v>
      </c>
      <c r="J17" s="1" t="s">
        <v>519</v>
      </c>
      <c r="K17" s="1" t="n">
        <v>9</v>
      </c>
      <c r="L17" s="1" t="n">
        <v>1800</v>
      </c>
      <c r="M17" s="1" t="n">
        <v>1</v>
      </c>
      <c r="N17" s="1" t="n">
        <v>1</v>
      </c>
      <c r="O17" s="1" t="n">
        <v>1</v>
      </c>
      <c r="P17" s="1" t="n">
        <v>0</v>
      </c>
      <c r="Q17" s="1" t="n">
        <v>1800</v>
      </c>
      <c r="R17" s="1" t="n">
        <v>194.4</v>
      </c>
      <c r="S17" s="1" t="n">
        <v>194.4</v>
      </c>
      <c r="T17" s="1" t="n">
        <v>1</v>
      </c>
      <c r="U17" s="1" t="s">
        <v>520</v>
      </c>
      <c r="V17" s="46" t="n">
        <v>0.471</v>
      </c>
      <c r="W17" s="47" t="n">
        <v>91.5624</v>
      </c>
      <c r="X17" s="47" t="n">
        <v>91.5624</v>
      </c>
      <c r="Y17" s="48" t="s">
        <v>88</v>
      </c>
      <c r="Z17" s="1" t="s">
        <v>521</v>
      </c>
      <c r="AA17" s="48" t="n">
        <v>9</v>
      </c>
    </row>
    <row r="18" customFormat="false" ht="15" hidden="false" customHeight="false" outlineLevel="0" collapsed="false">
      <c r="A18" s="45" t="s">
        <v>522</v>
      </c>
      <c r="B18" s="45" t="n">
        <v>309</v>
      </c>
      <c r="C18" s="45" t="n">
        <v>107832</v>
      </c>
      <c r="D18" s="1" t="n">
        <v>359</v>
      </c>
      <c r="E18" s="1" t="s">
        <v>523</v>
      </c>
      <c r="F18" s="1" t="n">
        <v>1</v>
      </c>
      <c r="G18" s="1" t="s">
        <v>484</v>
      </c>
      <c r="I18" s="1" t="s">
        <v>524</v>
      </c>
      <c r="J18" s="1" t="s">
        <v>525</v>
      </c>
      <c r="K18" s="1" t="n">
        <v>12</v>
      </c>
      <c r="L18" s="1" t="n">
        <v>5000</v>
      </c>
      <c r="M18" s="1" t="n">
        <v>1</v>
      </c>
      <c r="N18" s="1" t="n">
        <v>5</v>
      </c>
      <c r="O18" s="1" t="n">
        <v>5</v>
      </c>
      <c r="P18" s="1" t="n">
        <v>2213</v>
      </c>
      <c r="Q18" s="1" t="n">
        <v>25000</v>
      </c>
      <c r="R18" s="1" t="n">
        <v>720</v>
      </c>
      <c r="S18" s="1" t="n">
        <v>3600</v>
      </c>
      <c r="T18" s="1" t="n">
        <v>4</v>
      </c>
      <c r="U18" s="1" t="s">
        <v>526</v>
      </c>
      <c r="V18" s="46" t="n">
        <v>0.28</v>
      </c>
      <c r="W18" s="47" t="n">
        <v>201.6</v>
      </c>
      <c r="X18" s="47" t="n">
        <v>1008</v>
      </c>
      <c r="Y18" s="48" t="s">
        <v>77</v>
      </c>
      <c r="Z18" s="1" t="s">
        <v>289</v>
      </c>
      <c r="AA18" s="48" t="n">
        <v>60</v>
      </c>
    </row>
    <row r="19" customFormat="false" ht="15" hidden="false" customHeight="false" outlineLevel="0" collapsed="false">
      <c r="A19" s="45" t="s">
        <v>527</v>
      </c>
      <c r="B19" s="45" t="n">
        <v>329</v>
      </c>
      <c r="C19" s="45" t="s">
        <v>410</v>
      </c>
      <c r="D19" s="1" t="n">
        <v>360</v>
      </c>
      <c r="E19" s="1" t="s">
        <v>528</v>
      </c>
      <c r="F19" s="1" t="n">
        <v>1</v>
      </c>
      <c r="G19" s="1" t="s">
        <v>509</v>
      </c>
      <c r="I19" s="1" t="s">
        <v>529</v>
      </c>
      <c r="J19" s="1" t="s">
        <v>530</v>
      </c>
      <c r="K19" s="1" t="n">
        <v>5.25</v>
      </c>
      <c r="L19" s="1" t="n">
        <v>10000</v>
      </c>
      <c r="M19" s="1" t="n">
        <v>1</v>
      </c>
      <c r="N19" s="1" t="n">
        <v>6</v>
      </c>
      <c r="O19" s="1" t="n">
        <v>6</v>
      </c>
      <c r="P19" s="1" t="n">
        <v>0</v>
      </c>
      <c r="Q19" s="1" t="n">
        <v>60000</v>
      </c>
      <c r="R19" s="1" t="n">
        <v>630</v>
      </c>
      <c r="S19" s="1" t="n">
        <v>3780</v>
      </c>
      <c r="T19" s="1" t="n">
        <v>1</v>
      </c>
      <c r="U19" s="1" t="s">
        <v>531</v>
      </c>
      <c r="V19" s="46" t="n">
        <v>0.472</v>
      </c>
      <c r="W19" s="47" t="n">
        <v>297.36</v>
      </c>
      <c r="X19" s="47" t="n">
        <v>1784.16</v>
      </c>
      <c r="Y19" s="48" t="s">
        <v>88</v>
      </c>
      <c r="Z19" s="1" t="s">
        <v>532</v>
      </c>
      <c r="AA19" s="48" t="n">
        <v>31.5</v>
      </c>
    </row>
    <row r="20" customFormat="false" ht="15" hidden="false" customHeight="false" outlineLevel="0" collapsed="false">
      <c r="A20" s="45" t="s">
        <v>527</v>
      </c>
      <c r="B20" s="45" t="n">
        <v>329</v>
      </c>
      <c r="C20" s="45" t="s">
        <v>410</v>
      </c>
      <c r="D20" s="1" t="n">
        <v>360</v>
      </c>
      <c r="E20" s="1" t="s">
        <v>533</v>
      </c>
      <c r="F20" s="1" t="n">
        <v>2</v>
      </c>
      <c r="G20" s="1" t="s">
        <v>509</v>
      </c>
      <c r="I20" s="1" t="s">
        <v>534</v>
      </c>
      <c r="J20" s="1" t="s">
        <v>530</v>
      </c>
      <c r="K20" s="1" t="n">
        <v>9.5</v>
      </c>
      <c r="L20" s="1" t="n">
        <v>10000</v>
      </c>
      <c r="M20" s="1" t="n">
        <v>1</v>
      </c>
      <c r="N20" s="1" t="n">
        <v>3</v>
      </c>
      <c r="O20" s="1" t="n">
        <v>3</v>
      </c>
      <c r="P20" s="1" t="n">
        <v>0</v>
      </c>
      <c r="Q20" s="1" t="n">
        <v>30000</v>
      </c>
      <c r="R20" s="1" t="n">
        <v>1140</v>
      </c>
      <c r="S20" s="1" t="n">
        <v>3420</v>
      </c>
      <c r="T20" s="1" t="n">
        <v>1</v>
      </c>
      <c r="U20" s="1" t="s">
        <v>531</v>
      </c>
      <c r="V20" s="46" t="n">
        <v>0.472</v>
      </c>
      <c r="W20" s="47" t="n">
        <v>538.08</v>
      </c>
      <c r="X20" s="47" t="n">
        <v>1614.24</v>
      </c>
      <c r="Y20" s="48" t="s">
        <v>88</v>
      </c>
      <c r="Z20" s="1" t="s">
        <v>316</v>
      </c>
      <c r="AA20" s="48" t="n">
        <v>28.5</v>
      </c>
    </row>
    <row r="21" customFormat="false" ht="15" hidden="false" customHeight="false" outlineLevel="0" collapsed="false">
      <c r="A21" s="45" t="s">
        <v>522</v>
      </c>
      <c r="B21" s="45" t="n">
        <v>309</v>
      </c>
      <c r="C21" s="45" t="n">
        <v>107899</v>
      </c>
      <c r="D21" s="1" t="n">
        <v>361</v>
      </c>
      <c r="E21" s="1" t="s">
        <v>535</v>
      </c>
      <c r="F21" s="1" t="n">
        <v>1</v>
      </c>
      <c r="G21" s="1" t="s">
        <v>484</v>
      </c>
      <c r="I21" s="1" t="s">
        <v>536</v>
      </c>
      <c r="J21" s="1" t="s">
        <v>537</v>
      </c>
      <c r="K21" s="1" t="n">
        <v>10</v>
      </c>
      <c r="L21" s="1" t="n">
        <v>5000</v>
      </c>
      <c r="M21" s="1" t="n">
        <v>1</v>
      </c>
      <c r="N21" s="1" t="n">
        <v>6</v>
      </c>
      <c r="O21" s="1" t="n">
        <v>6</v>
      </c>
      <c r="P21" s="1" t="n">
        <v>2213</v>
      </c>
      <c r="Q21" s="1" t="n">
        <v>30000</v>
      </c>
      <c r="R21" s="1" t="n">
        <v>600</v>
      </c>
      <c r="S21" s="1" t="n">
        <v>3600</v>
      </c>
      <c r="T21" s="1" t="n">
        <v>4</v>
      </c>
      <c r="U21" s="1" t="s">
        <v>526</v>
      </c>
      <c r="V21" s="46" t="n">
        <v>0.28</v>
      </c>
      <c r="W21" s="47" t="n">
        <v>168</v>
      </c>
      <c r="X21" s="47" t="n">
        <v>1008</v>
      </c>
      <c r="Y21" s="48" t="s">
        <v>77</v>
      </c>
      <c r="Z21" s="1" t="s">
        <v>290</v>
      </c>
      <c r="AA21" s="48" t="n">
        <v>60</v>
      </c>
    </row>
    <row r="22" customFormat="false" ht="15" hidden="false" customHeight="false" outlineLevel="0" collapsed="false">
      <c r="A22" s="45" t="s">
        <v>522</v>
      </c>
      <c r="B22" s="45" t="n">
        <v>309</v>
      </c>
      <c r="C22" s="45" t="n">
        <v>107899</v>
      </c>
      <c r="D22" s="1" t="n">
        <v>361</v>
      </c>
      <c r="E22" s="1" t="s">
        <v>538</v>
      </c>
      <c r="F22" s="1" t="n">
        <v>2</v>
      </c>
      <c r="G22" s="1" t="s">
        <v>484</v>
      </c>
      <c r="I22" s="1" t="s">
        <v>539</v>
      </c>
      <c r="J22" s="1" t="s">
        <v>537</v>
      </c>
      <c r="K22" s="1" t="n">
        <v>12</v>
      </c>
      <c r="L22" s="1" t="n">
        <v>5000</v>
      </c>
      <c r="M22" s="1" t="n">
        <v>1</v>
      </c>
      <c r="N22" s="1" t="n">
        <v>5</v>
      </c>
      <c r="O22" s="1" t="n">
        <v>5</v>
      </c>
      <c r="P22" s="1" t="n">
        <v>2213</v>
      </c>
      <c r="Q22" s="1" t="n">
        <v>25000</v>
      </c>
      <c r="R22" s="1" t="n">
        <v>720</v>
      </c>
      <c r="S22" s="1" t="n">
        <v>3600</v>
      </c>
      <c r="T22" s="1" t="n">
        <v>4</v>
      </c>
      <c r="U22" s="1" t="s">
        <v>526</v>
      </c>
      <c r="V22" s="46" t="n">
        <v>0.28</v>
      </c>
      <c r="W22" s="47" t="n">
        <v>201.6</v>
      </c>
      <c r="X22" s="47" t="n">
        <v>1008</v>
      </c>
      <c r="Y22" s="48" t="s">
        <v>77</v>
      </c>
      <c r="Z22" s="1" t="s">
        <v>289</v>
      </c>
      <c r="AA22" s="48" t="n">
        <v>60</v>
      </c>
    </row>
    <row r="23" customFormat="false" ht="15" hidden="false" customHeight="false" outlineLevel="0" collapsed="false">
      <c r="A23" s="45" t="s">
        <v>522</v>
      </c>
      <c r="B23" s="45" t="n">
        <v>309</v>
      </c>
      <c r="C23" s="45" t="n">
        <v>107945</v>
      </c>
      <c r="D23" s="1" t="n">
        <v>362</v>
      </c>
      <c r="E23" s="1" t="s">
        <v>540</v>
      </c>
      <c r="F23" s="1" t="n">
        <v>1</v>
      </c>
      <c r="G23" s="1" t="s">
        <v>464</v>
      </c>
      <c r="I23" s="1" t="s">
        <v>541</v>
      </c>
      <c r="J23" s="1" t="s">
        <v>542</v>
      </c>
      <c r="K23" s="1" t="n">
        <v>10</v>
      </c>
      <c r="L23" s="1" t="n">
        <v>5000</v>
      </c>
      <c r="M23" s="1" t="n">
        <v>1</v>
      </c>
      <c r="N23" s="1" t="n">
        <v>6</v>
      </c>
      <c r="O23" s="1" t="n">
        <v>6</v>
      </c>
      <c r="P23" s="1" t="n">
        <v>2212</v>
      </c>
      <c r="Q23" s="1" t="n">
        <v>30000</v>
      </c>
      <c r="R23" s="1" t="n">
        <v>600</v>
      </c>
      <c r="S23" s="1" t="n">
        <v>3600</v>
      </c>
      <c r="T23" s="1" t="n">
        <v>4</v>
      </c>
      <c r="U23" s="1" t="s">
        <v>543</v>
      </c>
      <c r="V23" s="46" t="n">
        <v>0.27</v>
      </c>
      <c r="W23" s="47" t="n">
        <v>162</v>
      </c>
      <c r="X23" s="47" t="n">
        <v>972</v>
      </c>
      <c r="Y23" s="48" t="s">
        <v>77</v>
      </c>
      <c r="Z23" s="1" t="s">
        <v>393</v>
      </c>
      <c r="AA23" s="48" t="n">
        <v>60</v>
      </c>
    </row>
    <row r="24" customFormat="false" ht="15" hidden="false" customHeight="false" outlineLevel="0" collapsed="false">
      <c r="A24" s="45" t="s">
        <v>131</v>
      </c>
      <c r="B24" s="45" t="n">
        <v>317</v>
      </c>
      <c r="C24" s="45" t="s">
        <v>412</v>
      </c>
      <c r="D24" s="1" t="n">
        <v>363</v>
      </c>
      <c r="E24" s="1" t="s">
        <v>544</v>
      </c>
      <c r="F24" s="1" t="n">
        <v>1</v>
      </c>
      <c r="G24" s="1" t="s">
        <v>495</v>
      </c>
      <c r="I24" s="1" t="s">
        <v>545</v>
      </c>
      <c r="J24" s="1" t="s">
        <v>546</v>
      </c>
      <c r="K24" s="1" t="n">
        <v>16.75</v>
      </c>
      <c r="L24" s="1" t="n">
        <v>10000</v>
      </c>
      <c r="M24" s="1" t="n">
        <v>1</v>
      </c>
      <c r="N24" s="1" t="n">
        <v>3</v>
      </c>
      <c r="O24" s="1" t="n">
        <v>3</v>
      </c>
      <c r="Q24" s="1" t="n">
        <v>30000</v>
      </c>
      <c r="R24" s="1" t="n">
        <v>2010</v>
      </c>
      <c r="S24" s="1" t="n">
        <v>6030</v>
      </c>
      <c r="T24" s="1" t="n">
        <v>0</v>
      </c>
      <c r="U24" s="1" t="s">
        <v>498</v>
      </c>
      <c r="V24" s="46" t="n">
        <v>0</v>
      </c>
      <c r="W24" s="47" t="n">
        <v>0</v>
      </c>
      <c r="X24" s="47" t="n">
        <v>0</v>
      </c>
      <c r="Y24" s="48" t="s">
        <v>88</v>
      </c>
      <c r="Z24" s="1" t="s">
        <v>547</v>
      </c>
      <c r="AA24" s="48" t="n">
        <v>50.25</v>
      </c>
    </row>
    <row r="25" customFormat="false" ht="15" hidden="false" customHeight="false" outlineLevel="0" collapsed="false">
      <c r="A25" s="45" t="s">
        <v>131</v>
      </c>
      <c r="B25" s="45" t="n">
        <v>317</v>
      </c>
      <c r="C25" s="45" t="s">
        <v>412</v>
      </c>
      <c r="D25" s="1" t="n">
        <v>363</v>
      </c>
      <c r="E25" s="1" t="s">
        <v>548</v>
      </c>
      <c r="F25" s="1" t="n">
        <v>2</v>
      </c>
      <c r="G25" s="1" t="s">
        <v>495</v>
      </c>
      <c r="I25" s="1" t="s">
        <v>549</v>
      </c>
      <c r="J25" s="1" t="s">
        <v>546</v>
      </c>
      <c r="K25" s="1" t="n">
        <v>8.5</v>
      </c>
      <c r="L25" s="1" t="n">
        <v>10000</v>
      </c>
      <c r="M25" s="1" t="n">
        <v>1</v>
      </c>
      <c r="N25" s="1" t="n">
        <v>1</v>
      </c>
      <c r="O25" s="1" t="n">
        <v>1</v>
      </c>
      <c r="Q25" s="1" t="n">
        <v>10000</v>
      </c>
      <c r="R25" s="1" t="n">
        <v>1020</v>
      </c>
      <c r="S25" s="1" t="n">
        <v>1020</v>
      </c>
      <c r="T25" s="1" t="n">
        <v>0</v>
      </c>
      <c r="U25" s="1" t="s">
        <v>498</v>
      </c>
      <c r="V25" s="46" t="n">
        <v>0</v>
      </c>
      <c r="W25" s="47" t="n">
        <v>0</v>
      </c>
      <c r="X25" s="47" t="n">
        <v>0</v>
      </c>
      <c r="Y25" s="48" t="s">
        <v>88</v>
      </c>
      <c r="Z25" s="1" t="s">
        <v>550</v>
      </c>
      <c r="AA25" s="48" t="n">
        <v>8.5</v>
      </c>
    </row>
    <row r="26" customFormat="false" ht="15" hidden="false" customHeight="false" outlineLevel="0" collapsed="false">
      <c r="A26" s="45" t="s">
        <v>462</v>
      </c>
      <c r="B26" s="45" t="n">
        <v>335</v>
      </c>
      <c r="C26" s="45" t="s">
        <v>413</v>
      </c>
      <c r="D26" s="1" t="n">
        <v>364</v>
      </c>
      <c r="E26" s="1" t="s">
        <v>551</v>
      </c>
      <c r="F26" s="1" t="n">
        <v>1</v>
      </c>
      <c r="G26" s="1" t="s">
        <v>517</v>
      </c>
      <c r="I26" s="1" t="s">
        <v>552</v>
      </c>
      <c r="J26" s="1" t="s">
        <v>553</v>
      </c>
      <c r="K26" s="1" t="n">
        <v>3.75</v>
      </c>
      <c r="L26" s="1" t="n">
        <v>5000</v>
      </c>
      <c r="M26" s="1" t="n">
        <v>2</v>
      </c>
      <c r="N26" s="1" t="n">
        <v>5</v>
      </c>
      <c r="O26" s="1" t="n">
        <v>10</v>
      </c>
      <c r="P26" s="1" t="n">
        <v>0</v>
      </c>
      <c r="Q26" s="1" t="n">
        <v>50000</v>
      </c>
      <c r="R26" s="1" t="n">
        <v>225</v>
      </c>
      <c r="S26" s="1" t="n">
        <v>2250</v>
      </c>
      <c r="T26" s="1" t="n">
        <v>1</v>
      </c>
      <c r="U26" s="1" t="s">
        <v>554</v>
      </c>
      <c r="V26" s="46" t="n">
        <v>0.472</v>
      </c>
      <c r="W26" s="47" t="n">
        <v>106.2</v>
      </c>
      <c r="X26" s="47" t="n">
        <v>1062</v>
      </c>
      <c r="Y26" s="48" t="s">
        <v>88</v>
      </c>
      <c r="Z26" s="1" t="s">
        <v>555</v>
      </c>
      <c r="AA26" s="48" t="n">
        <v>37.5</v>
      </c>
    </row>
    <row r="27" customFormat="false" ht="15" hidden="false" customHeight="false" outlineLevel="0" collapsed="false">
      <c r="A27" s="45" t="s">
        <v>462</v>
      </c>
      <c r="B27" s="45" t="n">
        <v>335</v>
      </c>
      <c r="C27" s="45" t="s">
        <v>413</v>
      </c>
      <c r="D27" s="1" t="n">
        <v>364</v>
      </c>
      <c r="E27" s="1" t="s">
        <v>556</v>
      </c>
      <c r="F27" s="1" t="n">
        <v>2</v>
      </c>
      <c r="G27" s="1" t="s">
        <v>517</v>
      </c>
      <c r="I27" s="1" t="s">
        <v>557</v>
      </c>
      <c r="J27" s="1" t="s">
        <v>553</v>
      </c>
      <c r="K27" s="1" t="n">
        <v>6.875</v>
      </c>
      <c r="L27" s="1" t="n">
        <v>10000</v>
      </c>
      <c r="M27" s="1" t="n">
        <v>1</v>
      </c>
      <c r="N27" s="1" t="n">
        <v>6</v>
      </c>
      <c r="O27" s="1" t="n">
        <v>6</v>
      </c>
      <c r="P27" s="1" t="n">
        <v>0</v>
      </c>
      <c r="Q27" s="1" t="n">
        <v>60000</v>
      </c>
      <c r="R27" s="1" t="n">
        <v>825</v>
      </c>
      <c r="S27" s="1" t="n">
        <v>4950</v>
      </c>
      <c r="T27" s="1" t="n">
        <v>1</v>
      </c>
      <c r="U27" s="1" t="s">
        <v>554</v>
      </c>
      <c r="V27" s="46" t="n">
        <v>0.472</v>
      </c>
      <c r="W27" s="47" t="n">
        <v>389.4</v>
      </c>
      <c r="X27" s="47" t="n">
        <v>2336.4</v>
      </c>
      <c r="Y27" s="48" t="s">
        <v>88</v>
      </c>
      <c r="Z27" s="1" t="s">
        <v>558</v>
      </c>
      <c r="AA27" s="48" t="n">
        <v>41.25</v>
      </c>
    </row>
    <row r="28" customFormat="false" ht="15" hidden="false" customHeight="false" outlineLevel="0" collapsed="false">
      <c r="A28" s="45" t="s">
        <v>194</v>
      </c>
      <c r="B28" s="45" t="n">
        <v>326</v>
      </c>
      <c r="C28" s="45" t="n">
        <v>2501994</v>
      </c>
      <c r="D28" s="1" t="n">
        <v>365</v>
      </c>
      <c r="E28" s="1" t="s">
        <v>559</v>
      </c>
      <c r="F28" s="1" t="n">
        <v>1</v>
      </c>
      <c r="G28" s="1" t="s">
        <v>452</v>
      </c>
      <c r="I28" s="1" t="s">
        <v>560</v>
      </c>
      <c r="J28" s="1" t="s">
        <v>561</v>
      </c>
      <c r="K28" s="1" t="n">
        <v>4.5</v>
      </c>
      <c r="L28" s="1" t="n">
        <v>10000</v>
      </c>
      <c r="M28" s="1" t="n">
        <v>1</v>
      </c>
      <c r="N28" s="1" t="n">
        <v>4</v>
      </c>
      <c r="O28" s="1" t="n">
        <v>4</v>
      </c>
      <c r="P28" s="1" t="n">
        <v>0</v>
      </c>
      <c r="Q28" s="1" t="n">
        <v>40000</v>
      </c>
      <c r="R28" s="1" t="n">
        <v>540</v>
      </c>
      <c r="S28" s="1" t="n">
        <v>2160</v>
      </c>
      <c r="T28" s="1" t="n">
        <v>3</v>
      </c>
      <c r="U28" s="1" t="s">
        <v>455</v>
      </c>
      <c r="V28" s="46" t="n">
        <v>0.41</v>
      </c>
      <c r="W28" s="47" t="n">
        <v>221.4</v>
      </c>
      <c r="X28" s="47" t="n">
        <v>885.6</v>
      </c>
      <c r="Y28" s="48" t="s">
        <v>88</v>
      </c>
      <c r="Z28" s="1" t="s">
        <v>562</v>
      </c>
      <c r="AA28" s="48" t="n">
        <v>18</v>
      </c>
    </row>
    <row r="29" customFormat="false" ht="15" hidden="false" customHeight="false" outlineLevel="0" collapsed="false">
      <c r="A29" s="45" t="s">
        <v>194</v>
      </c>
      <c r="B29" s="45" t="n">
        <v>326</v>
      </c>
      <c r="C29" s="45" t="n">
        <v>2501994</v>
      </c>
      <c r="D29" s="1" t="n">
        <v>365</v>
      </c>
      <c r="E29" s="1" t="s">
        <v>563</v>
      </c>
      <c r="F29" s="1" t="n">
        <v>2</v>
      </c>
      <c r="G29" s="1" t="s">
        <v>452</v>
      </c>
      <c r="I29" s="1" t="s">
        <v>564</v>
      </c>
      <c r="J29" s="1" t="s">
        <v>561</v>
      </c>
      <c r="K29" s="1" t="n">
        <v>9</v>
      </c>
      <c r="L29" s="1" t="n">
        <v>10000</v>
      </c>
      <c r="M29" s="1" t="n">
        <v>1</v>
      </c>
      <c r="N29" s="1" t="n">
        <v>2</v>
      </c>
      <c r="O29" s="1" t="n">
        <v>2</v>
      </c>
      <c r="P29" s="1" t="n">
        <v>0</v>
      </c>
      <c r="Q29" s="1" t="n">
        <v>20000</v>
      </c>
      <c r="R29" s="1" t="n">
        <v>1080</v>
      </c>
      <c r="S29" s="1" t="n">
        <v>2160</v>
      </c>
      <c r="T29" s="1" t="n">
        <v>3</v>
      </c>
      <c r="U29" s="1" t="s">
        <v>455</v>
      </c>
      <c r="V29" s="46" t="n">
        <v>0.41</v>
      </c>
      <c r="W29" s="47" t="n">
        <v>442.8</v>
      </c>
      <c r="X29" s="47" t="n">
        <v>885.6</v>
      </c>
      <c r="Y29" s="48" t="s">
        <v>88</v>
      </c>
      <c r="Z29" s="1" t="s">
        <v>380</v>
      </c>
      <c r="AA29" s="48" t="n">
        <v>18</v>
      </c>
    </row>
    <row r="30" customFormat="false" ht="15" hidden="false" customHeight="false" outlineLevel="0" collapsed="false">
      <c r="A30" s="45" t="s">
        <v>194</v>
      </c>
      <c r="B30" s="45" t="n">
        <v>326</v>
      </c>
      <c r="C30" s="45" t="n">
        <v>2501994</v>
      </c>
      <c r="D30" s="1" t="n">
        <v>365</v>
      </c>
      <c r="E30" s="1" t="s">
        <v>565</v>
      </c>
      <c r="F30" s="1" t="n">
        <v>3</v>
      </c>
      <c r="G30" s="1" t="s">
        <v>452</v>
      </c>
      <c r="I30" s="1" t="s">
        <v>566</v>
      </c>
      <c r="J30" s="1" t="s">
        <v>561</v>
      </c>
      <c r="K30" s="1" t="n">
        <v>6</v>
      </c>
      <c r="L30" s="1" t="n">
        <v>10000</v>
      </c>
      <c r="M30" s="1" t="n">
        <v>1</v>
      </c>
      <c r="N30" s="1" t="n">
        <v>4</v>
      </c>
      <c r="O30" s="1" t="n">
        <v>4</v>
      </c>
      <c r="P30" s="1" t="n">
        <v>0</v>
      </c>
      <c r="Q30" s="1" t="n">
        <v>40000</v>
      </c>
      <c r="R30" s="1" t="n">
        <v>720</v>
      </c>
      <c r="S30" s="1" t="n">
        <v>2880</v>
      </c>
      <c r="T30" s="1" t="n">
        <v>3</v>
      </c>
      <c r="U30" s="1" t="s">
        <v>455</v>
      </c>
      <c r="V30" s="46" t="n">
        <v>0.41</v>
      </c>
      <c r="W30" s="47" t="n">
        <v>295.2</v>
      </c>
      <c r="X30" s="47" t="n">
        <v>1180.8</v>
      </c>
      <c r="Y30" s="48" t="s">
        <v>88</v>
      </c>
      <c r="Z30" s="1" t="s">
        <v>381</v>
      </c>
      <c r="AA30" s="48" t="n">
        <v>24</v>
      </c>
    </row>
    <row r="31" customFormat="false" ht="15" hidden="false" customHeight="false" outlineLevel="0" collapsed="false">
      <c r="A31" s="45" t="s">
        <v>522</v>
      </c>
      <c r="B31" s="45" t="n">
        <v>309</v>
      </c>
      <c r="C31" s="45" t="n">
        <v>108029</v>
      </c>
      <c r="D31" s="1" t="n">
        <v>366</v>
      </c>
      <c r="E31" s="1" t="s">
        <v>567</v>
      </c>
      <c r="F31" s="1" t="n">
        <v>1</v>
      </c>
      <c r="G31" s="1" t="s">
        <v>484</v>
      </c>
      <c r="I31" s="1" t="s">
        <v>568</v>
      </c>
      <c r="J31" s="1" t="s">
        <v>569</v>
      </c>
      <c r="K31" s="1" t="n">
        <v>10</v>
      </c>
      <c r="L31" s="1" t="n">
        <v>5000</v>
      </c>
      <c r="M31" s="1" t="n">
        <v>1</v>
      </c>
      <c r="N31" s="1" t="n">
        <v>6</v>
      </c>
      <c r="O31" s="1" t="n">
        <v>6</v>
      </c>
      <c r="P31" s="1" t="n">
        <v>2213</v>
      </c>
      <c r="Q31" s="1" t="n">
        <v>30000</v>
      </c>
      <c r="R31" s="1" t="n">
        <v>600</v>
      </c>
      <c r="S31" s="1" t="n">
        <v>3600</v>
      </c>
      <c r="T31" s="1" t="n">
        <v>4</v>
      </c>
      <c r="U31" s="1" t="s">
        <v>526</v>
      </c>
      <c r="V31" s="46" t="n">
        <v>0.28</v>
      </c>
      <c r="W31" s="47" t="n">
        <v>168</v>
      </c>
      <c r="X31" s="47" t="n">
        <v>1008</v>
      </c>
      <c r="Y31" s="48" t="s">
        <v>77</v>
      </c>
      <c r="Z31" s="1" t="s">
        <v>290</v>
      </c>
      <c r="AA31" s="48" t="n">
        <v>60</v>
      </c>
    </row>
    <row r="32" customFormat="false" ht="15" hidden="false" customHeight="false" outlineLevel="0" collapsed="false">
      <c r="A32" s="45" t="s">
        <v>500</v>
      </c>
      <c r="B32" s="45" t="n">
        <v>300</v>
      </c>
      <c r="C32" s="45" t="n">
        <v>50009243</v>
      </c>
      <c r="D32" s="1" t="n">
        <v>367</v>
      </c>
      <c r="E32" s="1" t="s">
        <v>570</v>
      </c>
      <c r="F32" s="1" t="n">
        <v>1</v>
      </c>
      <c r="G32" s="1" t="s">
        <v>502</v>
      </c>
      <c r="I32" s="1" t="s">
        <v>571</v>
      </c>
      <c r="J32" s="1" t="s">
        <v>572</v>
      </c>
      <c r="K32" s="1" t="n">
        <v>10</v>
      </c>
      <c r="L32" s="1" t="n">
        <v>5000</v>
      </c>
      <c r="M32" s="1" t="n">
        <v>12</v>
      </c>
      <c r="N32" s="1" t="n">
        <v>6</v>
      </c>
      <c r="O32" s="1" t="n">
        <v>72</v>
      </c>
      <c r="P32" s="1" t="s">
        <v>505</v>
      </c>
      <c r="Q32" s="1" t="n">
        <v>360000</v>
      </c>
      <c r="R32" s="1" t="n">
        <v>600</v>
      </c>
      <c r="S32" s="1" t="n">
        <v>43200</v>
      </c>
      <c r="T32" s="1" t="n">
        <v>0</v>
      </c>
      <c r="U32" s="1" t="s">
        <v>506</v>
      </c>
      <c r="V32" s="46" t="n">
        <v>0.31</v>
      </c>
      <c r="W32" s="47" t="n">
        <v>186</v>
      </c>
      <c r="X32" s="47" t="n">
        <v>13392</v>
      </c>
      <c r="Y32" s="48" t="s">
        <v>77</v>
      </c>
      <c r="Z32" s="1" t="s">
        <v>323</v>
      </c>
      <c r="AA32" s="48" t="n">
        <v>720</v>
      </c>
    </row>
    <row r="33" customFormat="false" ht="15" hidden="false" customHeight="false" outlineLevel="0" collapsed="false">
      <c r="A33" s="45" t="s">
        <v>500</v>
      </c>
      <c r="B33" s="45" t="n">
        <v>300</v>
      </c>
      <c r="C33" s="45" t="n">
        <v>50009243</v>
      </c>
      <c r="D33" s="1" t="n">
        <v>367</v>
      </c>
      <c r="E33" s="1" t="s">
        <v>573</v>
      </c>
      <c r="F33" s="1" t="n">
        <v>2</v>
      </c>
      <c r="G33" s="1" t="s">
        <v>502</v>
      </c>
      <c r="I33" s="1" t="s">
        <v>574</v>
      </c>
      <c r="J33" s="1" t="s">
        <v>572</v>
      </c>
      <c r="K33" s="1" t="n">
        <v>5.875</v>
      </c>
      <c r="L33" s="1" t="n">
        <v>5000</v>
      </c>
      <c r="O33" s="1" t="n">
        <v>24</v>
      </c>
      <c r="P33" s="1" t="s">
        <v>505</v>
      </c>
      <c r="Q33" s="1" t="n">
        <v>120000</v>
      </c>
      <c r="R33" s="1" t="n">
        <v>352.5</v>
      </c>
      <c r="S33" s="1" t="n">
        <v>8460</v>
      </c>
      <c r="T33" s="1" t="n">
        <v>0</v>
      </c>
      <c r="U33" s="1" t="s">
        <v>506</v>
      </c>
      <c r="V33" s="46" t="n">
        <v>0.31</v>
      </c>
      <c r="W33" s="47" t="n">
        <v>109.275</v>
      </c>
      <c r="X33" s="47" t="n">
        <v>2622.6</v>
      </c>
      <c r="Y33" s="48" t="s">
        <v>77</v>
      </c>
      <c r="Z33" s="1" t="s">
        <v>325</v>
      </c>
      <c r="AA33" s="48" t="n">
        <v>141</v>
      </c>
    </row>
    <row r="34" customFormat="false" ht="15" hidden="false" customHeight="false" outlineLevel="0" collapsed="false">
      <c r="A34" s="45" t="s">
        <v>575</v>
      </c>
      <c r="B34" s="45" t="n">
        <v>327</v>
      </c>
      <c r="C34" s="45" t="n">
        <v>3095</v>
      </c>
      <c r="D34" s="1" t="n">
        <v>368</v>
      </c>
      <c r="E34" s="1" t="s">
        <v>576</v>
      </c>
      <c r="F34" s="1" t="n">
        <v>1</v>
      </c>
      <c r="G34" s="1" t="s">
        <v>577</v>
      </c>
      <c r="I34" s="1" t="s">
        <v>578</v>
      </c>
      <c r="J34" s="1" t="s">
        <v>579</v>
      </c>
      <c r="K34" s="1" t="n">
        <v>11.66</v>
      </c>
      <c r="L34" s="1" t="n">
        <v>16900</v>
      </c>
      <c r="M34" s="1" t="n">
        <v>1</v>
      </c>
      <c r="N34" s="1" t="n">
        <v>3</v>
      </c>
      <c r="O34" s="1" t="n">
        <v>3</v>
      </c>
      <c r="P34" s="1" t="n">
        <v>0</v>
      </c>
      <c r="Q34" s="1" t="n">
        <v>50700</v>
      </c>
      <c r="R34" s="1" t="n">
        <v>2364.648</v>
      </c>
      <c r="S34" s="1" t="n">
        <v>7093.944</v>
      </c>
      <c r="T34" s="1" t="n">
        <v>3</v>
      </c>
      <c r="U34" s="1" t="s">
        <v>580</v>
      </c>
      <c r="V34" s="46" t="n">
        <v>0.32</v>
      </c>
      <c r="W34" s="47" t="n">
        <v>756.68736</v>
      </c>
      <c r="X34" s="47" t="n">
        <v>2270.06208</v>
      </c>
      <c r="Y34" s="48" t="s">
        <v>88</v>
      </c>
      <c r="Z34" s="1" t="s">
        <v>581</v>
      </c>
      <c r="AA34" s="48" t="n">
        <v>34.98</v>
      </c>
    </row>
    <row r="35" customFormat="false" ht="15" hidden="false" customHeight="false" outlineLevel="0" collapsed="false">
      <c r="A35" s="45" t="s">
        <v>582</v>
      </c>
      <c r="B35" s="45" t="n">
        <v>310</v>
      </c>
      <c r="C35" s="45" t="n">
        <v>1988</v>
      </c>
      <c r="D35" s="1" t="n">
        <v>369</v>
      </c>
      <c r="E35" s="1" t="s">
        <v>583</v>
      </c>
      <c r="F35" s="1" t="n">
        <v>1</v>
      </c>
      <c r="G35" s="1" t="s">
        <v>452</v>
      </c>
      <c r="I35" s="1" t="s">
        <v>584</v>
      </c>
      <c r="J35" s="1" t="s">
        <v>585</v>
      </c>
      <c r="K35" s="1" t="n">
        <v>5</v>
      </c>
      <c r="L35" s="1" t="n">
        <v>10000</v>
      </c>
      <c r="O35" s="1" t="n">
        <v>8</v>
      </c>
      <c r="P35" s="1" t="n">
        <v>0</v>
      </c>
      <c r="Q35" s="1" t="n">
        <v>80000</v>
      </c>
      <c r="R35" s="1" t="n">
        <v>600</v>
      </c>
      <c r="S35" s="1" t="n">
        <v>4800</v>
      </c>
      <c r="T35" s="1" t="n">
        <v>4</v>
      </c>
      <c r="U35" s="1" t="s">
        <v>586</v>
      </c>
      <c r="V35" s="46" t="n">
        <v>0.398</v>
      </c>
      <c r="W35" s="47" t="n">
        <v>238.8</v>
      </c>
      <c r="X35" s="47" t="n">
        <v>1910.4</v>
      </c>
      <c r="Y35" s="48" t="s">
        <v>88</v>
      </c>
      <c r="Z35" s="1" t="s">
        <v>587</v>
      </c>
      <c r="AA35" s="48" t="n">
        <v>40</v>
      </c>
    </row>
    <row r="36" customFormat="false" ht="15" hidden="false" customHeight="false" outlineLevel="0" collapsed="false">
      <c r="A36" s="45" t="s">
        <v>582</v>
      </c>
      <c r="B36" s="45" t="n">
        <v>310</v>
      </c>
      <c r="C36" s="45" t="n">
        <v>1988</v>
      </c>
      <c r="D36" s="1" t="n">
        <v>369</v>
      </c>
      <c r="E36" s="1" t="s">
        <v>588</v>
      </c>
      <c r="F36" s="1" t="n">
        <v>2</v>
      </c>
      <c r="G36" s="1" t="s">
        <v>452</v>
      </c>
      <c r="I36" s="1" t="s">
        <v>589</v>
      </c>
      <c r="J36" s="1" t="s">
        <v>585</v>
      </c>
      <c r="K36" s="1" t="n">
        <v>12.875</v>
      </c>
      <c r="L36" s="1" t="n">
        <v>10000</v>
      </c>
      <c r="O36" s="1" t="n">
        <v>14</v>
      </c>
      <c r="P36" s="1" t="n">
        <v>0</v>
      </c>
      <c r="Q36" s="1" t="n">
        <v>140000</v>
      </c>
      <c r="R36" s="1" t="n">
        <v>1545</v>
      </c>
      <c r="S36" s="1" t="n">
        <v>21630</v>
      </c>
      <c r="T36" s="1" t="n">
        <v>4</v>
      </c>
      <c r="U36" s="1" t="s">
        <v>586</v>
      </c>
      <c r="V36" s="46" t="n">
        <v>0.398</v>
      </c>
      <c r="W36" s="47" t="n">
        <v>614.91</v>
      </c>
      <c r="X36" s="47" t="n">
        <v>8608.74</v>
      </c>
      <c r="Y36" s="48" t="s">
        <v>88</v>
      </c>
      <c r="Z36" s="1" t="s">
        <v>590</v>
      </c>
      <c r="AA36" s="48" t="n">
        <v>180.25</v>
      </c>
    </row>
    <row r="37" customFormat="false" ht="15" hidden="false" customHeight="false" outlineLevel="0" collapsed="false">
      <c r="A37" s="45" t="s">
        <v>582</v>
      </c>
      <c r="B37" s="45" t="n">
        <v>310</v>
      </c>
      <c r="C37" s="45" t="n">
        <v>1989</v>
      </c>
      <c r="D37" s="1" t="n">
        <v>370</v>
      </c>
      <c r="E37" s="1" t="s">
        <v>591</v>
      </c>
      <c r="F37" s="1" t="n">
        <v>1</v>
      </c>
      <c r="G37" s="1" t="s">
        <v>495</v>
      </c>
      <c r="I37" s="1" t="s">
        <v>592</v>
      </c>
      <c r="J37" s="1" t="s">
        <v>593</v>
      </c>
      <c r="K37" s="1" t="n">
        <v>12.875</v>
      </c>
      <c r="L37" s="1" t="n">
        <v>10000</v>
      </c>
      <c r="O37" s="1" t="n">
        <v>10</v>
      </c>
      <c r="P37" s="1" t="n">
        <v>0</v>
      </c>
      <c r="Q37" s="1" t="n">
        <v>100000</v>
      </c>
      <c r="R37" s="1" t="n">
        <v>1545</v>
      </c>
      <c r="S37" s="1" t="n">
        <v>15450</v>
      </c>
      <c r="T37" s="1" t="n">
        <v>4</v>
      </c>
      <c r="U37" s="1" t="s">
        <v>594</v>
      </c>
      <c r="V37" s="46" t="n">
        <v>0.37</v>
      </c>
      <c r="W37" s="47" t="n">
        <v>571.65</v>
      </c>
      <c r="X37" s="47" t="n">
        <v>5716.5</v>
      </c>
      <c r="Y37" s="48" t="s">
        <v>88</v>
      </c>
      <c r="Z37" s="1" t="s">
        <v>595</v>
      </c>
      <c r="AA37" s="48" t="n">
        <v>128.75</v>
      </c>
    </row>
    <row r="38" customFormat="false" ht="15" hidden="false" customHeight="false" outlineLevel="0" collapsed="false">
      <c r="A38" s="45" t="s">
        <v>596</v>
      </c>
      <c r="B38" s="45" t="n">
        <v>337</v>
      </c>
      <c r="C38" s="45" t="s">
        <v>414</v>
      </c>
      <c r="D38" s="1" t="n">
        <v>371</v>
      </c>
      <c r="E38" s="1" t="s">
        <v>597</v>
      </c>
      <c r="F38" s="1" t="n">
        <v>1</v>
      </c>
      <c r="G38" s="1" t="s">
        <v>495</v>
      </c>
      <c r="I38" s="1" t="s">
        <v>598</v>
      </c>
      <c r="J38" s="1" t="s">
        <v>599</v>
      </c>
      <c r="K38" s="1" t="n">
        <v>12.75</v>
      </c>
      <c r="L38" s="1" t="n">
        <v>10000</v>
      </c>
      <c r="M38" s="1" t="n">
        <v>3</v>
      </c>
      <c r="N38" s="1" t="n">
        <v>4</v>
      </c>
      <c r="O38" s="1" t="n">
        <v>12</v>
      </c>
      <c r="P38" s="1" t="n">
        <v>0</v>
      </c>
      <c r="Q38" s="1" t="n">
        <v>120000</v>
      </c>
      <c r="R38" s="1" t="n">
        <v>1530</v>
      </c>
      <c r="S38" s="1" t="n">
        <v>18360</v>
      </c>
      <c r="T38" s="1" t="n">
        <v>2</v>
      </c>
      <c r="U38" s="1" t="s">
        <v>600</v>
      </c>
      <c r="V38" s="46" t="n">
        <v>0.371</v>
      </c>
      <c r="W38" s="47" t="n">
        <v>567.63</v>
      </c>
      <c r="X38" s="47" t="n">
        <v>6811.56</v>
      </c>
      <c r="Y38" s="48" t="s">
        <v>88</v>
      </c>
      <c r="Z38" s="1" t="s">
        <v>601</v>
      </c>
      <c r="AA38" s="48" t="n">
        <v>153</v>
      </c>
    </row>
    <row r="39" customFormat="false" ht="15" hidden="false" customHeight="false" outlineLevel="0" collapsed="false">
      <c r="A39" s="45" t="s">
        <v>596</v>
      </c>
      <c r="B39" s="45" t="n">
        <v>337</v>
      </c>
      <c r="C39" s="45" t="s">
        <v>414</v>
      </c>
      <c r="D39" s="1" t="n">
        <v>371</v>
      </c>
      <c r="E39" s="1" t="s">
        <v>602</v>
      </c>
      <c r="F39" s="1" t="n">
        <v>2</v>
      </c>
      <c r="G39" s="1" t="s">
        <v>495</v>
      </c>
      <c r="I39" s="1" t="s">
        <v>603</v>
      </c>
      <c r="J39" s="1" t="s">
        <v>599</v>
      </c>
      <c r="K39" s="1" t="n">
        <v>9</v>
      </c>
      <c r="L39" s="1" t="n">
        <v>10000</v>
      </c>
      <c r="M39" s="1" t="n">
        <v>3</v>
      </c>
      <c r="N39" s="1" t="n">
        <v>1</v>
      </c>
      <c r="O39" s="1" t="n">
        <v>3</v>
      </c>
      <c r="P39" s="1" t="n">
        <v>0</v>
      </c>
      <c r="Q39" s="1" t="n">
        <v>30000</v>
      </c>
      <c r="R39" s="1" t="n">
        <v>1080</v>
      </c>
      <c r="S39" s="1" t="n">
        <v>3240</v>
      </c>
      <c r="T39" s="1" t="n">
        <v>2</v>
      </c>
      <c r="U39" s="1" t="s">
        <v>600</v>
      </c>
      <c r="V39" s="46" t="n">
        <v>0.371</v>
      </c>
      <c r="W39" s="47" t="n">
        <v>400.68</v>
      </c>
      <c r="X39" s="47" t="n">
        <v>1202.04</v>
      </c>
      <c r="Y39" s="48" t="s">
        <v>88</v>
      </c>
      <c r="Z39" s="1" t="s">
        <v>337</v>
      </c>
      <c r="AA39" s="48" t="n">
        <v>27</v>
      </c>
    </row>
    <row r="40" customFormat="false" ht="15" hidden="false" customHeight="false" outlineLevel="0" collapsed="false">
      <c r="A40" s="45" t="s">
        <v>507</v>
      </c>
      <c r="B40" s="45" t="n">
        <v>324</v>
      </c>
      <c r="C40" s="45" t="n">
        <v>179203</v>
      </c>
      <c r="D40" s="1" t="n">
        <v>372</v>
      </c>
      <c r="E40" s="1" t="s">
        <v>604</v>
      </c>
      <c r="F40" s="1" t="n">
        <v>1</v>
      </c>
      <c r="G40" s="1" t="s">
        <v>464</v>
      </c>
      <c r="I40" s="1" t="s">
        <v>605</v>
      </c>
      <c r="J40" s="1" t="s">
        <v>606</v>
      </c>
      <c r="K40" s="1" t="n">
        <v>7.75</v>
      </c>
      <c r="L40" s="1" t="n">
        <v>10000</v>
      </c>
      <c r="M40" s="1" t="n">
        <v>1</v>
      </c>
      <c r="N40" s="1" t="n">
        <v>3</v>
      </c>
      <c r="O40" s="1" t="n">
        <v>3</v>
      </c>
      <c r="P40" s="1" t="n">
        <v>0</v>
      </c>
      <c r="Q40" s="1" t="n">
        <v>30000</v>
      </c>
      <c r="R40" s="1" t="n">
        <v>930</v>
      </c>
      <c r="S40" s="1" t="n">
        <v>2790</v>
      </c>
      <c r="T40" s="1" t="n">
        <v>1</v>
      </c>
      <c r="U40" s="1" t="s">
        <v>607</v>
      </c>
      <c r="V40" s="46" t="n">
        <v>0.336</v>
      </c>
      <c r="W40" s="47" t="n">
        <v>312.48</v>
      </c>
      <c r="X40" s="47" t="n">
        <v>937.44</v>
      </c>
      <c r="Y40" s="48" t="s">
        <v>88</v>
      </c>
      <c r="Z40" s="1" t="s">
        <v>608</v>
      </c>
      <c r="AA40" s="48" t="n">
        <v>23.25</v>
      </c>
    </row>
    <row r="41" customFormat="false" ht="15" hidden="false" customHeight="false" outlineLevel="0" collapsed="false">
      <c r="A41" s="45" t="s">
        <v>507</v>
      </c>
      <c r="B41" s="45" t="n">
        <v>324</v>
      </c>
      <c r="C41" s="45" t="n">
        <v>179203</v>
      </c>
      <c r="D41" s="1" t="n">
        <v>372</v>
      </c>
      <c r="E41" s="1" t="s">
        <v>609</v>
      </c>
      <c r="F41" s="1" t="n">
        <v>2</v>
      </c>
      <c r="G41" s="1" t="s">
        <v>464</v>
      </c>
      <c r="I41" s="1" t="s">
        <v>610</v>
      </c>
      <c r="J41" s="1" t="s">
        <v>606</v>
      </c>
      <c r="K41" s="1" t="n">
        <v>8.75</v>
      </c>
      <c r="L41" s="1" t="n">
        <v>10000</v>
      </c>
      <c r="M41" s="1" t="n">
        <v>1</v>
      </c>
      <c r="N41" s="1" t="n">
        <v>2</v>
      </c>
      <c r="O41" s="1" t="n">
        <v>2</v>
      </c>
      <c r="P41" s="1" t="n">
        <v>0</v>
      </c>
      <c r="Q41" s="1" t="n">
        <v>20000</v>
      </c>
      <c r="R41" s="1" t="n">
        <v>1050</v>
      </c>
      <c r="S41" s="1" t="n">
        <v>2100</v>
      </c>
      <c r="T41" s="1" t="n">
        <v>1</v>
      </c>
      <c r="U41" s="1" t="s">
        <v>607</v>
      </c>
      <c r="V41" s="46" t="n">
        <v>0.336</v>
      </c>
      <c r="W41" s="47" t="n">
        <v>352.8</v>
      </c>
      <c r="X41" s="47" t="n">
        <v>705.6</v>
      </c>
      <c r="Y41" s="48" t="s">
        <v>88</v>
      </c>
      <c r="Z41" s="1" t="s">
        <v>611</v>
      </c>
      <c r="AA41" s="48" t="n">
        <v>17.5</v>
      </c>
    </row>
    <row r="42" customFormat="false" ht="15" hidden="false" customHeight="false" outlineLevel="0" collapsed="false">
      <c r="A42" s="45" t="s">
        <v>507</v>
      </c>
      <c r="B42" s="45" t="n">
        <v>324</v>
      </c>
      <c r="C42" s="45" t="n">
        <v>179203</v>
      </c>
      <c r="D42" s="1" t="n">
        <v>372</v>
      </c>
      <c r="E42" s="1" t="s">
        <v>612</v>
      </c>
      <c r="F42" s="1" t="n">
        <v>3</v>
      </c>
      <c r="G42" s="1" t="s">
        <v>464</v>
      </c>
      <c r="I42" s="1" t="s">
        <v>613</v>
      </c>
      <c r="J42" s="1" t="s">
        <v>606</v>
      </c>
      <c r="K42" s="1" t="n">
        <v>7</v>
      </c>
      <c r="L42" s="1" t="n">
        <v>10000</v>
      </c>
      <c r="M42" s="1" t="n">
        <v>1</v>
      </c>
      <c r="N42" s="1" t="n">
        <v>2</v>
      </c>
      <c r="O42" s="1" t="n">
        <v>2</v>
      </c>
      <c r="P42" s="1" t="n">
        <v>0</v>
      </c>
      <c r="Q42" s="1" t="n">
        <v>20000</v>
      </c>
      <c r="R42" s="1" t="n">
        <v>840</v>
      </c>
      <c r="S42" s="1" t="n">
        <v>1680</v>
      </c>
      <c r="T42" s="1" t="n">
        <v>1</v>
      </c>
      <c r="U42" s="1" t="s">
        <v>607</v>
      </c>
      <c r="V42" s="46" t="n">
        <v>0.336</v>
      </c>
      <c r="W42" s="47" t="n">
        <v>282.24</v>
      </c>
      <c r="X42" s="47" t="n">
        <v>564.48</v>
      </c>
      <c r="Y42" s="48" t="s">
        <v>88</v>
      </c>
      <c r="Z42" s="1" t="s">
        <v>614</v>
      </c>
      <c r="AA42" s="48" t="n">
        <v>14</v>
      </c>
    </row>
    <row r="43" customFormat="false" ht="15" hidden="false" customHeight="false" outlineLevel="0" collapsed="false">
      <c r="A43" s="45" t="s">
        <v>507</v>
      </c>
      <c r="B43" s="45" t="n">
        <v>324</v>
      </c>
      <c r="C43" s="45" t="n">
        <v>179203</v>
      </c>
      <c r="D43" s="1" t="n">
        <v>372</v>
      </c>
      <c r="E43" s="1" t="s">
        <v>615</v>
      </c>
      <c r="F43" s="1" t="n">
        <v>4</v>
      </c>
      <c r="G43" s="1" t="s">
        <v>464</v>
      </c>
      <c r="I43" s="1" t="s">
        <v>616</v>
      </c>
      <c r="J43" s="1" t="s">
        <v>606</v>
      </c>
      <c r="K43" s="1" t="n">
        <v>5.25</v>
      </c>
      <c r="L43" s="1" t="n">
        <v>10000</v>
      </c>
      <c r="M43" s="1" t="n">
        <v>1</v>
      </c>
      <c r="N43" s="1" t="n">
        <v>1</v>
      </c>
      <c r="O43" s="1" t="n">
        <v>1</v>
      </c>
      <c r="P43" s="1" t="n">
        <v>0</v>
      </c>
      <c r="Q43" s="1" t="n">
        <v>10000</v>
      </c>
      <c r="R43" s="1" t="n">
        <v>630</v>
      </c>
      <c r="S43" s="1" t="n">
        <v>630</v>
      </c>
      <c r="T43" s="1" t="n">
        <v>1</v>
      </c>
      <c r="U43" s="1" t="s">
        <v>607</v>
      </c>
      <c r="V43" s="46" t="n">
        <v>0.336</v>
      </c>
      <c r="W43" s="47" t="n">
        <v>211.68</v>
      </c>
      <c r="X43" s="47" t="n">
        <v>211.68</v>
      </c>
      <c r="Y43" s="48" t="s">
        <v>88</v>
      </c>
      <c r="Z43" s="1" t="s">
        <v>364</v>
      </c>
      <c r="AA43" s="48" t="n">
        <v>5.25</v>
      </c>
    </row>
    <row r="44" customFormat="false" ht="15" hidden="false" customHeight="false" outlineLevel="0" collapsed="false">
      <c r="A44" s="45" t="s">
        <v>617</v>
      </c>
      <c r="B44" s="45" t="n">
        <v>315</v>
      </c>
      <c r="C44" s="45" t="n">
        <v>14381</v>
      </c>
      <c r="D44" s="1" t="n">
        <v>373</v>
      </c>
      <c r="E44" s="1" t="s">
        <v>618</v>
      </c>
      <c r="F44" s="1" t="n">
        <v>1</v>
      </c>
      <c r="G44" s="1" t="s">
        <v>484</v>
      </c>
      <c r="I44" s="1" t="s">
        <v>619</v>
      </c>
      <c r="J44" s="1" t="s">
        <v>620</v>
      </c>
      <c r="K44" s="1" t="n">
        <v>10</v>
      </c>
      <c r="L44" s="1" t="n">
        <v>10000</v>
      </c>
      <c r="M44" s="1" t="n">
        <v>1</v>
      </c>
      <c r="N44" s="1" t="n">
        <v>6</v>
      </c>
      <c r="O44" s="1" t="n">
        <v>6</v>
      </c>
      <c r="P44" s="1" t="n">
        <v>0</v>
      </c>
      <c r="Q44" s="1" t="n">
        <v>60000</v>
      </c>
      <c r="R44" s="1" t="n">
        <v>1200</v>
      </c>
      <c r="S44" s="1" t="n">
        <v>7200</v>
      </c>
      <c r="T44" s="1" t="n">
        <v>1</v>
      </c>
      <c r="U44" s="1" t="s">
        <v>621</v>
      </c>
      <c r="V44" s="46" t="n">
        <v>0.347</v>
      </c>
      <c r="W44" s="47" t="n">
        <v>416.4</v>
      </c>
      <c r="X44" s="47" t="n">
        <v>2498.4</v>
      </c>
      <c r="Y44" s="48" t="s">
        <v>88</v>
      </c>
      <c r="Z44" s="1" t="s">
        <v>622</v>
      </c>
      <c r="AA44" s="48" t="n">
        <v>60</v>
      </c>
    </row>
    <row r="45" customFormat="false" ht="15" hidden="false" customHeight="false" outlineLevel="0" collapsed="false">
      <c r="A45" s="45" t="s">
        <v>575</v>
      </c>
      <c r="B45" s="45" t="n">
        <v>327</v>
      </c>
      <c r="C45" s="45" t="n">
        <v>3106</v>
      </c>
      <c r="D45" s="1" t="n">
        <v>374</v>
      </c>
      <c r="E45" s="1" t="s">
        <v>623</v>
      </c>
      <c r="F45" s="1" t="n">
        <v>1</v>
      </c>
      <c r="G45" s="1" t="s">
        <v>624</v>
      </c>
      <c r="I45" s="1" t="s">
        <v>625</v>
      </c>
      <c r="J45" s="1" t="s">
        <v>626</v>
      </c>
      <c r="K45" s="1" t="n">
        <v>15</v>
      </c>
      <c r="L45" s="1" t="n">
        <v>10000</v>
      </c>
      <c r="M45" s="1" t="n">
        <v>2</v>
      </c>
      <c r="N45" s="1" t="n">
        <v>4</v>
      </c>
      <c r="O45" s="1" t="n">
        <v>8</v>
      </c>
      <c r="P45" s="1" t="n">
        <v>0</v>
      </c>
      <c r="Q45" s="1" t="n">
        <v>80000</v>
      </c>
      <c r="R45" s="1" t="n">
        <v>1800</v>
      </c>
      <c r="S45" s="1" t="n">
        <v>14400</v>
      </c>
      <c r="T45" s="1" t="n">
        <v>3</v>
      </c>
      <c r="U45" s="1" t="s">
        <v>627</v>
      </c>
      <c r="V45" s="46" t="n">
        <v>0.452</v>
      </c>
      <c r="W45" s="47" t="n">
        <v>813.6</v>
      </c>
      <c r="X45" s="47" t="n">
        <v>6508.8</v>
      </c>
      <c r="Y45" s="48" t="s">
        <v>88</v>
      </c>
      <c r="Z45" s="1" t="s">
        <v>628</v>
      </c>
      <c r="AA45" s="48" t="n">
        <v>120</v>
      </c>
    </row>
    <row r="46" customFormat="false" ht="15" hidden="false" customHeight="false" outlineLevel="0" collapsed="false">
      <c r="A46" s="45" t="s">
        <v>575</v>
      </c>
      <c r="B46" s="45" t="n">
        <v>327</v>
      </c>
      <c r="C46" s="45" t="n">
        <v>3106</v>
      </c>
      <c r="D46" s="1" t="n">
        <v>374</v>
      </c>
      <c r="E46" s="1" t="s">
        <v>629</v>
      </c>
      <c r="F46" s="1" t="n">
        <v>2</v>
      </c>
      <c r="G46" s="1" t="s">
        <v>517</v>
      </c>
      <c r="I46" s="1" t="s">
        <v>630</v>
      </c>
      <c r="J46" s="1" t="s">
        <v>631</v>
      </c>
      <c r="K46" s="1" t="n">
        <v>15</v>
      </c>
      <c r="L46" s="1" t="n">
        <v>10000</v>
      </c>
      <c r="M46" s="1" t="n">
        <v>1</v>
      </c>
      <c r="N46" s="1" t="n">
        <v>4</v>
      </c>
      <c r="O46" s="1" t="n">
        <v>4</v>
      </c>
      <c r="P46" s="1" t="n">
        <v>0</v>
      </c>
      <c r="Q46" s="1" t="n">
        <v>40000</v>
      </c>
      <c r="R46" s="1" t="n">
        <v>1800</v>
      </c>
      <c r="S46" s="1" t="n">
        <v>7200</v>
      </c>
      <c r="T46" s="1" t="n">
        <v>3</v>
      </c>
      <c r="U46" s="1" t="s">
        <v>632</v>
      </c>
      <c r="V46" s="46" t="n">
        <v>0.452</v>
      </c>
      <c r="W46" s="47" t="n">
        <v>813.6</v>
      </c>
      <c r="X46" s="47" t="n">
        <v>3254.4</v>
      </c>
      <c r="Y46" s="48" t="s">
        <v>88</v>
      </c>
      <c r="Z46" s="1" t="s">
        <v>633</v>
      </c>
      <c r="AA46" s="48" t="n">
        <v>60</v>
      </c>
    </row>
    <row r="47" customFormat="false" ht="15" hidden="false" customHeight="false" outlineLevel="0" collapsed="false">
      <c r="A47" s="45" t="s">
        <v>582</v>
      </c>
      <c r="B47" s="45" t="n">
        <v>310</v>
      </c>
      <c r="C47" s="45" t="s">
        <v>415</v>
      </c>
      <c r="D47" s="1" t="n">
        <v>375</v>
      </c>
      <c r="E47" s="1" t="s">
        <v>634</v>
      </c>
      <c r="F47" s="1" t="n">
        <v>1</v>
      </c>
      <c r="G47" s="1" t="s">
        <v>635</v>
      </c>
      <c r="I47" s="1" t="s">
        <v>636</v>
      </c>
      <c r="J47" s="1" t="s">
        <v>637</v>
      </c>
      <c r="K47" s="1" t="n">
        <v>12.875</v>
      </c>
      <c r="L47" s="1" t="n">
        <v>1000</v>
      </c>
      <c r="M47" s="1" t="n">
        <v>1</v>
      </c>
      <c r="N47" s="1" t="n">
        <v>1</v>
      </c>
      <c r="O47" s="1" t="n">
        <v>1</v>
      </c>
      <c r="P47" s="1" t="n">
        <v>0</v>
      </c>
      <c r="Q47" s="1" t="n">
        <v>1000</v>
      </c>
      <c r="R47" s="1" t="n">
        <v>154.5</v>
      </c>
      <c r="S47" s="1" t="n">
        <v>154.5</v>
      </c>
      <c r="T47" s="1" t="n">
        <v>4</v>
      </c>
      <c r="U47" s="1" t="s">
        <v>638</v>
      </c>
      <c r="V47" s="46" t="n">
        <v>0</v>
      </c>
      <c r="W47" s="47" t="n">
        <v>0</v>
      </c>
      <c r="X47" s="47" t="n">
        <v>0</v>
      </c>
      <c r="Y47" s="48" t="s">
        <v>88</v>
      </c>
      <c r="Z47" s="1" t="s">
        <v>639</v>
      </c>
      <c r="AA47" s="48" t="n">
        <v>12.875</v>
      </c>
    </row>
    <row r="48" customFormat="false" ht="15" hidden="false" customHeight="false" outlineLevel="0" collapsed="false">
      <c r="A48" s="45" t="s">
        <v>462</v>
      </c>
      <c r="B48" s="45" t="n">
        <v>335</v>
      </c>
      <c r="C48" s="45" t="s">
        <v>416</v>
      </c>
      <c r="D48" s="1" t="n">
        <v>376</v>
      </c>
      <c r="E48" s="1" t="s">
        <v>640</v>
      </c>
      <c r="F48" s="1" t="n">
        <v>1</v>
      </c>
      <c r="G48" s="1" t="s">
        <v>509</v>
      </c>
      <c r="I48" s="1" t="s">
        <v>641</v>
      </c>
      <c r="J48" s="1" t="s">
        <v>642</v>
      </c>
      <c r="K48" s="1" t="n">
        <v>3.875</v>
      </c>
      <c r="L48" s="1" t="n">
        <v>5000</v>
      </c>
      <c r="M48" s="1" t="n">
        <v>1</v>
      </c>
      <c r="N48" s="1" t="n">
        <v>12</v>
      </c>
      <c r="O48" s="1" t="n">
        <v>12</v>
      </c>
      <c r="P48" s="1" t="n">
        <v>0</v>
      </c>
      <c r="Q48" s="1" t="n">
        <v>60000</v>
      </c>
      <c r="R48" s="1" t="n">
        <v>232.5</v>
      </c>
      <c r="S48" s="1" t="n">
        <v>2790</v>
      </c>
      <c r="T48" s="1" t="n">
        <v>1</v>
      </c>
      <c r="U48" s="1" t="s">
        <v>643</v>
      </c>
      <c r="V48" s="46" t="n">
        <v>0.472</v>
      </c>
      <c r="W48" s="47" t="n">
        <v>109.74</v>
      </c>
      <c r="X48" s="47" t="n">
        <v>1316.88</v>
      </c>
      <c r="Y48" s="48" t="s">
        <v>88</v>
      </c>
      <c r="Z48" s="1" t="s">
        <v>644</v>
      </c>
      <c r="AA48" s="48" t="n">
        <v>46.5</v>
      </c>
    </row>
    <row r="49" customFormat="false" ht="15" hidden="false" customHeight="false" outlineLevel="0" collapsed="false">
      <c r="A49" s="45" t="s">
        <v>462</v>
      </c>
      <c r="B49" s="45" t="n">
        <v>335</v>
      </c>
      <c r="C49" s="45" t="s">
        <v>416</v>
      </c>
      <c r="D49" s="1" t="n">
        <v>376</v>
      </c>
      <c r="E49" s="1" t="s">
        <v>645</v>
      </c>
      <c r="F49" s="1" t="n">
        <v>2</v>
      </c>
      <c r="G49" s="1" t="s">
        <v>509</v>
      </c>
      <c r="I49" s="1" t="s">
        <v>646</v>
      </c>
      <c r="J49" s="1" t="s">
        <v>642</v>
      </c>
      <c r="K49" s="1" t="n">
        <v>8.875</v>
      </c>
      <c r="L49" s="1" t="n">
        <v>5000</v>
      </c>
      <c r="M49" s="1" t="n">
        <v>1</v>
      </c>
      <c r="N49" s="1" t="n">
        <v>1</v>
      </c>
      <c r="O49" s="1" t="n">
        <v>1</v>
      </c>
      <c r="P49" s="1" t="n">
        <v>0</v>
      </c>
      <c r="Q49" s="1" t="n">
        <v>5000</v>
      </c>
      <c r="R49" s="1" t="n">
        <v>532.5</v>
      </c>
      <c r="S49" s="1" t="n">
        <v>532.5</v>
      </c>
      <c r="T49" s="1" t="n">
        <v>1</v>
      </c>
      <c r="U49" s="1" t="s">
        <v>643</v>
      </c>
      <c r="V49" s="46" t="n">
        <v>0.472</v>
      </c>
      <c r="W49" s="47" t="n">
        <v>251.34</v>
      </c>
      <c r="X49" s="47" t="n">
        <v>251.34</v>
      </c>
      <c r="Y49" s="48" t="s">
        <v>88</v>
      </c>
      <c r="Z49" s="1" t="s">
        <v>647</v>
      </c>
      <c r="AA49" s="48" t="n">
        <v>8.875</v>
      </c>
    </row>
    <row r="50" customFormat="false" ht="15" hidden="false" customHeight="false" outlineLevel="0" collapsed="false">
      <c r="A50" s="45" t="s">
        <v>462</v>
      </c>
      <c r="B50" s="45" t="n">
        <v>335</v>
      </c>
      <c r="C50" s="45" t="s">
        <v>416</v>
      </c>
      <c r="D50" s="1" t="n">
        <v>376</v>
      </c>
      <c r="E50" s="1" t="s">
        <v>648</v>
      </c>
      <c r="F50" s="1" t="n">
        <v>3</v>
      </c>
      <c r="G50" s="1" t="s">
        <v>509</v>
      </c>
      <c r="I50" s="1" t="s">
        <v>649</v>
      </c>
      <c r="J50" s="1" t="s">
        <v>642</v>
      </c>
      <c r="K50" s="1" t="n">
        <v>2.375</v>
      </c>
      <c r="L50" s="1" t="n">
        <v>5000</v>
      </c>
      <c r="M50" s="1" t="n">
        <v>1</v>
      </c>
      <c r="N50" s="1" t="n">
        <v>1</v>
      </c>
      <c r="O50" s="1" t="n">
        <v>1</v>
      </c>
      <c r="P50" s="1" t="n">
        <v>0</v>
      </c>
      <c r="Q50" s="1" t="n">
        <v>5000</v>
      </c>
      <c r="R50" s="1" t="n">
        <v>142.5</v>
      </c>
      <c r="S50" s="1" t="n">
        <v>142.5</v>
      </c>
      <c r="T50" s="1" t="n">
        <v>1</v>
      </c>
      <c r="U50" s="1" t="s">
        <v>643</v>
      </c>
      <c r="V50" s="46" t="n">
        <v>0.472</v>
      </c>
      <c r="W50" s="47" t="n">
        <v>67.26</v>
      </c>
      <c r="X50" s="47" t="n">
        <v>67.26</v>
      </c>
      <c r="Y50" s="48" t="s">
        <v>88</v>
      </c>
      <c r="Z50" s="1" t="s">
        <v>650</v>
      </c>
      <c r="AA50" s="48" t="n">
        <v>2.375</v>
      </c>
    </row>
    <row r="51" customFormat="false" ht="15" hidden="false" customHeight="false" outlineLevel="0" collapsed="false">
      <c r="A51" s="45" t="s">
        <v>462</v>
      </c>
      <c r="B51" s="45" t="n">
        <v>335</v>
      </c>
      <c r="C51" s="45" t="s">
        <v>416</v>
      </c>
      <c r="D51" s="1" t="n">
        <v>376</v>
      </c>
      <c r="E51" s="1" t="s">
        <v>651</v>
      </c>
      <c r="F51" s="1" t="n">
        <v>4</v>
      </c>
      <c r="G51" s="1" t="s">
        <v>509</v>
      </c>
      <c r="I51" s="1" t="s">
        <v>652</v>
      </c>
      <c r="J51" s="1" t="s">
        <v>642</v>
      </c>
      <c r="K51" s="1" t="n">
        <v>2.25</v>
      </c>
      <c r="L51" s="1" t="n">
        <v>5000</v>
      </c>
      <c r="M51" s="1" t="n">
        <v>1</v>
      </c>
      <c r="N51" s="1" t="n">
        <v>1</v>
      </c>
      <c r="O51" s="1" t="n">
        <v>1</v>
      </c>
      <c r="P51" s="1" t="n">
        <v>0</v>
      </c>
      <c r="Q51" s="1" t="n">
        <v>5000</v>
      </c>
      <c r="R51" s="1" t="n">
        <v>135</v>
      </c>
      <c r="S51" s="1" t="n">
        <v>135</v>
      </c>
      <c r="T51" s="1" t="n">
        <v>1</v>
      </c>
      <c r="U51" s="1" t="s">
        <v>643</v>
      </c>
      <c r="V51" s="46" t="n">
        <v>0.472</v>
      </c>
      <c r="W51" s="47" t="n">
        <v>63.72</v>
      </c>
      <c r="X51" s="47" t="n">
        <v>63.72</v>
      </c>
      <c r="Y51" s="48" t="s">
        <v>88</v>
      </c>
      <c r="Z51" s="1" t="s">
        <v>653</v>
      </c>
      <c r="AA51" s="48" t="n">
        <v>2.25</v>
      </c>
    </row>
    <row r="52" customFormat="false" ht="15" hidden="false" customHeight="false" outlineLevel="0" collapsed="false">
      <c r="A52" s="45" t="s">
        <v>462</v>
      </c>
      <c r="B52" s="45" t="n">
        <v>335</v>
      </c>
      <c r="C52" s="45" t="s">
        <v>416</v>
      </c>
      <c r="D52" s="1" t="n">
        <v>376</v>
      </c>
      <c r="E52" s="1" t="s">
        <v>654</v>
      </c>
      <c r="F52" s="1" t="n">
        <v>5</v>
      </c>
      <c r="G52" s="1" t="s">
        <v>484</v>
      </c>
      <c r="I52" s="1" t="s">
        <v>655</v>
      </c>
      <c r="J52" s="1" t="s">
        <v>656</v>
      </c>
      <c r="K52" s="1" t="n">
        <v>6.875</v>
      </c>
      <c r="L52" s="1" t="n">
        <v>5000</v>
      </c>
      <c r="M52" s="1" t="n">
        <v>1</v>
      </c>
      <c r="N52" s="1" t="n">
        <v>1</v>
      </c>
      <c r="O52" s="1" t="n">
        <v>1</v>
      </c>
      <c r="P52" s="1" t="n">
        <v>0</v>
      </c>
      <c r="Q52" s="1" t="n">
        <v>5000</v>
      </c>
      <c r="R52" s="1" t="n">
        <v>412.5</v>
      </c>
      <c r="S52" s="1" t="n">
        <v>412.5</v>
      </c>
      <c r="T52" s="1" t="n">
        <v>1</v>
      </c>
      <c r="U52" s="1" t="s">
        <v>657</v>
      </c>
      <c r="V52" s="46" t="n">
        <v>0.363</v>
      </c>
      <c r="W52" s="47" t="n">
        <v>149.7375</v>
      </c>
      <c r="X52" s="47" t="n">
        <v>149.7375</v>
      </c>
      <c r="Y52" s="48" t="s">
        <v>88</v>
      </c>
      <c r="Z52" s="1" t="s">
        <v>658</v>
      </c>
      <c r="AA52" s="48" t="n">
        <v>6.875</v>
      </c>
    </row>
    <row r="53" customFormat="false" ht="15" hidden="false" customHeight="false" outlineLevel="0" collapsed="false">
      <c r="A53" s="45" t="s">
        <v>462</v>
      </c>
      <c r="B53" s="45" t="n">
        <v>335</v>
      </c>
      <c r="C53" s="45" t="s">
        <v>416</v>
      </c>
      <c r="D53" s="1" t="n">
        <v>376</v>
      </c>
      <c r="E53" s="1" t="s">
        <v>659</v>
      </c>
      <c r="F53" s="1" t="n">
        <v>6</v>
      </c>
      <c r="G53" s="1" t="s">
        <v>484</v>
      </c>
      <c r="I53" s="1" t="s">
        <v>660</v>
      </c>
      <c r="J53" s="1" t="s">
        <v>656</v>
      </c>
      <c r="K53" s="1" t="n">
        <v>4.75</v>
      </c>
      <c r="L53" s="1" t="n">
        <v>5000</v>
      </c>
      <c r="M53" s="1" t="n">
        <v>1</v>
      </c>
      <c r="N53" s="1" t="n">
        <v>4</v>
      </c>
      <c r="O53" s="1" t="n">
        <v>4</v>
      </c>
      <c r="P53" s="1" t="n">
        <v>0</v>
      </c>
      <c r="Q53" s="1" t="n">
        <v>20000</v>
      </c>
      <c r="R53" s="1" t="n">
        <v>285</v>
      </c>
      <c r="S53" s="1" t="n">
        <v>1140</v>
      </c>
      <c r="T53" s="1" t="n">
        <v>1</v>
      </c>
      <c r="U53" s="1" t="s">
        <v>657</v>
      </c>
      <c r="V53" s="46" t="n">
        <v>0.363</v>
      </c>
      <c r="W53" s="47" t="n">
        <v>103.455</v>
      </c>
      <c r="X53" s="47" t="n">
        <v>413.82</v>
      </c>
      <c r="Y53" s="48" t="s">
        <v>88</v>
      </c>
      <c r="Z53" s="1" t="s">
        <v>661</v>
      </c>
      <c r="AA53" s="48" t="n">
        <v>19</v>
      </c>
    </row>
    <row r="54" customFormat="false" ht="15" hidden="false" customHeight="false" outlineLevel="0" collapsed="false">
      <c r="A54" s="45" t="s">
        <v>462</v>
      </c>
      <c r="B54" s="45" t="n">
        <v>335</v>
      </c>
      <c r="C54" s="45" t="s">
        <v>416</v>
      </c>
      <c r="D54" s="1" t="n">
        <v>376</v>
      </c>
      <c r="E54" s="1" t="s">
        <v>662</v>
      </c>
      <c r="F54" s="1" t="n">
        <v>7</v>
      </c>
      <c r="G54" s="1" t="s">
        <v>484</v>
      </c>
      <c r="I54" s="1" t="s">
        <v>663</v>
      </c>
      <c r="J54" s="1" t="s">
        <v>656</v>
      </c>
      <c r="K54" s="1" t="n">
        <v>3.75</v>
      </c>
      <c r="L54" s="1" t="n">
        <v>5000</v>
      </c>
      <c r="M54" s="1" t="n">
        <v>1</v>
      </c>
      <c r="N54" s="1" t="n">
        <v>2</v>
      </c>
      <c r="O54" s="1" t="n">
        <v>2</v>
      </c>
      <c r="P54" s="1" t="n">
        <v>0</v>
      </c>
      <c r="Q54" s="1" t="n">
        <v>10000</v>
      </c>
      <c r="R54" s="1" t="n">
        <v>225</v>
      </c>
      <c r="S54" s="1" t="n">
        <v>450</v>
      </c>
      <c r="T54" s="1" t="n">
        <v>1</v>
      </c>
      <c r="U54" s="1" t="s">
        <v>657</v>
      </c>
      <c r="V54" s="46" t="n">
        <v>0.363</v>
      </c>
      <c r="W54" s="47" t="n">
        <v>81.675</v>
      </c>
      <c r="X54" s="47" t="n">
        <v>163.35</v>
      </c>
      <c r="Y54" s="48" t="s">
        <v>88</v>
      </c>
      <c r="Z54" s="1" t="s">
        <v>664</v>
      </c>
      <c r="AA54" s="48" t="n">
        <v>7.5</v>
      </c>
    </row>
    <row r="55" customFormat="false" ht="15" hidden="false" customHeight="false" outlineLevel="0" collapsed="false">
      <c r="A55" s="45" t="s">
        <v>462</v>
      </c>
      <c r="B55" s="45" t="n">
        <v>335</v>
      </c>
      <c r="C55" s="45" t="s">
        <v>416</v>
      </c>
      <c r="D55" s="1" t="n">
        <v>376</v>
      </c>
      <c r="E55" s="1" t="s">
        <v>665</v>
      </c>
      <c r="F55" s="1" t="n">
        <v>8</v>
      </c>
      <c r="G55" s="1" t="s">
        <v>484</v>
      </c>
      <c r="I55" s="1" t="s">
        <v>666</v>
      </c>
      <c r="J55" s="1" t="s">
        <v>656</v>
      </c>
      <c r="K55" s="1" t="n">
        <v>4.25</v>
      </c>
      <c r="L55" s="1" t="n">
        <v>5000</v>
      </c>
      <c r="M55" s="1" t="n">
        <v>1</v>
      </c>
      <c r="N55" s="1" t="n">
        <v>2</v>
      </c>
      <c r="O55" s="1" t="n">
        <v>2</v>
      </c>
      <c r="P55" s="1" t="n">
        <v>0</v>
      </c>
      <c r="Q55" s="1" t="n">
        <v>10000</v>
      </c>
      <c r="R55" s="1" t="n">
        <v>255</v>
      </c>
      <c r="S55" s="1" t="n">
        <v>510</v>
      </c>
      <c r="T55" s="1" t="n">
        <v>1</v>
      </c>
      <c r="U55" s="1" t="s">
        <v>657</v>
      </c>
      <c r="V55" s="46" t="n">
        <v>0.363</v>
      </c>
      <c r="W55" s="47" t="n">
        <v>92.565</v>
      </c>
      <c r="X55" s="47" t="n">
        <v>185.13</v>
      </c>
      <c r="Y55" s="48" t="s">
        <v>88</v>
      </c>
      <c r="Z55" s="1" t="s">
        <v>667</v>
      </c>
      <c r="AA55" s="48" t="n">
        <v>8.5</v>
      </c>
    </row>
    <row r="56" customFormat="false" ht="15" hidden="false" customHeight="false" outlineLevel="0" collapsed="false">
      <c r="A56" s="45" t="s">
        <v>462</v>
      </c>
      <c r="B56" s="45" t="n">
        <v>335</v>
      </c>
      <c r="C56" s="45" t="s">
        <v>416</v>
      </c>
      <c r="D56" s="1" t="n">
        <v>376</v>
      </c>
      <c r="E56" s="1" t="s">
        <v>668</v>
      </c>
      <c r="F56" s="1" t="n">
        <v>9</v>
      </c>
      <c r="G56" s="1" t="s">
        <v>484</v>
      </c>
      <c r="I56" s="1" t="s">
        <v>669</v>
      </c>
      <c r="J56" s="1" t="s">
        <v>656</v>
      </c>
      <c r="K56" s="1" t="n">
        <v>3.625</v>
      </c>
      <c r="L56" s="1" t="n">
        <v>5000</v>
      </c>
      <c r="M56" s="1" t="n">
        <v>1</v>
      </c>
      <c r="N56" s="1" t="n">
        <v>5</v>
      </c>
      <c r="O56" s="1" t="n">
        <v>5</v>
      </c>
      <c r="P56" s="1" t="n">
        <v>0</v>
      </c>
      <c r="Q56" s="1" t="n">
        <v>25000</v>
      </c>
      <c r="R56" s="1" t="n">
        <v>217.5</v>
      </c>
      <c r="S56" s="1" t="n">
        <v>1087.5</v>
      </c>
      <c r="T56" s="1" t="n">
        <v>1</v>
      </c>
      <c r="U56" s="1" t="s">
        <v>657</v>
      </c>
      <c r="V56" s="46" t="n">
        <v>0.363</v>
      </c>
      <c r="W56" s="47" t="n">
        <v>78.9525</v>
      </c>
      <c r="X56" s="47" t="n">
        <v>394.7625</v>
      </c>
      <c r="Y56" s="48" t="s">
        <v>88</v>
      </c>
      <c r="Z56" s="1" t="s">
        <v>670</v>
      </c>
      <c r="AA56" s="48" t="n">
        <v>18.125</v>
      </c>
    </row>
    <row r="57" customFormat="false" ht="15" hidden="false" customHeight="false" outlineLevel="0" collapsed="false">
      <c r="A57" s="45" t="s">
        <v>671</v>
      </c>
      <c r="B57" s="45" t="n">
        <v>311</v>
      </c>
      <c r="C57" s="45" t="n">
        <v>10178</v>
      </c>
      <c r="D57" s="1" t="n">
        <v>377</v>
      </c>
      <c r="E57" s="1" t="s">
        <v>672</v>
      </c>
      <c r="F57" s="1" t="n">
        <v>1</v>
      </c>
      <c r="G57" s="1" t="s">
        <v>517</v>
      </c>
      <c r="I57" s="1" t="s">
        <v>673</v>
      </c>
      <c r="J57" s="1" t="s">
        <v>674</v>
      </c>
      <c r="K57" s="1" t="n">
        <v>10</v>
      </c>
      <c r="L57" s="1" t="n">
        <v>10000</v>
      </c>
      <c r="M57" s="1" t="n">
        <v>2</v>
      </c>
      <c r="N57" s="1" t="n">
        <v>6</v>
      </c>
      <c r="O57" s="1" t="n">
        <v>12</v>
      </c>
      <c r="P57" s="1" t="n">
        <v>0</v>
      </c>
      <c r="Q57" s="1" t="n">
        <v>120000</v>
      </c>
      <c r="R57" s="1" t="n">
        <v>1200</v>
      </c>
      <c r="S57" s="1" t="n">
        <v>14400</v>
      </c>
      <c r="T57" s="1" t="n">
        <v>3</v>
      </c>
      <c r="U57" s="1" t="s">
        <v>675</v>
      </c>
      <c r="V57" s="46" t="n">
        <v>0.452</v>
      </c>
      <c r="W57" s="47" t="n">
        <v>542.4</v>
      </c>
      <c r="X57" s="47" t="n">
        <v>6508.8</v>
      </c>
      <c r="Y57" s="48" t="s">
        <v>88</v>
      </c>
      <c r="Z57" s="1" t="s">
        <v>676</v>
      </c>
      <c r="AA57" s="48" t="n">
        <v>120</v>
      </c>
    </row>
    <row r="58" customFormat="false" ht="15" hidden="false" customHeight="false" outlineLevel="0" collapsed="false">
      <c r="A58" s="45" t="s">
        <v>582</v>
      </c>
      <c r="B58" s="45" t="n">
        <v>310</v>
      </c>
      <c r="C58" s="45" t="n">
        <v>1991</v>
      </c>
      <c r="D58" s="1" t="n">
        <v>378</v>
      </c>
      <c r="E58" s="1" t="s">
        <v>677</v>
      </c>
      <c r="F58" s="1" t="n">
        <v>1</v>
      </c>
      <c r="G58" s="1" t="s">
        <v>495</v>
      </c>
      <c r="I58" s="1" t="s">
        <v>678</v>
      </c>
      <c r="J58" s="1" t="s">
        <v>679</v>
      </c>
      <c r="K58" s="1" t="n">
        <v>12.875</v>
      </c>
      <c r="L58" s="1" t="n">
        <v>10000</v>
      </c>
      <c r="M58" s="1" t="n">
        <v>3</v>
      </c>
      <c r="N58" s="1" t="n">
        <v>3</v>
      </c>
      <c r="O58" s="1" t="n">
        <v>9</v>
      </c>
      <c r="P58" s="1" t="n">
        <v>0</v>
      </c>
      <c r="Q58" s="1" t="n">
        <v>90000</v>
      </c>
      <c r="R58" s="1" t="n">
        <v>1545</v>
      </c>
      <c r="S58" s="1" t="n">
        <v>13905</v>
      </c>
      <c r="T58" s="1" t="n">
        <v>4</v>
      </c>
      <c r="U58" s="1" t="s">
        <v>594</v>
      </c>
      <c r="V58" s="46" t="n">
        <v>0.37</v>
      </c>
      <c r="W58" s="47" t="n">
        <v>571.65</v>
      </c>
      <c r="X58" s="47" t="n">
        <v>5144.85</v>
      </c>
      <c r="Y58" s="48" t="s">
        <v>88</v>
      </c>
      <c r="Z58" s="1" t="s">
        <v>595</v>
      </c>
      <c r="AA58" s="48" t="n">
        <v>115.875</v>
      </c>
    </row>
    <row r="59" customFormat="false" ht="15" hidden="false" customHeight="false" outlineLevel="0" collapsed="false">
      <c r="A59" s="54" t="str">
        <f aca="false">_xlfn.xlookup(D59,'PO Client'!A:A,'PO Client'!C:C)</f>
        <v>Mijo</v>
      </c>
      <c r="B59" s="54" t="n">
        <f aca="false">_xlfn.xlookup(A59,[1]Clients!C$1:C$1048576,[1]Clients!A$1:A$1048576)</f>
        <v>315</v>
      </c>
      <c r="C59" s="54" t="n">
        <f aca="false">_xlfn.xlookup(D59,'PO Client'!A:A,'PO Client'!H:H)</f>
        <v>14392</v>
      </c>
      <c r="D59" s="55" t="n">
        <f aca="false">IF(F59=1,D58+1,D58)</f>
        <v>379</v>
      </c>
      <c r="E59" s="55" t="str">
        <f aca="false">D59&amp;"-"&amp;F59</f>
        <v>379-1</v>
      </c>
      <c r="F59" s="1" t="n">
        <v>1</v>
      </c>
      <c r="G59" s="1" t="s">
        <v>484</v>
      </c>
      <c r="I59" s="1" t="str">
        <f aca="false">G59&amp;"-"&amp;E59</f>
        <v>S15-379-1</v>
      </c>
      <c r="J59" s="1" t="str">
        <f aca="false">D59&amp;G59</f>
        <v>379S15</v>
      </c>
      <c r="K59" s="1" t="n">
        <v>6</v>
      </c>
      <c r="L59" s="1" t="n">
        <v>10000</v>
      </c>
      <c r="M59" s="1" t="n">
        <v>1</v>
      </c>
      <c r="N59" s="1" t="n">
        <v>5</v>
      </c>
      <c r="O59" s="1" t="n">
        <f aca="false">N59*M59</f>
        <v>5</v>
      </c>
      <c r="P59" s="55" t="n">
        <f aca="false">IFERROR(_xlfn.xlookup(B59&amp;"-"&amp;G59&amp;"-"&amp;T59,'[1]Q item'!A$1:A$1048576,'[1]Q item'!L$1:L$1048576),"")</f>
        <v>0</v>
      </c>
      <c r="Q59" s="55" t="n">
        <f aca="false">O59*L59</f>
        <v>50000</v>
      </c>
      <c r="R59" s="55" t="n">
        <f aca="false">K59*L59*12/1000</f>
        <v>720</v>
      </c>
      <c r="S59" s="55" t="n">
        <f aca="false">K59*L59*12/1000*O59</f>
        <v>3600</v>
      </c>
      <c r="T59" s="55" t="n">
        <f aca="false">_xlfn.MAXIFS([1]Quote!D$1:D$1048576,[1]Quote!C$1:C$1048576,B59)</f>
        <v>2</v>
      </c>
      <c r="U59" s="55" t="str">
        <f aca="false">B59&amp;"-"&amp;G59&amp;"-"&amp;T59</f>
        <v>315-S15-2</v>
      </c>
      <c r="V59" s="56" t="n">
        <v>0.347</v>
      </c>
      <c r="W59" s="57" t="n">
        <f aca="false">R59*V59</f>
        <v>249.84</v>
      </c>
      <c r="X59" s="57" t="n">
        <f aca="false">S59*V59</f>
        <v>1249.2</v>
      </c>
      <c r="Y59" s="58" t="str">
        <f aca="false">_xlfn.xlookup(B59,[1]Clients!A$1:A$1048576,[1]Clients!Z$1:Z$1048576)</f>
        <v>CAD</v>
      </c>
      <c r="Z59" s="55" t="str">
        <f aca="false">G59&amp;"/"&amp;K59&amp;"/"&amp;L59/1000</f>
        <v>S15/6/10</v>
      </c>
      <c r="AA59" s="58" t="n">
        <f aca="false">O59*K59</f>
        <v>30</v>
      </c>
    </row>
    <row r="60" customFormat="false" ht="15" hidden="false" customHeight="false" outlineLevel="0" collapsed="false">
      <c r="A60" s="54" t="str">
        <f aca="false">_xlfn.xlookup(D60,'PO Client'!A:A,'PO Client'!C:C)</f>
        <v>Mijo</v>
      </c>
      <c r="B60" s="54" t="n">
        <f aca="false">_xlfn.xlookup(A60,[1]Clients!C$1:C$1048576,[1]Clients!A$1:A$1048576)</f>
        <v>315</v>
      </c>
      <c r="C60" s="54" t="n">
        <f aca="false">_xlfn.xlookup(D60,'PO Client'!A:A,'PO Client'!H:H)</f>
        <v>14392</v>
      </c>
      <c r="D60" s="55" t="n">
        <f aca="false">IF(F60=1,D59+1,D59)</f>
        <v>379</v>
      </c>
      <c r="E60" s="55" t="str">
        <f aca="false">D60&amp;"-"&amp;F60</f>
        <v>379-2</v>
      </c>
      <c r="F60" s="1" t="n">
        <v>2</v>
      </c>
      <c r="G60" s="1" t="s">
        <v>484</v>
      </c>
      <c r="I60" s="1" t="str">
        <f aca="false">G60&amp;"-"&amp;E60</f>
        <v>S15-379-2</v>
      </c>
      <c r="J60" s="1" t="str">
        <f aca="false">D60&amp;G60</f>
        <v>379S15</v>
      </c>
      <c r="K60" s="1" t="n">
        <v>7</v>
      </c>
      <c r="L60" s="1" t="n">
        <v>10000</v>
      </c>
      <c r="M60" s="1" t="n">
        <v>1</v>
      </c>
      <c r="N60" s="1" t="n">
        <v>2</v>
      </c>
      <c r="O60" s="1" t="n">
        <f aca="false">N60*M60</f>
        <v>2</v>
      </c>
      <c r="P60" s="55" t="n">
        <f aca="false">IFERROR(_xlfn.xlookup(B60&amp;"-"&amp;G60&amp;"-"&amp;T60,'[1]Q item'!A$1:A$1048576,'[1]Q item'!L$1:L$1048576),"")</f>
        <v>0</v>
      </c>
      <c r="Q60" s="55" t="n">
        <f aca="false">O60*L60</f>
        <v>20000</v>
      </c>
      <c r="R60" s="55" t="n">
        <f aca="false">K60*L60*12/1000</f>
        <v>840</v>
      </c>
      <c r="S60" s="55" t="n">
        <f aca="false">K60*L60*12/1000*O60</f>
        <v>1680</v>
      </c>
      <c r="T60" s="55" t="n">
        <f aca="false">_xlfn.MAXIFS([1]Quote!D$1:D$1048576,[1]Quote!C$1:C$1048576,B60)</f>
        <v>2</v>
      </c>
      <c r="U60" s="55" t="str">
        <f aca="false">B60&amp;"-"&amp;G60&amp;"-"&amp;T60</f>
        <v>315-S15-2</v>
      </c>
      <c r="V60" s="56" t="n">
        <v>0.347</v>
      </c>
      <c r="W60" s="57" t="n">
        <f aca="false">R60*V60</f>
        <v>291.48</v>
      </c>
      <c r="X60" s="57" t="n">
        <f aca="false">S60*V60</f>
        <v>582.96</v>
      </c>
      <c r="Y60" s="58" t="str">
        <f aca="false">_xlfn.xlookup(B60,[1]Clients!A$1:A$1048576,[1]Clients!Z$1:Z$1048576)</f>
        <v>CAD</v>
      </c>
      <c r="Z60" s="55" t="str">
        <f aca="false">G60&amp;"/"&amp;K60&amp;"/"&amp;L60/1000</f>
        <v>S15/7/10</v>
      </c>
      <c r="AA60" s="58" t="n">
        <f aca="false">O60*K60</f>
        <v>14</v>
      </c>
    </row>
    <row r="61" customFormat="false" ht="15" hidden="false" customHeight="false" outlineLevel="0" collapsed="false">
      <c r="A61" s="54" t="str">
        <f aca="false">_xlfn.xlookup(D61,'PO Client'!A:A,'PO Client'!C:C)</f>
        <v>Mijo</v>
      </c>
      <c r="B61" s="54" t="n">
        <f aca="false">_xlfn.xlookup(A61,[1]Clients!C$1:C$1048576,[1]Clients!A$1:A$1048576)</f>
        <v>315</v>
      </c>
      <c r="C61" s="54" t="n">
        <f aca="false">_xlfn.xlookup(D61,'PO Client'!A:A,'PO Client'!H:H)</f>
        <v>14392</v>
      </c>
      <c r="D61" s="55" t="n">
        <f aca="false">IF(F61=1,D60+1,D60)</f>
        <v>379</v>
      </c>
      <c r="E61" s="55" t="str">
        <f aca="false">D61&amp;"-"&amp;F61</f>
        <v>379-3</v>
      </c>
      <c r="F61" s="1" t="n">
        <v>3</v>
      </c>
      <c r="G61" s="1" t="s">
        <v>484</v>
      </c>
      <c r="I61" s="1" t="str">
        <f aca="false">G61&amp;"-"&amp;E61</f>
        <v>S15-379-3</v>
      </c>
      <c r="J61" s="1" t="str">
        <f aca="false">D61&amp;G61</f>
        <v>379S15</v>
      </c>
      <c r="K61" s="1" t="n">
        <v>8</v>
      </c>
      <c r="L61" s="1" t="n">
        <v>10000</v>
      </c>
      <c r="M61" s="1" t="n">
        <v>1</v>
      </c>
      <c r="N61" s="1" t="n">
        <v>2</v>
      </c>
      <c r="O61" s="1" t="n">
        <f aca="false">N61*M61</f>
        <v>2</v>
      </c>
      <c r="P61" s="55" t="n">
        <f aca="false">IFERROR(_xlfn.xlookup(B61&amp;"-"&amp;G61&amp;"-"&amp;T61,'[1]Q item'!A$1:A$1048576,'[1]Q item'!L$1:L$1048576),"")</f>
        <v>0</v>
      </c>
      <c r="Q61" s="55" t="n">
        <f aca="false">O61*L61</f>
        <v>20000</v>
      </c>
      <c r="R61" s="55" t="n">
        <f aca="false">K61*L61*12/1000</f>
        <v>960</v>
      </c>
      <c r="S61" s="55" t="n">
        <f aca="false">K61*L61*12/1000*O61</f>
        <v>1920</v>
      </c>
      <c r="T61" s="55" t="n">
        <f aca="false">_xlfn.MAXIFS([1]Quote!D$1:D$1048576,[1]Quote!C$1:C$1048576,B61)</f>
        <v>2</v>
      </c>
      <c r="U61" s="55" t="str">
        <f aca="false">B61&amp;"-"&amp;G61&amp;"-"&amp;T61</f>
        <v>315-S15-2</v>
      </c>
      <c r="V61" s="56" t="n">
        <v>0.347</v>
      </c>
      <c r="W61" s="57" t="n">
        <f aca="false">R61*V61</f>
        <v>333.12</v>
      </c>
      <c r="X61" s="57" t="n">
        <f aca="false">S61*V61</f>
        <v>666.24</v>
      </c>
      <c r="Y61" s="58" t="str">
        <f aca="false">_xlfn.xlookup(B61,[1]Clients!A$1:A$1048576,[1]Clients!Z$1:Z$1048576)</f>
        <v>CAD</v>
      </c>
      <c r="Z61" s="55" t="str">
        <f aca="false">G61&amp;"/"&amp;K61&amp;"/"&amp;L61/1000</f>
        <v>S15/8/10</v>
      </c>
      <c r="AA61" s="58" t="n">
        <f aca="false">O61*K61</f>
        <v>16</v>
      </c>
    </row>
    <row r="62" customFormat="false" ht="15" hidden="false" customHeight="false" outlineLevel="0" collapsed="false">
      <c r="A62" s="54" t="str">
        <f aca="false">_xlfn.xlookup(D62,'PO Client'!A:A,'PO Client'!C:C)</f>
        <v>SYL</v>
      </c>
      <c r="B62" s="54" t="n">
        <f aca="false">_xlfn.xlookup(A62,[1]Clients!C$1:C$1048576,[1]Clients!A$1:A$1048576)</f>
        <v>339</v>
      </c>
      <c r="C62" s="54" t="str">
        <f aca="false">_xlfn.xlookup(D62,'PO Client'!A:A,'PO Client'!H:H)</f>
        <v>Échantillon S35</v>
      </c>
      <c r="D62" s="55" t="n">
        <f aca="false">IF(F62=1,D61+1,D61)</f>
        <v>380</v>
      </c>
      <c r="E62" s="55" t="str">
        <f aca="false">D62&amp;"-"&amp;F62</f>
        <v>380-1</v>
      </c>
      <c r="F62" s="1" t="n">
        <v>1</v>
      </c>
      <c r="G62" s="1" t="s">
        <v>680</v>
      </c>
      <c r="I62" s="1" t="str">
        <f aca="false">G62&amp;"-"&amp;E62</f>
        <v>S35-380-1</v>
      </c>
      <c r="J62" s="1" t="str">
        <f aca="false">D62&amp;G62</f>
        <v>380S35</v>
      </c>
      <c r="K62" s="1" t="n">
        <v>13</v>
      </c>
      <c r="L62" s="1" t="n">
        <v>1000</v>
      </c>
      <c r="M62" s="1" t="n">
        <v>1</v>
      </c>
      <c r="N62" s="1" t="n">
        <v>1</v>
      </c>
      <c r="O62" s="1" t="n">
        <f aca="false">N62*M62</f>
        <v>1</v>
      </c>
      <c r="P62" s="55" t="n">
        <f aca="false">IFERROR(_xlfn.xlookup(B62&amp;"-"&amp;G62&amp;"-"&amp;T62,'[1]Q item'!A$1:A$1048576,'[1]Q item'!L$1:L$1048576),"")</f>
        <v>0</v>
      </c>
      <c r="Q62" s="55" t="n">
        <f aca="false">O62*L62</f>
        <v>1000</v>
      </c>
      <c r="R62" s="55" t="n">
        <f aca="false">K62*L62*12/1000</f>
        <v>156</v>
      </c>
      <c r="S62" s="55" t="n">
        <f aca="false">K62*L62*12/1000*O62</f>
        <v>156</v>
      </c>
      <c r="T62" s="55" t="n">
        <f aca="false">_xlfn.MAXIFS([1]Quote!D$1:D$1048576,[1]Quote!C$1:C$1048576,B62)</f>
        <v>2</v>
      </c>
      <c r="U62" s="55" t="str">
        <f aca="false">B62&amp;"-"&amp;G62&amp;"-"&amp;T62</f>
        <v>339-S35-2</v>
      </c>
      <c r="V62" s="46" t="n">
        <v>0</v>
      </c>
      <c r="W62" s="57" t="n">
        <f aca="false">R62*V62</f>
        <v>0</v>
      </c>
      <c r="X62" s="57" t="n">
        <f aca="false">S62*V62</f>
        <v>0</v>
      </c>
      <c r="Y62" s="58" t="str">
        <f aca="false">_xlfn.xlookup(B62,[1]Clients!A$1:A$1048576,[1]Clients!Z$1:Z$1048576)</f>
        <v>CAD</v>
      </c>
      <c r="Z62" s="55" t="str">
        <f aca="false">G62&amp;"/"&amp;K62&amp;"/"&amp;L62/1000</f>
        <v>S35/13/1</v>
      </c>
      <c r="AA62" s="58" t="n">
        <f aca="false">O62*K62</f>
        <v>13</v>
      </c>
    </row>
    <row r="63" customFormat="false" ht="15" hidden="false" customHeight="false" outlineLevel="0" collapsed="false">
      <c r="A63" s="54" t="str">
        <f aca="false">_xlfn.xlookup(D63,'PO Client'!A:A,'PO Client'!C:C)</f>
        <v>3G</v>
      </c>
      <c r="B63" s="54" t="n">
        <f aca="false">_xlfn.xlookup(A63,[1]Clients!C$1:C$1048576,[1]Clients!A$1:A$1048576)</f>
        <v>327</v>
      </c>
      <c r="C63" s="54" t="n">
        <f aca="false">_xlfn.xlookup(D63,'PO Client'!A:A,'PO Client'!H:H)</f>
        <v>3126</v>
      </c>
      <c r="D63" s="55" t="n">
        <f aca="false">IF(F63=1,D62+1,D62)</f>
        <v>381</v>
      </c>
      <c r="E63" s="55" t="str">
        <f aca="false">D63&amp;"-"&amp;F63</f>
        <v>381-1</v>
      </c>
      <c r="F63" s="1" t="n">
        <v>1</v>
      </c>
      <c r="G63" s="1" t="s">
        <v>484</v>
      </c>
      <c r="I63" s="1" t="str">
        <f aca="false">G63&amp;"-"&amp;E63</f>
        <v>S15-381-1</v>
      </c>
      <c r="J63" s="1" t="str">
        <f aca="false">D63&amp;G63</f>
        <v>381S15</v>
      </c>
      <c r="K63" s="1" t="n">
        <v>12</v>
      </c>
      <c r="L63" s="1" t="n">
        <v>10000</v>
      </c>
      <c r="M63" s="1" t="n">
        <v>1</v>
      </c>
      <c r="N63" s="1" t="n">
        <v>5</v>
      </c>
      <c r="O63" s="1" t="n">
        <f aca="false">N63*M63</f>
        <v>5</v>
      </c>
      <c r="P63" s="55" t="n">
        <f aca="false">IFERROR(_xlfn.xlookup(B63&amp;"-"&amp;G63&amp;"-"&amp;T63,'[1]Q item'!A$1:A$1048576,'[1]Q item'!L$1:L$1048576),"")</f>
        <v>0</v>
      </c>
      <c r="Q63" s="55" t="n">
        <f aca="false">O63*L63</f>
        <v>50000</v>
      </c>
      <c r="R63" s="55" t="n">
        <f aca="false">K63*L63*12/1000</f>
        <v>1440</v>
      </c>
      <c r="S63" s="55" t="n">
        <f aca="false">K63*L63*12/1000*O63</f>
        <v>7200</v>
      </c>
      <c r="T63" s="55" t="n">
        <f aca="false">_xlfn.MAXIFS([1]Quote!D$1:D$1048576,[1]Quote!C$1:C$1048576,B63)</f>
        <v>3</v>
      </c>
      <c r="U63" s="55" t="str">
        <f aca="false">B63&amp;"-"&amp;G63&amp;"-"&amp;T63</f>
        <v>327-S15-3</v>
      </c>
      <c r="V63" s="56" t="n">
        <f aca="false">_xlfn.xlookup(B63&amp;"-"&amp;G63&amp;"-"&amp;T63,'[1]Q item'!A$1:A$1048576,'[1]Q item'!J$1:J$1048576)</f>
        <v>0.363</v>
      </c>
      <c r="W63" s="57" t="n">
        <f aca="false">R63*V63</f>
        <v>522.72</v>
      </c>
      <c r="X63" s="57" t="n">
        <f aca="false">S63*V63</f>
        <v>2613.6</v>
      </c>
      <c r="Y63" s="58" t="str">
        <f aca="false">_xlfn.xlookup(B63,[1]Clients!A$1:A$1048576,[1]Clients!Z$1:Z$1048576)</f>
        <v>CAD</v>
      </c>
      <c r="Z63" s="55" t="str">
        <f aca="false">G63&amp;"/"&amp;K63&amp;"/"&amp;L63/1000</f>
        <v>S15/12/10</v>
      </c>
      <c r="AA63" s="58" t="n">
        <f aca="false">O63*K63</f>
        <v>60</v>
      </c>
    </row>
    <row r="64" customFormat="false" ht="15" hidden="false" customHeight="false" outlineLevel="0" collapsed="false">
      <c r="A64" s="54" t="str">
        <f aca="false">_xlfn.xlookup(D64,'PO Client'!A:A,'PO Client'!C:C)</f>
        <v>Labelink</v>
      </c>
      <c r="B64" s="54" t="n">
        <f aca="false">_xlfn.xlookup(A64,[1]Clients!C$1:C$1048576,[1]Clients!A$1:A$1048576)</f>
        <v>304</v>
      </c>
      <c r="C64" s="54" t="n">
        <f aca="false">_xlfn.xlookup(D64,'PO Client'!A:A,'PO Client'!H:H)</f>
        <v>146122</v>
      </c>
      <c r="D64" s="55" t="n">
        <f aca="false">IF(F64=1,D63+1,D63)</f>
        <v>382</v>
      </c>
      <c r="E64" s="55" t="str">
        <f aca="false">D64&amp;"-"&amp;F64</f>
        <v>382-1</v>
      </c>
      <c r="F64" s="1" t="n">
        <v>1</v>
      </c>
      <c r="G64" s="1" t="s">
        <v>464</v>
      </c>
      <c r="I64" s="1" t="str">
        <f aca="false">G64&amp;"-"&amp;E64</f>
        <v>S21-382-1</v>
      </c>
      <c r="J64" s="1" t="str">
        <f aca="false">D64&amp;G64</f>
        <v>382S21</v>
      </c>
      <c r="K64" s="1" t="n">
        <v>8.125</v>
      </c>
      <c r="L64" s="1" t="n">
        <v>10000</v>
      </c>
      <c r="M64" s="1" t="n">
        <v>1</v>
      </c>
      <c r="N64" s="1" t="n">
        <v>4</v>
      </c>
      <c r="O64" s="1" t="n">
        <f aca="false">N64*M64</f>
        <v>4</v>
      </c>
      <c r="P64" s="55" t="n">
        <f aca="false">IFERROR(_xlfn.xlookup(B64&amp;"-"&amp;G64&amp;"-"&amp;T64,'[1]Q item'!A$1:A$1048576,'[1]Q item'!L$1:L$1048576),"")</f>
        <v>3138</v>
      </c>
      <c r="Q64" s="55" t="n">
        <f aca="false">O64*L64</f>
        <v>40000</v>
      </c>
      <c r="R64" s="55" t="n">
        <f aca="false">K64*L64*12/1000</f>
        <v>975</v>
      </c>
      <c r="S64" s="55" t="n">
        <f aca="false">K64*L64*12/1000*O64</f>
        <v>3900</v>
      </c>
      <c r="T64" s="55" t="n">
        <f aca="false">_xlfn.MAXIFS([1]Quote!D$1:D$1048576,[1]Quote!C$1:C$1048576,B64)</f>
        <v>8</v>
      </c>
      <c r="U64" s="55" t="str">
        <f aca="false">B64&amp;"-"&amp;G64&amp;"-"&amp;T64</f>
        <v>304-S21-8</v>
      </c>
      <c r="V64" s="56" t="n">
        <f aca="false">_xlfn.xlookup(B64&amp;"-"&amp;G64&amp;"-"&amp;T64,'[1]Q item'!A$1:A$1048576,'[1]Q item'!J$1:J$1048576)</f>
        <v>0.341</v>
      </c>
      <c r="W64" s="57" t="n">
        <f aca="false">R64*V64</f>
        <v>332.475</v>
      </c>
      <c r="X64" s="57" t="n">
        <f aca="false">S64*V64</f>
        <v>1329.9</v>
      </c>
      <c r="Y64" s="58" t="str">
        <f aca="false">_xlfn.xlookup(B64,[1]Clients!A$1:A$1048576,[1]Clients!Z$1:Z$1048576)</f>
        <v>CAD</v>
      </c>
      <c r="Z64" s="55" t="str">
        <f aca="false">G64&amp;"/"&amp;K64&amp;"/"&amp;L64/1000</f>
        <v>S21/8.125/10</v>
      </c>
      <c r="AA64" s="58" t="n">
        <f aca="false">O64*K64</f>
        <v>32.5</v>
      </c>
    </row>
    <row r="65" customFormat="false" ht="15" hidden="false" customHeight="false" outlineLevel="0" collapsed="false">
      <c r="A65" s="54" t="str">
        <f aca="false">_xlfn.xlookup(D65,'PO Client'!A:A,'PO Client'!C:C)</f>
        <v>Labelink</v>
      </c>
      <c r="B65" s="54" t="n">
        <f aca="false">_xlfn.xlookup(A65,[1]Clients!C$1:C$1048576,[1]Clients!A$1:A$1048576)</f>
        <v>304</v>
      </c>
      <c r="C65" s="54" t="n">
        <f aca="false">_xlfn.xlookup(D65,'PO Client'!A:A,'PO Client'!H:H)</f>
        <v>146122</v>
      </c>
      <c r="D65" s="55" t="n">
        <f aca="false">IF(F65=1,D64+1,D64)</f>
        <v>382</v>
      </c>
      <c r="E65" s="55" t="str">
        <f aca="false">D65&amp;"-"&amp;F65</f>
        <v>382-2</v>
      </c>
      <c r="F65" s="1" t="n">
        <v>2</v>
      </c>
      <c r="G65" s="1" t="s">
        <v>464</v>
      </c>
      <c r="I65" s="1" t="str">
        <f aca="false">G65&amp;"-"&amp;E65</f>
        <v>S21-382-2</v>
      </c>
      <c r="J65" s="1" t="str">
        <f aca="false">D65&amp;G65</f>
        <v>382S21</v>
      </c>
      <c r="K65" s="1" t="n">
        <v>8</v>
      </c>
      <c r="L65" s="1" t="n">
        <v>10000</v>
      </c>
      <c r="M65" s="1" t="n">
        <v>1</v>
      </c>
      <c r="N65" s="1" t="n">
        <v>2</v>
      </c>
      <c r="O65" s="1" t="n">
        <f aca="false">N65*M65</f>
        <v>2</v>
      </c>
      <c r="P65" s="55" t="n">
        <f aca="false">IFERROR(_xlfn.xlookup(B65&amp;"-"&amp;G65&amp;"-"&amp;T65,'[1]Q item'!A$1:A$1048576,'[1]Q item'!L$1:L$1048576),"")</f>
        <v>3138</v>
      </c>
      <c r="Q65" s="55" t="n">
        <f aca="false">O65*L65</f>
        <v>20000</v>
      </c>
      <c r="R65" s="55" t="n">
        <f aca="false">K65*L65*12/1000</f>
        <v>960</v>
      </c>
      <c r="S65" s="55" t="n">
        <f aca="false">K65*L65*12/1000*O65</f>
        <v>1920</v>
      </c>
      <c r="T65" s="55" t="n">
        <f aca="false">_xlfn.MAXIFS([1]Quote!D$1:D$1048576,[1]Quote!C$1:C$1048576,B65)</f>
        <v>8</v>
      </c>
      <c r="U65" s="55" t="str">
        <f aca="false">B65&amp;"-"&amp;G65&amp;"-"&amp;T65</f>
        <v>304-S21-8</v>
      </c>
      <c r="V65" s="56" t="n">
        <f aca="false">_xlfn.xlookup(B65&amp;"-"&amp;G65&amp;"-"&amp;T65,'[1]Q item'!A$1:A$1048576,'[1]Q item'!J$1:J$1048576)</f>
        <v>0.341</v>
      </c>
      <c r="W65" s="57" t="n">
        <f aca="false">R65*V65</f>
        <v>327.36</v>
      </c>
      <c r="X65" s="57" t="n">
        <f aca="false">S65*V65</f>
        <v>654.72</v>
      </c>
      <c r="Y65" s="58" t="str">
        <f aca="false">_xlfn.xlookup(B65,[1]Clients!A$1:A$1048576,[1]Clients!Z$1:Z$1048576)</f>
        <v>CAD</v>
      </c>
      <c r="Z65" s="55" t="str">
        <f aca="false">G65&amp;"/"&amp;K65&amp;"/"&amp;L65/1000</f>
        <v>S21/8/10</v>
      </c>
      <c r="AA65" s="58" t="n">
        <f aca="false">O65*K65</f>
        <v>16</v>
      </c>
    </row>
    <row r="66" customFormat="false" ht="15" hidden="false" customHeight="false" outlineLevel="0" collapsed="false">
      <c r="A66" s="54" t="str">
        <f aca="false">_xlfn.xlookup(D66,'PO Client'!A:A,'PO Client'!C:C)</f>
        <v>Labelink</v>
      </c>
      <c r="B66" s="54" t="n">
        <f aca="false">_xlfn.xlookup(A66,[1]Clients!C$1:C$1048576,[1]Clients!A$1:A$1048576)</f>
        <v>304</v>
      </c>
      <c r="C66" s="54" t="n">
        <f aca="false">_xlfn.xlookup(D66,'PO Client'!A:A,'PO Client'!H:H)</f>
        <v>146122</v>
      </c>
      <c r="D66" s="55" t="n">
        <f aca="false">IF(F66=1,D65+1,D65)</f>
        <v>382</v>
      </c>
      <c r="E66" s="55" t="str">
        <f aca="false">D66&amp;"-"&amp;F66</f>
        <v>382-3</v>
      </c>
      <c r="F66" s="1" t="n">
        <v>3</v>
      </c>
      <c r="G66" s="1" t="s">
        <v>464</v>
      </c>
      <c r="I66" s="1" t="str">
        <f aca="false">G66&amp;"-"&amp;E66</f>
        <v>S21-382-3</v>
      </c>
      <c r="J66" s="1" t="str">
        <f aca="false">D66&amp;G66</f>
        <v>382S21</v>
      </c>
      <c r="K66" s="1" t="n">
        <v>11.5</v>
      </c>
      <c r="L66" s="1" t="n">
        <v>10000</v>
      </c>
      <c r="M66" s="1" t="n">
        <v>1</v>
      </c>
      <c r="N66" s="1" t="n">
        <v>1</v>
      </c>
      <c r="O66" s="1" t="n">
        <f aca="false">N66*M66</f>
        <v>1</v>
      </c>
      <c r="P66" s="55" t="n">
        <f aca="false">IFERROR(_xlfn.xlookup(B66&amp;"-"&amp;G66&amp;"-"&amp;T66,'[1]Q item'!A$1:A$1048576,'[1]Q item'!L$1:L$1048576),"")</f>
        <v>3138</v>
      </c>
      <c r="Q66" s="55" t="n">
        <f aca="false">O66*L66</f>
        <v>10000</v>
      </c>
      <c r="R66" s="55" t="n">
        <f aca="false">K66*L66*12/1000</f>
        <v>1380</v>
      </c>
      <c r="S66" s="55" t="n">
        <f aca="false">K66*L66*12/1000*O66</f>
        <v>1380</v>
      </c>
      <c r="T66" s="55" t="n">
        <f aca="false">_xlfn.MAXIFS([1]Quote!D$1:D$1048576,[1]Quote!C$1:C$1048576,B66)</f>
        <v>8</v>
      </c>
      <c r="U66" s="55" t="str">
        <f aca="false">B66&amp;"-"&amp;G66&amp;"-"&amp;T66</f>
        <v>304-S21-8</v>
      </c>
      <c r="V66" s="56" t="n">
        <f aca="false">_xlfn.xlookup(B66&amp;"-"&amp;G66&amp;"-"&amp;T66,'[1]Q item'!A$1:A$1048576,'[1]Q item'!J$1:J$1048576)</f>
        <v>0.341</v>
      </c>
      <c r="W66" s="57" t="n">
        <f aca="false">R66*V66</f>
        <v>470.58</v>
      </c>
      <c r="X66" s="57" t="n">
        <f aca="false">S66*V66</f>
        <v>470.58</v>
      </c>
      <c r="Y66" s="58" t="str">
        <f aca="false">_xlfn.xlookup(B66,[1]Clients!A$1:A$1048576,[1]Clients!Z$1:Z$1048576)</f>
        <v>CAD</v>
      </c>
      <c r="Z66" s="55" t="str">
        <f aca="false">G66&amp;"/"&amp;K66&amp;"/"&amp;L66/1000</f>
        <v>S21/11.5/10</v>
      </c>
      <c r="AA66" s="58" t="n">
        <f aca="false">O66*K66</f>
        <v>11.5</v>
      </c>
    </row>
    <row r="67" customFormat="false" ht="15" hidden="false" customHeight="false" outlineLevel="0" collapsed="false">
      <c r="A67" s="54" t="str">
        <f aca="false">_xlfn.xlookup(D67,'PO Client'!A:A,'PO Client'!C:C)</f>
        <v>Luso-Flex</v>
      </c>
      <c r="B67" s="54" t="n">
        <f aca="false">_xlfn.xlookup(A67,[1]Clients!C$1:C$1048576,[1]Clients!A$1:A$1048576)</f>
        <v>310</v>
      </c>
      <c r="C67" s="54" t="n">
        <f aca="false">_xlfn.xlookup(D67,'PO Client'!A:A,'PO Client'!H:H)</f>
        <v>1992</v>
      </c>
      <c r="D67" s="55" t="n">
        <f aca="false">IF(F67=1,D66+1,D66)</f>
        <v>383</v>
      </c>
      <c r="E67" s="55" t="str">
        <f aca="false">D67&amp;"-"&amp;F67</f>
        <v>383-1</v>
      </c>
      <c r="F67" s="1" t="n">
        <v>1</v>
      </c>
      <c r="G67" s="1" t="s">
        <v>495</v>
      </c>
      <c r="I67" s="1" t="str">
        <f aca="false">G67&amp;"-"&amp;E67</f>
        <v>T11-383-1</v>
      </c>
      <c r="J67" s="1" t="str">
        <f aca="false">D67&amp;G67</f>
        <v>383T11</v>
      </c>
      <c r="K67" s="1" t="n">
        <v>12.875</v>
      </c>
      <c r="L67" s="1" t="n">
        <v>10000</v>
      </c>
      <c r="M67" s="1" t="n">
        <v>3</v>
      </c>
      <c r="N67" s="1" t="n">
        <v>4</v>
      </c>
      <c r="O67" s="1" t="n">
        <f aca="false">N67*M67</f>
        <v>12</v>
      </c>
      <c r="P67" s="55" t="n">
        <f aca="false">IFERROR(_xlfn.xlookup(B67&amp;"-"&amp;G67&amp;"-"&amp;T67,'[1]Q item'!A$1:A$1048576,'[1]Q item'!L$1:L$1048576),"")</f>
        <v>0</v>
      </c>
      <c r="Q67" s="55" t="n">
        <f aca="false">O67*L67</f>
        <v>120000</v>
      </c>
      <c r="R67" s="55" t="n">
        <f aca="false">K67*L67*12/1000</f>
        <v>1545</v>
      </c>
      <c r="S67" s="55" t="n">
        <f aca="false">K67*L67*12/1000*O67</f>
        <v>18540</v>
      </c>
      <c r="T67" s="55" t="n">
        <f aca="false">_xlfn.MAXIFS([1]Quote!D$1:D$1048576,[1]Quote!C$1:C$1048576,B67)</f>
        <v>6</v>
      </c>
      <c r="U67" s="55" t="str">
        <f aca="false">B67&amp;"-"&amp;G67&amp;"-"&amp;T67</f>
        <v>310-T11-6</v>
      </c>
      <c r="V67" s="56" t="n">
        <f aca="false">_xlfn.xlookup(B67&amp;"-"&amp;G67&amp;"-"&amp;T67,'[1]Q item'!A$1:A$1048576,'[1]Q item'!J$1:J$1048576)</f>
        <v>0.37</v>
      </c>
      <c r="W67" s="57" t="n">
        <f aca="false">R67*V67</f>
        <v>571.65</v>
      </c>
      <c r="X67" s="57" t="n">
        <f aca="false">S67*V67</f>
        <v>6859.8</v>
      </c>
      <c r="Y67" s="58" t="str">
        <f aca="false">_xlfn.xlookup(B67,[1]Clients!A$1:A$1048576,[1]Clients!Z$1:Z$1048576)</f>
        <v>CAD</v>
      </c>
      <c r="Z67" s="55" t="str">
        <f aca="false">G67&amp;"/"&amp;K67&amp;"/"&amp;L67/1000</f>
        <v>T11/12.875/10</v>
      </c>
      <c r="AA67" s="58" t="n">
        <f aca="false">O67*K67</f>
        <v>154.5</v>
      </c>
    </row>
    <row r="68" customFormat="false" ht="15" hidden="false" customHeight="false" outlineLevel="0" collapsed="false">
      <c r="A68" s="54" t="str">
        <f aca="false">_xlfn.xlookup(D68,'PO Client'!A:A,'PO Client'!C:C)</f>
        <v>Inter Label</v>
      </c>
      <c r="B68" s="54" t="n">
        <f aca="false">_xlfn.xlookup(A68,[1]Clients!C$1:C$1048576,[1]Clients!A$1:A$1048576)</f>
        <v>344</v>
      </c>
      <c r="C68" s="54" t="str">
        <f aca="false">_xlfn.xlookup(D68,'PO Client'!A:A,'PO Client'!H:H)</f>
        <v>Samples</v>
      </c>
      <c r="D68" s="55" t="n">
        <f aca="false">IF(F68=1,D67+1,D67)</f>
        <v>384</v>
      </c>
      <c r="E68" s="55" t="str">
        <f aca="false">D68&amp;"-"&amp;F68</f>
        <v>384-1</v>
      </c>
      <c r="F68" s="1" t="n">
        <v>1</v>
      </c>
      <c r="G68" s="1" t="s">
        <v>464</v>
      </c>
      <c r="I68" s="1" t="str">
        <f aca="false">G68&amp;"-"&amp;E68</f>
        <v>S21-384-1</v>
      </c>
      <c r="J68" s="1" t="str">
        <f aca="false">D68&amp;G68</f>
        <v>384S21</v>
      </c>
      <c r="K68" s="1" t="n">
        <v>12.875</v>
      </c>
      <c r="L68" s="1" t="n">
        <v>2500</v>
      </c>
      <c r="M68" s="1" t="n">
        <v>1</v>
      </c>
      <c r="N68" s="1" t="n">
        <v>1</v>
      </c>
      <c r="O68" s="1" t="n">
        <f aca="false">N68*M68</f>
        <v>1</v>
      </c>
      <c r="P68" s="55" t="n">
        <f aca="false">IFERROR(_xlfn.xlookup(B68&amp;"-"&amp;G68&amp;"-"&amp;T68,'[1]Q item'!A$1:A$1048576,'[1]Q item'!L$1:L$1048576),"")</f>
        <v>0</v>
      </c>
      <c r="Q68" s="55" t="n">
        <f aca="false">O68*L68</f>
        <v>2500</v>
      </c>
      <c r="R68" s="55" t="n">
        <f aca="false">K68*L68*12/1000</f>
        <v>386.25</v>
      </c>
      <c r="S68" s="55" t="n">
        <f aca="false">K68*L68*12/1000*O68</f>
        <v>386.25</v>
      </c>
      <c r="T68" s="55" t="n">
        <f aca="false">_xlfn.MAXIFS([1]Quote!D$1:D$1048576,[1]Quote!C$1:C$1048576,B68)</f>
        <v>1</v>
      </c>
      <c r="U68" s="55" t="str">
        <f aca="false">B68&amp;"-"&amp;G68&amp;"-"&amp;T68</f>
        <v>344-S21-1</v>
      </c>
      <c r="V68" s="56" t="n">
        <v>0</v>
      </c>
      <c r="W68" s="57" t="n">
        <f aca="false">R68*V68</f>
        <v>0</v>
      </c>
      <c r="X68" s="57" t="n">
        <f aca="false">S68*V68</f>
        <v>0</v>
      </c>
      <c r="Y68" s="58" t="str">
        <f aca="false">_xlfn.xlookup(B68,[1]Clients!A$1:A$1048576,[1]Clients!Z$1:Z$1048576)</f>
        <v>CAD</v>
      </c>
      <c r="Z68" s="55" t="str">
        <f aca="false">G68&amp;"/"&amp;K68&amp;"/"&amp;L68/1000</f>
        <v>S21/12.875/2.5</v>
      </c>
      <c r="AA68" s="58" t="n">
        <f aca="false">O68*K68</f>
        <v>12.875</v>
      </c>
    </row>
    <row r="69" customFormat="false" ht="15" hidden="false" customHeight="false" outlineLevel="0" collapsed="false">
      <c r="A69" s="54" t="str">
        <f aca="false">_xlfn.xlookup(D69,'PO Client'!A:A,'PO Client'!C:C)</f>
        <v>Inter Label</v>
      </c>
      <c r="B69" s="54" t="n">
        <f aca="false">_xlfn.xlookup(A69,[1]Clients!C$1:C$1048576,[1]Clients!A$1:A$1048576)</f>
        <v>344</v>
      </c>
      <c r="C69" s="54" t="str">
        <f aca="false">_xlfn.xlookup(D69,'PO Client'!A:A,'PO Client'!H:H)</f>
        <v>Samples</v>
      </c>
      <c r="D69" s="55" t="n">
        <f aca="false">IF(F69=1,D68+1,D68)</f>
        <v>384</v>
      </c>
      <c r="E69" s="55" t="str">
        <f aca="false">D69&amp;"-"&amp;F69</f>
        <v>384-2</v>
      </c>
      <c r="F69" s="1" t="n">
        <v>2</v>
      </c>
      <c r="G69" s="1" t="s">
        <v>624</v>
      </c>
      <c r="I69" s="1" t="str">
        <f aca="false">G69&amp;"-"&amp;E69</f>
        <v>B15-384-2</v>
      </c>
      <c r="J69" s="1" t="str">
        <f aca="false">D69&amp;G69</f>
        <v>384B15</v>
      </c>
      <c r="K69" s="1" t="n">
        <v>11.75</v>
      </c>
      <c r="L69" s="1" t="n">
        <v>2500</v>
      </c>
      <c r="M69" s="1" t="n">
        <v>1</v>
      </c>
      <c r="N69" s="1" t="n">
        <v>1</v>
      </c>
      <c r="O69" s="1" t="n">
        <f aca="false">N69*M69</f>
        <v>1</v>
      </c>
      <c r="P69" s="55" t="n">
        <f aca="false">IFERROR(_xlfn.xlookup(B69&amp;"-"&amp;G69&amp;"-"&amp;T69,'[1]Q item'!A$1:A$1048576,'[1]Q item'!L$1:L$1048576),"")</f>
        <v>0</v>
      </c>
      <c r="Q69" s="55" t="n">
        <f aca="false">O69*L69</f>
        <v>2500</v>
      </c>
      <c r="R69" s="55" t="n">
        <f aca="false">K69*L69*12/1000</f>
        <v>352.5</v>
      </c>
      <c r="S69" s="55" t="n">
        <f aca="false">K69*L69*12/1000*O69</f>
        <v>352.5</v>
      </c>
      <c r="T69" s="55" t="n">
        <f aca="false">_xlfn.MAXIFS([1]Quote!D$1:D$1048576,[1]Quote!C$1:C$1048576,B69)</f>
        <v>1</v>
      </c>
      <c r="U69" s="55" t="str">
        <f aca="false">B69&amp;"-"&amp;G69&amp;"-"&amp;T69</f>
        <v>344-B15-1</v>
      </c>
      <c r="V69" s="56" t="n">
        <v>0</v>
      </c>
      <c r="W69" s="57" t="n">
        <f aca="false">R69*V69</f>
        <v>0</v>
      </c>
      <c r="X69" s="57" t="n">
        <f aca="false">S69*V69</f>
        <v>0</v>
      </c>
      <c r="Y69" s="58" t="str">
        <f aca="false">_xlfn.xlookup(B69,[1]Clients!A$1:A$1048576,[1]Clients!Z$1:Z$1048576)</f>
        <v>CAD</v>
      </c>
      <c r="Z69" s="55" t="str">
        <f aca="false">G69&amp;"/"&amp;K69&amp;"/"&amp;L69/1000</f>
        <v>B15/11.75/2.5</v>
      </c>
      <c r="AA69" s="58" t="n">
        <f aca="false">O69*K69</f>
        <v>11.75</v>
      </c>
    </row>
    <row r="70" customFormat="false" ht="15" hidden="false" customHeight="false" outlineLevel="0" collapsed="false">
      <c r="A70" s="54" t="str">
        <f aca="false">_xlfn.xlookup(D70,'PO Client'!A:A,'PO Client'!C:C)</f>
        <v>Inter Label</v>
      </c>
      <c r="B70" s="54" t="n">
        <f aca="false">_xlfn.xlookup(A70,[1]Clients!C$1:C$1048576,[1]Clients!A$1:A$1048576)</f>
        <v>344</v>
      </c>
      <c r="C70" s="54" t="str">
        <f aca="false">_xlfn.xlookup(D70,'PO Client'!A:A,'PO Client'!H:H)</f>
        <v>Samples</v>
      </c>
      <c r="D70" s="55" t="n">
        <f aca="false">IF(F70=1,D69+1,D69)</f>
        <v>384</v>
      </c>
      <c r="E70" s="55" t="str">
        <f aca="false">D70&amp;"-"&amp;F70</f>
        <v>384-3</v>
      </c>
      <c r="F70" s="1" t="n">
        <v>3</v>
      </c>
      <c r="G70" s="1" t="s">
        <v>509</v>
      </c>
      <c r="I70" s="1" t="str">
        <f aca="false">G70&amp;"-"&amp;E70</f>
        <v>D11-384-3</v>
      </c>
      <c r="J70" s="1" t="str">
        <f aca="false">D70&amp;G70</f>
        <v>384D11</v>
      </c>
      <c r="K70" s="1" t="n">
        <v>12.875</v>
      </c>
      <c r="L70" s="1" t="n">
        <v>2500</v>
      </c>
      <c r="M70" s="1" t="n">
        <v>1</v>
      </c>
      <c r="N70" s="1" t="n">
        <v>1</v>
      </c>
      <c r="O70" s="1" t="n">
        <f aca="false">N70*M70</f>
        <v>1</v>
      </c>
      <c r="P70" s="55" t="n">
        <f aca="false">IFERROR(_xlfn.xlookup(B70&amp;"-"&amp;G70&amp;"-"&amp;T70,'[1]Q item'!A$1:A$1048576,'[1]Q item'!L$1:L$1048576),"")</f>
        <v>0</v>
      </c>
      <c r="Q70" s="55" t="n">
        <f aca="false">O70*L70</f>
        <v>2500</v>
      </c>
      <c r="R70" s="55" t="n">
        <f aca="false">K70*L70*12/1000</f>
        <v>386.25</v>
      </c>
      <c r="S70" s="55" t="n">
        <f aca="false">K70*L70*12/1000*O70</f>
        <v>386.25</v>
      </c>
      <c r="T70" s="55" t="n">
        <f aca="false">_xlfn.MAXIFS([1]Quote!D$1:D$1048576,[1]Quote!C$1:C$1048576,B70)</f>
        <v>1</v>
      </c>
      <c r="U70" s="55" t="str">
        <f aca="false">B70&amp;"-"&amp;G70&amp;"-"&amp;T70</f>
        <v>344-D11-1</v>
      </c>
      <c r="V70" s="56" t="n">
        <v>0</v>
      </c>
      <c r="W70" s="57" t="n">
        <f aca="false">R70*V70</f>
        <v>0</v>
      </c>
      <c r="X70" s="57" t="n">
        <f aca="false">S70*V70</f>
        <v>0</v>
      </c>
      <c r="Y70" s="58" t="str">
        <f aca="false">_xlfn.xlookup(B70,[1]Clients!A$1:A$1048576,[1]Clients!Z$1:Z$1048576)</f>
        <v>CAD</v>
      </c>
      <c r="Z70" s="55" t="str">
        <f aca="false">G70&amp;"/"&amp;K70&amp;"/"&amp;L70/1000</f>
        <v>D11/12.875/2.5</v>
      </c>
      <c r="AA70" s="58" t="n">
        <f aca="false">O70*K70</f>
        <v>12.875</v>
      </c>
    </row>
    <row r="71" customFormat="false" ht="15" hidden="false" customHeight="false" outlineLevel="0" collapsed="false">
      <c r="A71" s="54" t="str">
        <f aca="false">_xlfn.xlookup(D71,'PO Client'!A:A,'PO Client'!C:C)</f>
        <v>Étiquesse</v>
      </c>
      <c r="B71" s="54" t="n">
        <f aca="false">_xlfn.xlookup(A71,[1]Clients!C$1:C$1048576,[1]Clients!A$1:A$1048576)</f>
        <v>344</v>
      </c>
      <c r="C71" s="54" t="str">
        <f aca="false">_xlfn.xlookup(D71,'PO Client'!A:A,'PO Client'!H:H)</f>
        <v>Échantillons</v>
      </c>
      <c r="D71" s="55" t="n">
        <f aca="false">IF(F71=1,D70+1,D70)</f>
        <v>385</v>
      </c>
      <c r="E71" s="55" t="str">
        <f aca="false">D71&amp;"-"&amp;F71</f>
        <v>385-1</v>
      </c>
      <c r="F71" s="1" t="n">
        <v>1</v>
      </c>
      <c r="G71" s="1" t="s">
        <v>509</v>
      </c>
      <c r="I71" s="1" t="str">
        <f aca="false">G71&amp;"-"&amp;E71</f>
        <v>D11-385-1</v>
      </c>
      <c r="J71" s="1" t="str">
        <f aca="false">D71&amp;G71</f>
        <v>385D11</v>
      </c>
      <c r="K71" s="1" t="n">
        <v>13</v>
      </c>
      <c r="L71" s="1" t="n">
        <v>2000</v>
      </c>
      <c r="M71" s="1" t="n">
        <v>1</v>
      </c>
      <c r="N71" s="1" t="n">
        <v>1</v>
      </c>
      <c r="O71" s="1" t="n">
        <f aca="false">N71*M71</f>
        <v>1</v>
      </c>
      <c r="P71" s="55" t="n">
        <f aca="false">IFERROR(_xlfn.xlookup(B71&amp;"-"&amp;G71&amp;"-"&amp;T71,'[1]Q item'!A$1:A$1048576,'[1]Q item'!L$1:L$1048576),"")</f>
        <v>0</v>
      </c>
      <c r="Q71" s="55" t="n">
        <f aca="false">O71*L71</f>
        <v>2000</v>
      </c>
      <c r="R71" s="55" t="n">
        <f aca="false">K71*L71*12/1000</f>
        <v>312</v>
      </c>
      <c r="S71" s="55" t="n">
        <f aca="false">K71*L71*12/1000*O71</f>
        <v>312</v>
      </c>
      <c r="T71" s="55" t="n">
        <f aca="false">_xlfn.MAXIFS([1]Quote!D$1:D$1048576,[1]Quote!C$1:C$1048576,B71)</f>
        <v>1</v>
      </c>
      <c r="U71" s="55" t="str">
        <f aca="false">B71&amp;"-"&amp;G71&amp;"-"&amp;T71</f>
        <v>344-D11-1</v>
      </c>
      <c r="V71" s="56" t="n">
        <v>0</v>
      </c>
      <c r="W71" s="57" t="n">
        <f aca="false">R71*V71</f>
        <v>0</v>
      </c>
      <c r="X71" s="57" t="n">
        <f aca="false">S71*V71</f>
        <v>0</v>
      </c>
      <c r="Y71" s="58" t="str">
        <f aca="false">_xlfn.xlookup(B71,[1]Clients!A$1:A$1048576,[1]Clients!Z$1:Z$1048576)</f>
        <v>CAD</v>
      </c>
      <c r="Z71" s="55" t="str">
        <f aca="false">G71&amp;"/"&amp;K71&amp;"/"&amp;L71/1000</f>
        <v>D11/13/2</v>
      </c>
      <c r="AA71" s="58" t="n">
        <f aca="false">O71*K71</f>
        <v>13</v>
      </c>
    </row>
    <row r="72" customFormat="false" ht="15" hidden="false" customHeight="false" outlineLevel="0" collapsed="false">
      <c r="A72" s="54" t="str">
        <f aca="false">_xlfn.xlookup(D72,'PO Client'!A:A,'PO Client'!C:C)</f>
        <v>Étiquesse</v>
      </c>
      <c r="B72" s="54" t="n">
        <f aca="false">_xlfn.xlookup(A72,[1]Clients!C$1:C$1048576,[1]Clients!A$1:A$1048576)</f>
        <v>344</v>
      </c>
      <c r="C72" s="54" t="str">
        <f aca="false">_xlfn.xlookup(D72,'PO Client'!A:A,'PO Client'!H:H)</f>
        <v>Échantillons</v>
      </c>
      <c r="D72" s="55" t="n">
        <f aca="false">IF(F72=1,D71+1,D71)</f>
        <v>385</v>
      </c>
      <c r="E72" s="55" t="str">
        <f aca="false">D72&amp;"-"&amp;F72</f>
        <v>385-2</v>
      </c>
      <c r="F72" s="1" t="n">
        <v>2</v>
      </c>
      <c r="G72" s="1" t="s">
        <v>495</v>
      </c>
      <c r="I72" s="1" t="str">
        <f aca="false">G72&amp;"-"&amp;E72</f>
        <v>T11-385-2</v>
      </c>
      <c r="J72" s="1" t="str">
        <f aca="false">D72&amp;G72</f>
        <v>385T11</v>
      </c>
      <c r="K72" s="1" t="n">
        <v>13</v>
      </c>
      <c r="L72" s="1" t="n">
        <v>2000</v>
      </c>
      <c r="M72" s="1" t="n">
        <v>1</v>
      </c>
      <c r="N72" s="1" t="n">
        <v>1</v>
      </c>
      <c r="O72" s="1" t="n">
        <f aca="false">N72*M72</f>
        <v>1</v>
      </c>
      <c r="P72" s="55" t="n">
        <f aca="false">IFERROR(_xlfn.xlookup(B72&amp;"-"&amp;G72&amp;"-"&amp;T72,'[1]Q item'!A$1:A$1048576,'[1]Q item'!L$1:L$1048576),"")</f>
        <v>0</v>
      </c>
      <c r="Q72" s="55" t="n">
        <f aca="false">O72*L72</f>
        <v>2000</v>
      </c>
      <c r="R72" s="55" t="n">
        <f aca="false">K72*L72*12/1000</f>
        <v>312</v>
      </c>
      <c r="S72" s="55" t="n">
        <f aca="false">K72*L72*12/1000*O72</f>
        <v>312</v>
      </c>
      <c r="T72" s="55" t="n">
        <f aca="false">_xlfn.MAXIFS([1]Quote!D$1:D$1048576,[1]Quote!C$1:C$1048576,B72)</f>
        <v>1</v>
      </c>
      <c r="U72" s="55" t="str">
        <f aca="false">B72&amp;"-"&amp;G72&amp;"-"&amp;T72</f>
        <v>344-T11-1</v>
      </c>
      <c r="V72" s="56" t="n">
        <v>0</v>
      </c>
      <c r="W72" s="57" t="n">
        <f aca="false">R72*V72</f>
        <v>0</v>
      </c>
      <c r="X72" s="57" t="n">
        <f aca="false">S72*V72</f>
        <v>0</v>
      </c>
      <c r="Y72" s="58" t="str">
        <f aca="false">_xlfn.xlookup(B72,[1]Clients!A$1:A$1048576,[1]Clients!Z$1:Z$1048576)</f>
        <v>CAD</v>
      </c>
      <c r="Z72" s="55" t="str">
        <f aca="false">G72&amp;"/"&amp;K72&amp;"/"&amp;L72/1000</f>
        <v>T11/13/2</v>
      </c>
      <c r="AA72" s="58" t="n">
        <f aca="false">O72*K72</f>
        <v>13</v>
      </c>
    </row>
    <row r="73" customFormat="false" ht="15" hidden="false" customHeight="false" outlineLevel="0" collapsed="false">
      <c r="A73" s="54" t="str">
        <f aca="false">_xlfn.xlookup(D73,'PO Client'!A:A,'PO Client'!C:C)</f>
        <v>Étiquesse</v>
      </c>
      <c r="B73" s="54" t="n">
        <f aca="false">_xlfn.xlookup(A73,[1]Clients!C$1:C$1048576,[1]Clients!A$1:A$1048576)</f>
        <v>344</v>
      </c>
      <c r="C73" s="54" t="str">
        <f aca="false">_xlfn.xlookup(D73,'PO Client'!A:A,'PO Client'!H:H)</f>
        <v>Échantillons</v>
      </c>
      <c r="D73" s="55" t="n">
        <f aca="false">IF(F73=1,D72+1,D72)</f>
        <v>385</v>
      </c>
      <c r="E73" s="55" t="str">
        <f aca="false">D73&amp;"-"&amp;F73</f>
        <v>385-3</v>
      </c>
      <c r="F73" s="1" t="n">
        <v>3</v>
      </c>
      <c r="G73" s="1" t="s">
        <v>464</v>
      </c>
      <c r="I73" s="1" t="str">
        <f aca="false">G73&amp;"-"&amp;E73</f>
        <v>S21-385-3</v>
      </c>
      <c r="J73" s="1" t="str">
        <f aca="false">D73&amp;G73</f>
        <v>385S21</v>
      </c>
      <c r="K73" s="1" t="n">
        <v>13</v>
      </c>
      <c r="L73" s="1" t="n">
        <v>2000</v>
      </c>
      <c r="M73" s="1" t="n">
        <v>1</v>
      </c>
      <c r="N73" s="1" t="n">
        <v>1</v>
      </c>
      <c r="O73" s="1" t="n">
        <f aca="false">N73*M73</f>
        <v>1</v>
      </c>
      <c r="P73" s="55" t="n">
        <f aca="false">IFERROR(_xlfn.xlookup(B73&amp;"-"&amp;G73&amp;"-"&amp;T73,'[1]Q item'!A$1:A$1048576,'[1]Q item'!L$1:L$1048576),"")</f>
        <v>0</v>
      </c>
      <c r="Q73" s="55" t="n">
        <f aca="false">O73*L73</f>
        <v>2000</v>
      </c>
      <c r="R73" s="55" t="n">
        <f aca="false">K73*L73*12/1000</f>
        <v>312</v>
      </c>
      <c r="S73" s="55" t="n">
        <f aca="false">K73*L73*12/1000*O73</f>
        <v>312</v>
      </c>
      <c r="T73" s="55" t="n">
        <f aca="false">_xlfn.MAXIFS([1]Quote!D$1:D$1048576,[1]Quote!C$1:C$1048576,B73)</f>
        <v>1</v>
      </c>
      <c r="U73" s="55" t="str">
        <f aca="false">B73&amp;"-"&amp;G73&amp;"-"&amp;T73</f>
        <v>344-S21-1</v>
      </c>
      <c r="V73" s="56" t="n">
        <v>0</v>
      </c>
      <c r="W73" s="57" t="n">
        <f aca="false">R73*V73</f>
        <v>0</v>
      </c>
      <c r="X73" s="57" t="n">
        <f aca="false">S73*V73</f>
        <v>0</v>
      </c>
      <c r="Y73" s="58" t="str">
        <f aca="false">_xlfn.xlookup(B73,[1]Clients!A$1:A$1048576,[1]Clients!Z$1:Z$1048576)</f>
        <v>CAD</v>
      </c>
      <c r="Z73" s="55" t="str">
        <f aca="false">G73&amp;"/"&amp;K73&amp;"/"&amp;L73/1000</f>
        <v>S21/13/2</v>
      </c>
      <c r="AA73" s="58" t="n">
        <f aca="false">O73*K73</f>
        <v>13</v>
      </c>
    </row>
    <row r="74" customFormat="false" ht="15" hidden="false" customHeight="false" outlineLevel="0" collapsed="false">
      <c r="A74" s="54" t="str">
        <f aca="false">_xlfn.xlookup(D74,'PO Client'!A:A,'PO Client'!C:C)</f>
        <v>Nationale admin</v>
      </c>
      <c r="B74" s="54" t="n">
        <f aca="false">_xlfn.xlookup(A74,[1]Clients!C$1:C$1048576,[1]Clients!A$1:A$1048576)</f>
        <v>337</v>
      </c>
      <c r="C74" s="54" t="str">
        <f aca="false">_xlfn.xlookup(D74,'PO Client'!A:A,'PO Client'!H:H)</f>
        <v>MK250314-3</v>
      </c>
      <c r="D74" s="55" t="n">
        <f aca="false">IF(F74=1,D73+1,D73)</f>
        <v>386</v>
      </c>
      <c r="E74" s="55" t="str">
        <f aca="false">D74&amp;"-"&amp;F74</f>
        <v>386-1</v>
      </c>
      <c r="F74" s="1" t="n">
        <v>1</v>
      </c>
      <c r="G74" s="1" t="s">
        <v>495</v>
      </c>
      <c r="I74" s="1" t="str">
        <f aca="false">G74&amp;"-"&amp;E74</f>
        <v>T11-386-1</v>
      </c>
      <c r="J74" s="1" t="str">
        <f aca="false">D74&amp;G74</f>
        <v>386T11</v>
      </c>
      <c r="K74" s="1" t="n">
        <v>10.625</v>
      </c>
      <c r="L74" s="1" t="n">
        <v>10000</v>
      </c>
      <c r="M74" s="1" t="n">
        <v>1</v>
      </c>
      <c r="N74" s="1" t="n">
        <v>5</v>
      </c>
      <c r="O74" s="1" t="n">
        <f aca="false">N74*M74</f>
        <v>5</v>
      </c>
      <c r="P74" s="55" t="n">
        <f aca="false">IFERROR(_xlfn.xlookup(B74&amp;"-"&amp;G74&amp;"-"&amp;T74,'[1]Q item'!A$1:A$1048576,'[1]Q item'!L$1:L$1048576),"")</f>
        <v>0</v>
      </c>
      <c r="Q74" s="55" t="n">
        <f aca="false">O74*L74</f>
        <v>50000</v>
      </c>
      <c r="R74" s="55" t="n">
        <f aca="false">K74*L74*12/1000</f>
        <v>1275</v>
      </c>
      <c r="S74" s="55" t="n">
        <f aca="false">K74*L74*12/1000*O74</f>
        <v>6375</v>
      </c>
      <c r="T74" s="55" t="n">
        <f aca="false">_xlfn.MAXIFS([1]Quote!D$1:D$1048576,[1]Quote!C$1:C$1048576,B74)</f>
        <v>2</v>
      </c>
      <c r="U74" s="55" t="str">
        <f aca="false">B74&amp;"-"&amp;G74&amp;"-"&amp;T74</f>
        <v>337-T11-2</v>
      </c>
      <c r="V74" s="56" t="n">
        <f aca="false">_xlfn.xlookup(B74&amp;"-"&amp;G74&amp;"-"&amp;T74,'[1]Q item'!A$1:A$1048576,'[1]Q item'!J$1:J$1048576)</f>
        <v>0.371</v>
      </c>
      <c r="W74" s="57" t="n">
        <f aca="false">R74*V74</f>
        <v>473.025</v>
      </c>
      <c r="X74" s="57" t="n">
        <f aca="false">S74*V74</f>
        <v>2365.125</v>
      </c>
      <c r="Y74" s="58" t="str">
        <f aca="false">_xlfn.xlookup(B74,[1]Clients!A$1:A$1048576,[1]Clients!Z$1:Z$1048576)</f>
        <v>CAD</v>
      </c>
      <c r="Z74" s="55" t="str">
        <f aca="false">G74&amp;"/"&amp;K74&amp;"/"&amp;L74/1000</f>
        <v>T11/10.625/10</v>
      </c>
      <c r="AA74" s="58" t="n">
        <f aca="false">O74*K74</f>
        <v>53.125</v>
      </c>
    </row>
    <row r="75" customFormat="false" ht="15" hidden="false" customHeight="false" outlineLevel="0" collapsed="false">
      <c r="A75" s="54" t="str">
        <f aca="false">_xlfn.xlookup(D75,'PO Client'!A:A,'PO Client'!C:C)</f>
        <v>Nationale admin</v>
      </c>
      <c r="B75" s="54" t="n">
        <f aca="false">_xlfn.xlookup(A75,[1]Clients!C$1:C$1048576,[1]Clients!A$1:A$1048576)</f>
        <v>337</v>
      </c>
      <c r="C75" s="54" t="str">
        <f aca="false">_xlfn.xlookup(D75,'PO Client'!A:A,'PO Client'!H:H)</f>
        <v>MK250314-3</v>
      </c>
      <c r="D75" s="55" t="n">
        <f aca="false">IF(F75=1,D74+1,D74)</f>
        <v>386</v>
      </c>
      <c r="E75" s="55" t="str">
        <f aca="false">D75&amp;"-"&amp;F75</f>
        <v>386-2</v>
      </c>
      <c r="F75" s="1" t="n">
        <v>2</v>
      </c>
      <c r="G75" s="1" t="s">
        <v>495</v>
      </c>
      <c r="I75" s="1" t="str">
        <f aca="false">G75&amp;"-"&amp;E75</f>
        <v>T11-386-2</v>
      </c>
      <c r="J75" s="1" t="str">
        <f aca="false">D75&amp;G75</f>
        <v>386T11</v>
      </c>
      <c r="K75" s="1" t="n">
        <v>6.875</v>
      </c>
      <c r="L75" s="1" t="n">
        <v>10000</v>
      </c>
      <c r="M75" s="1" t="n">
        <v>1</v>
      </c>
      <c r="N75" s="1" t="n">
        <v>1</v>
      </c>
      <c r="O75" s="1" t="n">
        <f aca="false">N75*M75</f>
        <v>1</v>
      </c>
      <c r="P75" s="55" t="n">
        <f aca="false">IFERROR(_xlfn.xlookup(B75&amp;"-"&amp;G75&amp;"-"&amp;T75,'[1]Q item'!A$1:A$1048576,'[1]Q item'!L$1:L$1048576),"")</f>
        <v>0</v>
      </c>
      <c r="Q75" s="55" t="n">
        <f aca="false">O75*L75</f>
        <v>10000</v>
      </c>
      <c r="R75" s="55" t="n">
        <f aca="false">K75*L75*12/1000</f>
        <v>825</v>
      </c>
      <c r="S75" s="55" t="n">
        <f aca="false">K75*L75*12/1000*O75</f>
        <v>825</v>
      </c>
      <c r="T75" s="55" t="n">
        <f aca="false">_xlfn.MAXIFS([1]Quote!D$1:D$1048576,[1]Quote!C$1:C$1048576,B75)</f>
        <v>2</v>
      </c>
      <c r="U75" s="55" t="str">
        <f aca="false">B75&amp;"-"&amp;G75&amp;"-"&amp;T75</f>
        <v>337-T11-2</v>
      </c>
      <c r="V75" s="56" t="n">
        <f aca="false">_xlfn.xlookup(B75&amp;"-"&amp;G75&amp;"-"&amp;T75,'[1]Q item'!A$1:A$1048576,'[1]Q item'!J$1:J$1048576)</f>
        <v>0.371</v>
      </c>
      <c r="W75" s="57" t="n">
        <f aca="false">R75*V75</f>
        <v>306.075</v>
      </c>
      <c r="X75" s="57" t="n">
        <f aca="false">S75*V75</f>
        <v>306.075</v>
      </c>
      <c r="Y75" s="58" t="str">
        <f aca="false">_xlfn.xlookup(B75,[1]Clients!A$1:A$1048576,[1]Clients!Z$1:Z$1048576)</f>
        <v>CAD</v>
      </c>
      <c r="Z75" s="55" t="str">
        <f aca="false">G75&amp;"/"&amp;K75&amp;"/"&amp;L75/1000</f>
        <v>T11/6.875/10</v>
      </c>
      <c r="AA75" s="58" t="n">
        <f aca="false">O75*K75</f>
        <v>6.875</v>
      </c>
    </row>
    <row r="76" customFormat="false" ht="15" hidden="false" customHeight="false" outlineLevel="0" collapsed="false">
      <c r="A76" s="54" t="str">
        <f aca="false">_xlfn.xlookup(D76,'PO Client'!A:A,'PO Client'!C:C)</f>
        <v>Nationale admin</v>
      </c>
      <c r="B76" s="54" t="n">
        <f aca="false">_xlfn.xlookup(A76,[1]Clients!C$1:C$1048576,[1]Clients!A$1:A$1048576)</f>
        <v>337</v>
      </c>
      <c r="C76" s="54" t="str">
        <f aca="false">_xlfn.xlookup(D76,'PO Client'!A:A,'PO Client'!H:H)</f>
        <v>MK250314-3</v>
      </c>
      <c r="D76" s="55" t="n">
        <f aca="false">IF(F76=1,D75+1,D75)</f>
        <v>386</v>
      </c>
      <c r="E76" s="55" t="str">
        <f aca="false">D76&amp;"-"&amp;F76</f>
        <v>386-3</v>
      </c>
      <c r="F76" s="1" t="n">
        <v>3</v>
      </c>
      <c r="G76" s="1" t="s">
        <v>495</v>
      </c>
      <c r="I76" s="1" t="str">
        <f aca="false">G76&amp;"-"&amp;E76</f>
        <v>T11-386-3</v>
      </c>
      <c r="J76" s="1" t="str">
        <f aca="false">D76&amp;G76</f>
        <v>386T11</v>
      </c>
      <c r="K76" s="1" t="n">
        <v>10.625</v>
      </c>
      <c r="L76" s="1" t="n">
        <v>10000</v>
      </c>
      <c r="M76" s="1" t="n">
        <v>1</v>
      </c>
      <c r="N76" s="1" t="n">
        <v>2</v>
      </c>
      <c r="O76" s="1" t="n">
        <f aca="false">N76*M76</f>
        <v>2</v>
      </c>
      <c r="P76" s="55" t="n">
        <f aca="false">IFERROR(_xlfn.xlookup(B76&amp;"-"&amp;G76&amp;"-"&amp;T76,'[1]Q item'!A$1:A$1048576,'[1]Q item'!L$1:L$1048576),"")</f>
        <v>0</v>
      </c>
      <c r="Q76" s="55" t="n">
        <f aca="false">O76*L76</f>
        <v>20000</v>
      </c>
      <c r="R76" s="55" t="n">
        <f aca="false">K76*L76*12/1000</f>
        <v>1275</v>
      </c>
      <c r="S76" s="55" t="n">
        <f aca="false">K76*L76*12/1000*O76</f>
        <v>2550</v>
      </c>
      <c r="T76" s="55" t="n">
        <f aca="false">_xlfn.MAXIFS([1]Quote!D$1:D$1048576,[1]Quote!C$1:C$1048576,B76)</f>
        <v>2</v>
      </c>
      <c r="U76" s="55" t="str">
        <f aca="false">B76&amp;"-"&amp;G76&amp;"-"&amp;T76</f>
        <v>337-T11-2</v>
      </c>
      <c r="V76" s="56" t="n">
        <f aca="false">_xlfn.xlookup(B76&amp;"-"&amp;G76&amp;"-"&amp;T76,'[1]Q item'!A$1:A$1048576,'[1]Q item'!J$1:J$1048576)</f>
        <v>0.371</v>
      </c>
      <c r="W76" s="57" t="n">
        <f aca="false">R76*V76</f>
        <v>473.025</v>
      </c>
      <c r="X76" s="57" t="n">
        <f aca="false">S76*V76</f>
        <v>946.05</v>
      </c>
      <c r="Y76" s="58" t="str">
        <f aca="false">_xlfn.xlookup(B76,[1]Clients!A$1:A$1048576,[1]Clients!Z$1:Z$1048576)</f>
        <v>CAD</v>
      </c>
      <c r="Z76" s="55" t="str">
        <f aca="false">G76&amp;"/"&amp;K76&amp;"/"&amp;L76/1000</f>
        <v>T11/10.625/10</v>
      </c>
      <c r="AA76" s="58" t="n">
        <f aca="false">O76*K76</f>
        <v>21.25</v>
      </c>
    </row>
    <row r="77" customFormat="false" ht="15" hidden="false" customHeight="false" outlineLevel="0" collapsed="false">
      <c r="A77" s="54" t="str">
        <f aca="false">_xlfn.xlookup(D77,'PO Client'!A:A,'PO Client'!C:C)</f>
        <v>Nationale admin</v>
      </c>
      <c r="B77" s="54" t="n">
        <f aca="false">_xlfn.xlookup(A77,[1]Clients!C$1:C$1048576,[1]Clients!A$1:A$1048576)</f>
        <v>337</v>
      </c>
      <c r="C77" s="54" t="str">
        <f aca="false">_xlfn.xlookup(D77,'PO Client'!A:A,'PO Client'!H:H)</f>
        <v>MK250314-3</v>
      </c>
      <c r="D77" s="55" t="n">
        <f aca="false">IF(F77=1,D76+1,D76)</f>
        <v>386</v>
      </c>
      <c r="E77" s="55" t="str">
        <f aca="false">D77&amp;"-"&amp;F77</f>
        <v>386-4</v>
      </c>
      <c r="F77" s="1" t="n">
        <v>4</v>
      </c>
      <c r="G77" s="1" t="s">
        <v>495</v>
      </c>
      <c r="I77" s="1" t="str">
        <f aca="false">G77&amp;"-"&amp;E77</f>
        <v>T11-386-4</v>
      </c>
      <c r="J77" s="1" t="str">
        <f aca="false">D77&amp;G77</f>
        <v>386T11</v>
      </c>
      <c r="K77" s="1" t="n">
        <v>8.625</v>
      </c>
      <c r="L77" s="1" t="n">
        <v>10000</v>
      </c>
      <c r="M77" s="1" t="n">
        <v>1</v>
      </c>
      <c r="N77" s="1" t="n">
        <v>4</v>
      </c>
      <c r="O77" s="1" t="n">
        <f aca="false">N77*M77</f>
        <v>4</v>
      </c>
      <c r="P77" s="55" t="n">
        <f aca="false">IFERROR(_xlfn.xlookup(B77&amp;"-"&amp;G77&amp;"-"&amp;T77,'[1]Q item'!A$1:A$1048576,'[1]Q item'!L$1:L$1048576),"")</f>
        <v>0</v>
      </c>
      <c r="Q77" s="55" t="n">
        <f aca="false">O77*L77</f>
        <v>40000</v>
      </c>
      <c r="R77" s="55" t="n">
        <f aca="false">K77*L77*12/1000</f>
        <v>1035</v>
      </c>
      <c r="S77" s="55" t="n">
        <f aca="false">K77*L77*12/1000*O77</f>
        <v>4140</v>
      </c>
      <c r="T77" s="55" t="n">
        <f aca="false">_xlfn.MAXIFS([1]Quote!D$1:D$1048576,[1]Quote!C$1:C$1048576,B77)</f>
        <v>2</v>
      </c>
      <c r="U77" s="55" t="str">
        <f aca="false">B77&amp;"-"&amp;G77&amp;"-"&amp;T77</f>
        <v>337-T11-2</v>
      </c>
      <c r="V77" s="56" t="n">
        <f aca="false">_xlfn.xlookup(B77&amp;"-"&amp;G77&amp;"-"&amp;T77,'[1]Q item'!A$1:A$1048576,'[1]Q item'!J$1:J$1048576)</f>
        <v>0.371</v>
      </c>
      <c r="W77" s="57" t="n">
        <f aca="false">R77*V77</f>
        <v>383.985</v>
      </c>
      <c r="X77" s="57" t="n">
        <f aca="false">S77*V77</f>
        <v>1535.94</v>
      </c>
      <c r="Y77" s="58" t="str">
        <f aca="false">_xlfn.xlookup(B77,[1]Clients!A$1:A$1048576,[1]Clients!Z$1:Z$1048576)</f>
        <v>CAD</v>
      </c>
      <c r="Z77" s="55" t="str">
        <f aca="false">G77&amp;"/"&amp;K77&amp;"/"&amp;L77/1000</f>
        <v>T11/8.625/10</v>
      </c>
      <c r="AA77" s="58" t="n">
        <f aca="false">O77*K77</f>
        <v>34.5</v>
      </c>
    </row>
    <row r="78" customFormat="false" ht="15" hidden="false" customHeight="false" outlineLevel="0" collapsed="false">
      <c r="A78" s="54" t="str">
        <f aca="false">_xlfn.xlookup(D78,'PO Client'!A:A,'PO Client'!C:C)</f>
        <v>Nationale admin</v>
      </c>
      <c r="B78" s="54" t="n">
        <f aca="false">_xlfn.xlookup(A78,[1]Clients!C$1:C$1048576,[1]Clients!A$1:A$1048576)</f>
        <v>337</v>
      </c>
      <c r="C78" s="54" t="str">
        <f aca="false">_xlfn.xlookup(D78,'PO Client'!A:A,'PO Client'!H:H)</f>
        <v>MK250314-3</v>
      </c>
      <c r="D78" s="55" t="n">
        <f aca="false">IF(F78=1,D77+1,D77)</f>
        <v>386</v>
      </c>
      <c r="E78" s="55" t="str">
        <f aca="false">D78&amp;"-"&amp;F78</f>
        <v>386-5</v>
      </c>
      <c r="F78" s="1" t="n">
        <v>5</v>
      </c>
      <c r="G78" s="1" t="s">
        <v>495</v>
      </c>
      <c r="I78" s="1" t="str">
        <f aca="false">G78&amp;"-"&amp;E78</f>
        <v>T11-386-5</v>
      </c>
      <c r="J78" s="1" t="str">
        <f aca="false">D78&amp;G78</f>
        <v>386T11</v>
      </c>
      <c r="K78" s="1" t="n">
        <v>4.25</v>
      </c>
      <c r="L78" s="1" t="n">
        <v>10000</v>
      </c>
      <c r="M78" s="1" t="n">
        <v>1</v>
      </c>
      <c r="N78" s="1" t="n">
        <v>1</v>
      </c>
      <c r="O78" s="1" t="n">
        <f aca="false">N78*M78</f>
        <v>1</v>
      </c>
      <c r="P78" s="55" t="n">
        <f aca="false">IFERROR(_xlfn.xlookup(B78&amp;"-"&amp;G78&amp;"-"&amp;T78,'[1]Q item'!A$1:A$1048576,'[1]Q item'!L$1:L$1048576),"")</f>
        <v>0</v>
      </c>
      <c r="Q78" s="55" t="n">
        <f aca="false">O78*L78</f>
        <v>10000</v>
      </c>
      <c r="R78" s="55" t="n">
        <f aca="false">K78*L78*12/1000</f>
        <v>510</v>
      </c>
      <c r="S78" s="55" t="n">
        <f aca="false">K78*L78*12/1000*O78</f>
        <v>510</v>
      </c>
      <c r="T78" s="55" t="n">
        <f aca="false">_xlfn.MAXIFS([1]Quote!D$1:D$1048576,[1]Quote!C$1:C$1048576,B78)</f>
        <v>2</v>
      </c>
      <c r="U78" s="55" t="str">
        <f aca="false">B78&amp;"-"&amp;G78&amp;"-"&amp;T78</f>
        <v>337-T11-2</v>
      </c>
      <c r="V78" s="56" t="n">
        <f aca="false">_xlfn.xlookup(B78&amp;"-"&amp;G78&amp;"-"&amp;T78,'[1]Q item'!A$1:A$1048576,'[1]Q item'!J$1:J$1048576)</f>
        <v>0.371</v>
      </c>
      <c r="W78" s="57" t="n">
        <f aca="false">R78*V78</f>
        <v>189.21</v>
      </c>
      <c r="X78" s="57" t="n">
        <f aca="false">S78*V78</f>
        <v>189.21</v>
      </c>
      <c r="Y78" s="58" t="str">
        <f aca="false">_xlfn.xlookup(B78,[1]Clients!A$1:A$1048576,[1]Clients!Z$1:Z$1048576)</f>
        <v>CAD</v>
      </c>
      <c r="Z78" s="55" t="str">
        <f aca="false">G78&amp;"/"&amp;K78&amp;"/"&amp;L78/1000</f>
        <v>T11/4.25/10</v>
      </c>
      <c r="AA78" s="58" t="n">
        <f aca="false">O78*K78</f>
        <v>4.25</v>
      </c>
    </row>
    <row r="79" customFormat="false" ht="15" hidden="false" customHeight="false" outlineLevel="0" collapsed="false">
      <c r="A79" s="54" t="str">
        <f aca="false">_xlfn.xlookup(D79,'PO Client'!A:A,'PO Client'!C:C)</f>
        <v>Damaflex</v>
      </c>
      <c r="B79" s="54" t="n">
        <f aca="false">_xlfn.xlookup(A79,[1]Clients!C$1:C$1048576,[1]Clients!A$1:A$1048576)</f>
        <v>324</v>
      </c>
      <c r="C79" s="54" t="n">
        <f aca="false">_xlfn.xlookup(D79,'PO Client'!A:A,'PO Client'!H:H)</f>
        <v>179205</v>
      </c>
      <c r="D79" s="55" t="n">
        <f aca="false">IF(F79=1,D78+1,D78)</f>
        <v>387</v>
      </c>
      <c r="E79" s="55" t="str">
        <f aca="false">D79&amp;"-"&amp;F79</f>
        <v>387-1</v>
      </c>
      <c r="F79" s="1" t="n">
        <v>1</v>
      </c>
      <c r="G79" s="1" t="s">
        <v>517</v>
      </c>
      <c r="I79" s="1" t="str">
        <f aca="false">G79&amp;"-"&amp;E79</f>
        <v>B25-387-1</v>
      </c>
      <c r="J79" s="1" t="str">
        <f aca="false">D79&amp;G79</f>
        <v>387B25</v>
      </c>
      <c r="K79" s="1" t="n">
        <v>10.25</v>
      </c>
      <c r="L79" s="1" t="n">
        <v>10000</v>
      </c>
      <c r="M79" s="1" t="n">
        <v>1</v>
      </c>
      <c r="N79" s="1" t="n">
        <v>5</v>
      </c>
      <c r="O79" s="1" t="n">
        <f aca="false">N79*M79</f>
        <v>5</v>
      </c>
      <c r="P79" s="55" t="n">
        <f aca="false">IFERROR(_xlfn.xlookup(B79&amp;"-"&amp;G79&amp;"-"&amp;T79,'[1]Q item'!A$1:A$1048576,'[1]Q item'!L$1:L$1048576),"")</f>
        <v>0</v>
      </c>
      <c r="Q79" s="55" t="n">
        <f aca="false">O79*L79</f>
        <v>50000</v>
      </c>
      <c r="R79" s="55" t="n">
        <f aca="false">K79*L79*12/1000</f>
        <v>1230</v>
      </c>
      <c r="S79" s="55" t="n">
        <f aca="false">K79*L79*12/1000*O79</f>
        <v>6150</v>
      </c>
      <c r="T79" s="55" t="n">
        <f aca="false">_xlfn.MAXIFS([1]Quote!D$1:D$1048576,[1]Quote!C$1:C$1048576,B79)</f>
        <v>2</v>
      </c>
      <c r="U79" s="55" t="str">
        <f aca="false">B79&amp;"-"&amp;G79&amp;"-"&amp;T79</f>
        <v>324-B25-2</v>
      </c>
      <c r="V79" s="56" t="n">
        <f aca="false">_xlfn.xlookup(B79&amp;"-"&amp;G79&amp;"-"&amp;T79,'[1]Q item'!A$1:A$1048576,'[1]Q item'!J$1:J$1048576)</f>
        <v>0.423</v>
      </c>
      <c r="W79" s="57" t="n">
        <f aca="false">R79*V79</f>
        <v>520.29</v>
      </c>
      <c r="X79" s="57" t="n">
        <f aca="false">S79*V79</f>
        <v>2601.45</v>
      </c>
      <c r="Y79" s="58" t="str">
        <f aca="false">_xlfn.xlookup(B79,[1]Clients!A$1:A$1048576,[1]Clients!Z$1:Z$1048576)</f>
        <v>CAD</v>
      </c>
      <c r="Z79" s="55" t="str">
        <f aca="false">G79&amp;"/"&amp;K79&amp;"/"&amp;L79/1000</f>
        <v>B25/10.25/10</v>
      </c>
      <c r="AA79" s="58" t="n">
        <f aca="false">O79*K79</f>
        <v>51.25</v>
      </c>
    </row>
    <row r="80" customFormat="false" ht="15" hidden="false" customHeight="false" outlineLevel="0" collapsed="false">
      <c r="A80" s="54" t="str">
        <f aca="false">_xlfn.xlookup(D80,'PO Client'!A:A,'PO Client'!C:C)</f>
        <v>Damaflex</v>
      </c>
      <c r="B80" s="54" t="n">
        <f aca="false">_xlfn.xlookup(A80,[1]Clients!C$1:C$1048576,[1]Clients!A$1:A$1048576)</f>
        <v>324</v>
      </c>
      <c r="C80" s="54" t="n">
        <f aca="false">_xlfn.xlookup(D80,'PO Client'!A:A,'PO Client'!H:H)</f>
        <v>179205</v>
      </c>
      <c r="D80" s="55" t="n">
        <f aca="false">IF(F80=1,D79+1,D79)</f>
        <v>387</v>
      </c>
      <c r="E80" s="55" t="str">
        <f aca="false">D80&amp;"-"&amp;F80</f>
        <v>387-2</v>
      </c>
      <c r="F80" s="1" t="n">
        <v>2</v>
      </c>
      <c r="G80" s="1" t="s">
        <v>517</v>
      </c>
      <c r="I80" s="1" t="str">
        <f aca="false">G80&amp;"-"&amp;E80</f>
        <v>B25-387-2</v>
      </c>
      <c r="J80" s="1" t="str">
        <f aca="false">D80&amp;G80</f>
        <v>387B25</v>
      </c>
      <c r="K80" s="1" t="n">
        <v>8.75</v>
      </c>
      <c r="L80" s="1" t="n">
        <v>10000</v>
      </c>
      <c r="M80" s="1" t="n">
        <v>1</v>
      </c>
      <c r="N80" s="1" t="n">
        <v>1</v>
      </c>
      <c r="O80" s="1" t="n">
        <f aca="false">N80*M80</f>
        <v>1</v>
      </c>
      <c r="P80" s="55" t="n">
        <f aca="false">IFERROR(_xlfn.xlookup(B80&amp;"-"&amp;G80&amp;"-"&amp;T80,'[1]Q item'!A$1:A$1048576,'[1]Q item'!L$1:L$1048576),"")</f>
        <v>0</v>
      </c>
      <c r="Q80" s="55" t="n">
        <f aca="false">O80*L80</f>
        <v>10000</v>
      </c>
      <c r="R80" s="55" t="n">
        <f aca="false">K80*L80*12/1000</f>
        <v>1050</v>
      </c>
      <c r="S80" s="55" t="n">
        <f aca="false">K80*L80*12/1000*O80</f>
        <v>1050</v>
      </c>
      <c r="T80" s="55" t="n">
        <f aca="false">_xlfn.MAXIFS([1]Quote!D$1:D$1048576,[1]Quote!C$1:C$1048576,B80)</f>
        <v>2</v>
      </c>
      <c r="U80" s="55" t="str">
        <f aca="false">B80&amp;"-"&amp;G80&amp;"-"&amp;T80</f>
        <v>324-B25-2</v>
      </c>
      <c r="V80" s="56" t="n">
        <f aca="false">_xlfn.xlookup(B80&amp;"-"&amp;G80&amp;"-"&amp;T80,'[1]Q item'!A$1:A$1048576,'[1]Q item'!J$1:J$1048576)</f>
        <v>0.423</v>
      </c>
      <c r="W80" s="57" t="n">
        <f aca="false">R80*V80</f>
        <v>444.15</v>
      </c>
      <c r="X80" s="57" t="n">
        <f aca="false">S80*V80</f>
        <v>444.15</v>
      </c>
      <c r="Y80" s="58" t="str">
        <f aca="false">_xlfn.xlookup(B80,[1]Clients!A$1:A$1048576,[1]Clients!Z$1:Z$1048576)</f>
        <v>CAD</v>
      </c>
      <c r="Z80" s="55" t="str">
        <f aca="false">G80&amp;"/"&amp;K80&amp;"/"&amp;L80/1000</f>
        <v>B25/8.75/10</v>
      </c>
      <c r="AA80" s="58" t="n">
        <f aca="false">O80*K80</f>
        <v>8.75</v>
      </c>
    </row>
    <row r="81" customFormat="false" ht="15" hidden="false" customHeight="false" outlineLevel="0" collapsed="false">
      <c r="A81" s="54" t="str">
        <f aca="false">_xlfn.xlookup(D81,'PO Client'!A:A,'PO Client'!C:C)</f>
        <v>Labelink</v>
      </c>
      <c r="B81" s="54" t="n">
        <f aca="false">_xlfn.xlookup(A81,[1]Clients!C$1:C$1048576,[1]Clients!A$1:A$1048576)</f>
        <v>304</v>
      </c>
      <c r="C81" s="54" t="n">
        <f aca="false">_xlfn.xlookup(D81,'PO Client'!A:A,'PO Client'!H:H)</f>
        <v>146349</v>
      </c>
      <c r="D81" s="55" t="n">
        <f aca="false">IF(F81=1,D80+1,D80)</f>
        <v>388</v>
      </c>
      <c r="E81" s="55" t="str">
        <f aca="false">D81&amp;"-"&amp;F81</f>
        <v>388-1</v>
      </c>
      <c r="F81" s="1" t="n">
        <v>1</v>
      </c>
      <c r="G81" s="1" t="s">
        <v>681</v>
      </c>
      <c r="I81" s="1" t="str">
        <f aca="false">G81&amp;"-"&amp;E81</f>
        <v>S31-388-1</v>
      </c>
      <c r="J81" s="1" t="str">
        <f aca="false">D81&amp;G81</f>
        <v>388S31</v>
      </c>
      <c r="K81" s="1" t="n">
        <v>12.375</v>
      </c>
      <c r="L81" s="1" t="n">
        <v>10000</v>
      </c>
      <c r="M81" s="1" t="n">
        <v>1</v>
      </c>
      <c r="N81" s="1" t="n">
        <v>3</v>
      </c>
      <c r="O81" s="1" t="n">
        <f aca="false">N81*M81</f>
        <v>3</v>
      </c>
      <c r="P81" s="55" t="n">
        <f aca="false">IFERROR(_xlfn.xlookup(B81&amp;"-"&amp;G81&amp;"-"&amp;T81,'[1]Q item'!A$1:A$1048576,'[1]Q item'!L$1:L$1048576),"")</f>
        <v>3210</v>
      </c>
      <c r="Q81" s="55" t="n">
        <f aca="false">O81*L81</f>
        <v>30000</v>
      </c>
      <c r="R81" s="55" t="n">
        <f aca="false">K81*L81*12/1000</f>
        <v>1485</v>
      </c>
      <c r="S81" s="55" t="n">
        <f aca="false">K81*L81*12/1000*O81</f>
        <v>4455</v>
      </c>
      <c r="T81" s="55" t="n">
        <f aca="false">_xlfn.MAXIFS([1]Quote!D$1:D$1048576,[1]Quote!C$1:C$1048576,B81)</f>
        <v>8</v>
      </c>
      <c r="U81" s="55" t="str">
        <f aca="false">B81&amp;"-"&amp;G81&amp;"-"&amp;T81</f>
        <v>304-S31-8</v>
      </c>
      <c r="V81" s="56" t="n">
        <f aca="false">_xlfn.xlookup(B81&amp;"-"&amp;G81&amp;"-"&amp;T81,'[1]Q item'!A$1:A$1048576,'[1]Q item'!J$1:J$1048576)</f>
        <v>0.387</v>
      </c>
      <c r="W81" s="57" t="n">
        <f aca="false">R81*V81</f>
        <v>574.695</v>
      </c>
      <c r="X81" s="57" t="n">
        <f aca="false">S81*V81</f>
        <v>1724.085</v>
      </c>
      <c r="Y81" s="58" t="str">
        <f aca="false">_xlfn.xlookup(B81,[1]Clients!A$1:A$1048576,[1]Clients!Z$1:Z$1048576)</f>
        <v>CAD</v>
      </c>
      <c r="Z81" s="55" t="str">
        <f aca="false">G81&amp;"/"&amp;K81&amp;"/"&amp;L81/1000</f>
        <v>S31/12.375/10</v>
      </c>
      <c r="AA81" s="58" t="n">
        <f aca="false">O81*K81</f>
        <v>37.125</v>
      </c>
    </row>
    <row r="82" customFormat="false" ht="15" hidden="false" customHeight="false" outlineLevel="0" collapsed="false">
      <c r="A82" s="54" t="str">
        <f aca="false">_xlfn.xlookup(D82,'PO Client'!A:A,'PO Client'!C:C)</f>
        <v>Labelink</v>
      </c>
      <c r="B82" s="54" t="n">
        <f aca="false">_xlfn.xlookup(A82,[1]Clients!C$1:C$1048576,[1]Clients!A$1:A$1048576)</f>
        <v>304</v>
      </c>
      <c r="C82" s="54" t="n">
        <f aca="false">_xlfn.xlookup(D82,'PO Client'!A:A,'PO Client'!H:H)</f>
        <v>146349</v>
      </c>
      <c r="D82" s="55" t="n">
        <f aca="false">IF(F82=1,D81+1,D81)</f>
        <v>388</v>
      </c>
      <c r="E82" s="55" t="str">
        <f aca="false">D82&amp;"-"&amp;F82</f>
        <v>388-2</v>
      </c>
      <c r="F82" s="1" t="n">
        <v>2</v>
      </c>
      <c r="G82" s="1" t="s">
        <v>681</v>
      </c>
      <c r="I82" s="1" t="str">
        <f aca="false">G82&amp;"-"&amp;E82</f>
        <v>S31-388-2</v>
      </c>
      <c r="J82" s="1" t="str">
        <f aca="false">D82&amp;G82</f>
        <v>388S31</v>
      </c>
      <c r="K82" s="1" t="n">
        <v>4.875</v>
      </c>
      <c r="L82" s="1" t="n">
        <v>10000</v>
      </c>
      <c r="M82" s="1" t="n">
        <v>1</v>
      </c>
      <c r="N82" s="1" t="n">
        <v>1</v>
      </c>
      <c r="O82" s="1" t="n">
        <f aca="false">N82*M82</f>
        <v>1</v>
      </c>
      <c r="P82" s="55" t="n">
        <f aca="false">IFERROR(_xlfn.xlookup(B82&amp;"-"&amp;G82&amp;"-"&amp;T82,'[1]Q item'!A$1:A$1048576,'[1]Q item'!L$1:L$1048576),"")</f>
        <v>3210</v>
      </c>
      <c r="Q82" s="55" t="n">
        <f aca="false">O82*L82</f>
        <v>10000</v>
      </c>
      <c r="R82" s="55" t="n">
        <f aca="false">K82*L82*12/1000</f>
        <v>585</v>
      </c>
      <c r="S82" s="55" t="n">
        <f aca="false">K82*L82*12/1000*O82</f>
        <v>585</v>
      </c>
      <c r="T82" s="55" t="n">
        <f aca="false">_xlfn.MAXIFS([1]Quote!D$1:D$1048576,[1]Quote!C$1:C$1048576,B82)</f>
        <v>8</v>
      </c>
      <c r="U82" s="55" t="str">
        <f aca="false">B82&amp;"-"&amp;G82&amp;"-"&amp;T82</f>
        <v>304-S31-8</v>
      </c>
      <c r="V82" s="56" t="n">
        <f aca="false">_xlfn.xlookup(B82&amp;"-"&amp;G82&amp;"-"&amp;T82,'[1]Q item'!A$1:A$1048576,'[1]Q item'!J$1:J$1048576)</f>
        <v>0.387</v>
      </c>
      <c r="W82" s="57" t="n">
        <f aca="false">R82*V82</f>
        <v>226.395</v>
      </c>
      <c r="X82" s="57" t="n">
        <f aca="false">S82*V82</f>
        <v>226.395</v>
      </c>
      <c r="Y82" s="58" t="str">
        <f aca="false">_xlfn.xlookup(B82,[1]Clients!A$1:A$1048576,[1]Clients!Z$1:Z$1048576)</f>
        <v>CAD</v>
      </c>
      <c r="Z82" s="55" t="str">
        <f aca="false">G82&amp;"/"&amp;K82&amp;"/"&amp;L82/1000</f>
        <v>S31/4.875/10</v>
      </c>
      <c r="AA82" s="58" t="n">
        <f aca="false">O82*K82</f>
        <v>4.875</v>
      </c>
    </row>
    <row r="83" customFormat="false" ht="15" hidden="false" customHeight="false" outlineLevel="0" collapsed="false">
      <c r="A83" s="54" t="str">
        <f aca="false">_xlfn.xlookup(D83,'PO Client'!A:A,'PO Client'!C:C)</f>
        <v>Labelink</v>
      </c>
      <c r="B83" s="54" t="n">
        <f aca="false">_xlfn.xlookup(A83,[1]Clients!C$1:C$1048576,[1]Clients!A$1:A$1048576)</f>
        <v>304</v>
      </c>
      <c r="C83" s="54" t="n">
        <f aca="false">_xlfn.xlookup(D83,'PO Client'!A:A,'PO Client'!H:H)</f>
        <v>146349</v>
      </c>
      <c r="D83" s="55" t="n">
        <f aca="false">IF(F83=1,D82+1,D82)</f>
        <v>388</v>
      </c>
      <c r="E83" s="55" t="str">
        <f aca="false">D83&amp;"-"&amp;F83</f>
        <v>388-3</v>
      </c>
      <c r="F83" s="1" t="n">
        <v>3</v>
      </c>
      <c r="G83" s="1" t="s">
        <v>681</v>
      </c>
      <c r="I83" s="1" t="str">
        <f aca="false">G83&amp;"-"&amp;E83</f>
        <v>S31-388-3</v>
      </c>
      <c r="J83" s="1" t="str">
        <f aca="false">D83&amp;G83</f>
        <v>388S31</v>
      </c>
      <c r="K83" s="1" t="n">
        <v>12.375</v>
      </c>
      <c r="L83" s="1" t="n">
        <v>10000</v>
      </c>
      <c r="M83" s="1" t="n">
        <v>1</v>
      </c>
      <c r="N83" s="1" t="n">
        <v>3</v>
      </c>
      <c r="O83" s="1" t="n">
        <f aca="false">N83*M83</f>
        <v>3</v>
      </c>
      <c r="P83" s="55" t="n">
        <f aca="false">IFERROR(_xlfn.xlookup(B83&amp;"-"&amp;G83&amp;"-"&amp;T83,'[1]Q item'!A$1:A$1048576,'[1]Q item'!L$1:L$1048576),"")</f>
        <v>3210</v>
      </c>
      <c r="Q83" s="55" t="n">
        <f aca="false">O83*L83</f>
        <v>30000</v>
      </c>
      <c r="R83" s="55" t="n">
        <f aca="false">K83*L83*12/1000</f>
        <v>1485</v>
      </c>
      <c r="S83" s="55" t="n">
        <f aca="false">K83*L83*12/1000*O83</f>
        <v>4455</v>
      </c>
      <c r="T83" s="55" t="n">
        <f aca="false">_xlfn.MAXIFS([1]Quote!D$1:D$1048576,[1]Quote!C$1:C$1048576,B83)</f>
        <v>8</v>
      </c>
      <c r="U83" s="55" t="str">
        <f aca="false">B83&amp;"-"&amp;G83&amp;"-"&amp;T83</f>
        <v>304-S31-8</v>
      </c>
      <c r="V83" s="56" t="n">
        <f aca="false">_xlfn.xlookup(B83&amp;"-"&amp;G83&amp;"-"&amp;T83,'[1]Q item'!A$1:A$1048576,'[1]Q item'!J$1:J$1048576)</f>
        <v>0.387</v>
      </c>
      <c r="W83" s="57" t="n">
        <f aca="false">R83*V83</f>
        <v>574.695</v>
      </c>
      <c r="X83" s="57" t="n">
        <f aca="false">S83*V83</f>
        <v>1724.085</v>
      </c>
      <c r="Y83" s="58" t="str">
        <f aca="false">_xlfn.xlookup(B83,[1]Clients!A$1:A$1048576,[1]Clients!Z$1:Z$1048576)</f>
        <v>CAD</v>
      </c>
      <c r="Z83" s="55" t="str">
        <f aca="false">G83&amp;"/"&amp;K83&amp;"/"&amp;L83/1000</f>
        <v>S31/12.375/10</v>
      </c>
      <c r="AA83" s="58" t="n">
        <f aca="false">O83*K83</f>
        <v>37.125</v>
      </c>
    </row>
    <row r="84" customFormat="false" ht="15" hidden="false" customHeight="false" outlineLevel="0" collapsed="false">
      <c r="A84" s="54" t="str">
        <f aca="false">_xlfn.xlookup(D84,'PO Client'!A:A,'PO Client'!C:C)</f>
        <v>Labelink</v>
      </c>
      <c r="B84" s="54" t="n">
        <f aca="false">_xlfn.xlookup(A84,[1]Clients!C$1:C$1048576,[1]Clients!A$1:A$1048576)</f>
        <v>304</v>
      </c>
      <c r="C84" s="54" t="n">
        <f aca="false">_xlfn.xlookup(D84,'PO Client'!A:A,'PO Client'!H:H)</f>
        <v>146349</v>
      </c>
      <c r="D84" s="55" t="n">
        <f aca="false">IF(F84=1,D83+1,D83)</f>
        <v>388</v>
      </c>
      <c r="E84" s="55" t="str">
        <f aca="false">D84&amp;"-"&amp;F84</f>
        <v>388-4</v>
      </c>
      <c r="F84" s="1" t="n">
        <v>4</v>
      </c>
      <c r="G84" s="1" t="s">
        <v>681</v>
      </c>
      <c r="I84" s="1" t="str">
        <f aca="false">G84&amp;"-"&amp;E84</f>
        <v>S31-388-4</v>
      </c>
      <c r="J84" s="1" t="str">
        <f aca="false">D84&amp;G84</f>
        <v>388S31</v>
      </c>
      <c r="K84" s="1" t="n">
        <v>4.875</v>
      </c>
      <c r="L84" s="1" t="n">
        <v>10000</v>
      </c>
      <c r="M84" s="1" t="n">
        <v>1</v>
      </c>
      <c r="N84" s="1" t="n">
        <v>1</v>
      </c>
      <c r="O84" s="1" t="n">
        <f aca="false">N84*M84</f>
        <v>1</v>
      </c>
      <c r="P84" s="55" t="n">
        <f aca="false">IFERROR(_xlfn.xlookup(B84&amp;"-"&amp;G84&amp;"-"&amp;T84,'[1]Q item'!A$1:A$1048576,'[1]Q item'!L$1:L$1048576),"")</f>
        <v>3210</v>
      </c>
      <c r="Q84" s="55" t="n">
        <f aca="false">O84*L84</f>
        <v>10000</v>
      </c>
      <c r="R84" s="55" t="n">
        <f aca="false">K84*L84*12/1000</f>
        <v>585</v>
      </c>
      <c r="S84" s="55" t="n">
        <f aca="false">K84*L84*12/1000*O84</f>
        <v>585</v>
      </c>
      <c r="T84" s="55" t="n">
        <f aca="false">_xlfn.MAXIFS([1]Quote!D$1:D$1048576,[1]Quote!C$1:C$1048576,B84)</f>
        <v>8</v>
      </c>
      <c r="U84" s="55" t="str">
        <f aca="false">B84&amp;"-"&amp;G84&amp;"-"&amp;T84</f>
        <v>304-S31-8</v>
      </c>
      <c r="V84" s="56" t="n">
        <f aca="false">_xlfn.xlookup(B84&amp;"-"&amp;G84&amp;"-"&amp;T84,'[1]Q item'!A$1:A$1048576,'[1]Q item'!J$1:J$1048576)</f>
        <v>0.387</v>
      </c>
      <c r="W84" s="57" t="n">
        <f aca="false">R84*V84</f>
        <v>226.395</v>
      </c>
      <c r="X84" s="57" t="n">
        <f aca="false">S84*V84</f>
        <v>226.395</v>
      </c>
      <c r="Y84" s="58" t="str">
        <f aca="false">_xlfn.xlookup(B84,[1]Clients!A$1:A$1048576,[1]Clients!Z$1:Z$1048576)</f>
        <v>CAD</v>
      </c>
      <c r="Z84" s="55" t="str">
        <f aca="false">G84&amp;"/"&amp;K84&amp;"/"&amp;L84/1000</f>
        <v>S31/4.875/10</v>
      </c>
      <c r="AA84" s="58" t="n">
        <f aca="false">O84*K84</f>
        <v>4.875</v>
      </c>
    </row>
    <row r="85" customFormat="false" ht="15" hidden="false" customHeight="false" outlineLevel="0" collapsed="false">
      <c r="A85" s="54" t="str">
        <f aca="false">_xlfn.xlookup(D85,'PO Client'!A:A,'PO Client'!C:C)</f>
        <v>Labelink</v>
      </c>
      <c r="B85" s="54" t="n">
        <f aca="false">_xlfn.xlookup(A85,[1]Clients!C$1:C$1048576,[1]Clients!A$1:A$1048576)</f>
        <v>304</v>
      </c>
      <c r="C85" s="54" t="n">
        <f aca="false">_xlfn.xlookup(D85,'PO Client'!A:A,'PO Client'!H:H)</f>
        <v>146349</v>
      </c>
      <c r="D85" s="55" t="n">
        <f aca="false">IF(F85=1,D84+1,D84)</f>
        <v>388</v>
      </c>
      <c r="E85" s="55" t="str">
        <f aca="false">D85&amp;"-"&amp;F85</f>
        <v>388-5</v>
      </c>
      <c r="F85" s="1" t="n">
        <v>5</v>
      </c>
      <c r="G85" s="1" t="s">
        <v>681</v>
      </c>
      <c r="I85" s="1" t="str">
        <f aca="false">G85&amp;"-"&amp;E85</f>
        <v>S31-388-5</v>
      </c>
      <c r="J85" s="1" t="str">
        <f aca="false">D85&amp;G85</f>
        <v>388S31</v>
      </c>
      <c r="K85" s="1" t="n">
        <v>12.375</v>
      </c>
      <c r="L85" s="1" t="n">
        <v>10000</v>
      </c>
      <c r="M85" s="1" t="n">
        <v>1</v>
      </c>
      <c r="N85" s="1" t="n">
        <v>3</v>
      </c>
      <c r="O85" s="1" t="n">
        <f aca="false">N85*M85</f>
        <v>3</v>
      </c>
      <c r="P85" s="55" t="n">
        <f aca="false">IFERROR(_xlfn.xlookup(B85&amp;"-"&amp;G85&amp;"-"&amp;T85,'[1]Q item'!A$1:A$1048576,'[1]Q item'!L$1:L$1048576),"")</f>
        <v>3210</v>
      </c>
      <c r="Q85" s="55" t="n">
        <f aca="false">O85*L85</f>
        <v>30000</v>
      </c>
      <c r="R85" s="55" t="n">
        <f aca="false">K85*L85*12/1000</f>
        <v>1485</v>
      </c>
      <c r="S85" s="55" t="n">
        <f aca="false">K85*L85*12/1000*O85</f>
        <v>4455</v>
      </c>
      <c r="T85" s="55" t="n">
        <f aca="false">_xlfn.MAXIFS([1]Quote!D$1:D$1048576,[1]Quote!C$1:C$1048576,B85)</f>
        <v>8</v>
      </c>
      <c r="U85" s="55" t="str">
        <f aca="false">B85&amp;"-"&amp;G85&amp;"-"&amp;T85</f>
        <v>304-S31-8</v>
      </c>
      <c r="V85" s="56" t="n">
        <f aca="false">_xlfn.xlookup(B85&amp;"-"&amp;G85&amp;"-"&amp;T85,'[1]Q item'!A$1:A$1048576,'[1]Q item'!J$1:J$1048576)</f>
        <v>0.387</v>
      </c>
      <c r="W85" s="57" t="n">
        <f aca="false">R85*V85</f>
        <v>574.695</v>
      </c>
      <c r="X85" s="57" t="n">
        <f aca="false">S85*V85</f>
        <v>1724.085</v>
      </c>
      <c r="Y85" s="58" t="str">
        <f aca="false">_xlfn.xlookup(B85,[1]Clients!A$1:A$1048576,[1]Clients!Z$1:Z$1048576)</f>
        <v>CAD</v>
      </c>
      <c r="Z85" s="55" t="str">
        <f aca="false">G85&amp;"/"&amp;K85&amp;"/"&amp;L85/1000</f>
        <v>S31/12.375/10</v>
      </c>
      <c r="AA85" s="58" t="n">
        <f aca="false">O85*K85</f>
        <v>37.125</v>
      </c>
    </row>
    <row r="86" customFormat="false" ht="15" hidden="false" customHeight="false" outlineLevel="0" collapsed="false">
      <c r="A86" s="54" t="str">
        <f aca="false">_xlfn.xlookup(D86,'PO Client'!A:A,'PO Client'!C:C)</f>
        <v>Labelink</v>
      </c>
      <c r="B86" s="54" t="n">
        <f aca="false">_xlfn.xlookup(A86,[1]Clients!C$1:C$1048576,[1]Clients!A$1:A$1048576)</f>
        <v>304</v>
      </c>
      <c r="C86" s="54" t="n">
        <f aca="false">_xlfn.xlookup(D86,'PO Client'!A:A,'PO Client'!H:H)</f>
        <v>146349</v>
      </c>
      <c r="D86" s="55" t="n">
        <f aca="false">IF(F86=1,D85+1,D85)</f>
        <v>388</v>
      </c>
      <c r="E86" s="55" t="str">
        <f aca="false">D86&amp;"-"&amp;F86</f>
        <v>388-6</v>
      </c>
      <c r="F86" s="1" t="n">
        <v>6</v>
      </c>
      <c r="G86" s="1" t="s">
        <v>681</v>
      </c>
      <c r="I86" s="1" t="str">
        <f aca="false">G86&amp;"-"&amp;E86</f>
        <v>S31-388-6</v>
      </c>
      <c r="J86" s="1" t="str">
        <f aca="false">D86&amp;G86</f>
        <v>388S31</v>
      </c>
      <c r="K86" s="1" t="n">
        <v>4.875</v>
      </c>
      <c r="L86" s="1" t="n">
        <v>10000</v>
      </c>
      <c r="M86" s="1" t="n">
        <v>1</v>
      </c>
      <c r="N86" s="1" t="n">
        <v>1</v>
      </c>
      <c r="O86" s="1" t="n">
        <f aca="false">N86*M86</f>
        <v>1</v>
      </c>
      <c r="P86" s="55" t="n">
        <f aca="false">IFERROR(_xlfn.xlookup(B86&amp;"-"&amp;G86&amp;"-"&amp;T86,'[1]Q item'!A$1:A$1048576,'[1]Q item'!L$1:L$1048576),"")</f>
        <v>3210</v>
      </c>
      <c r="Q86" s="55" t="n">
        <f aca="false">O86*L86</f>
        <v>10000</v>
      </c>
      <c r="R86" s="55" t="n">
        <f aca="false">K86*L86*12/1000</f>
        <v>585</v>
      </c>
      <c r="S86" s="55" t="n">
        <f aca="false">K86*L86*12/1000*O86</f>
        <v>585</v>
      </c>
      <c r="T86" s="55" t="n">
        <f aca="false">_xlfn.MAXIFS([1]Quote!D$1:D$1048576,[1]Quote!C$1:C$1048576,B86)</f>
        <v>8</v>
      </c>
      <c r="U86" s="55" t="str">
        <f aca="false">B86&amp;"-"&amp;G86&amp;"-"&amp;T86</f>
        <v>304-S31-8</v>
      </c>
      <c r="V86" s="56" t="n">
        <f aca="false">_xlfn.xlookup(B86&amp;"-"&amp;G86&amp;"-"&amp;T86,'[1]Q item'!A$1:A$1048576,'[1]Q item'!J$1:J$1048576)</f>
        <v>0.387</v>
      </c>
      <c r="W86" s="57" t="n">
        <f aca="false">R86*V86</f>
        <v>226.395</v>
      </c>
      <c r="X86" s="57" t="n">
        <f aca="false">S86*V86</f>
        <v>226.395</v>
      </c>
      <c r="Y86" s="58" t="str">
        <f aca="false">_xlfn.xlookup(B86,[1]Clients!A$1:A$1048576,[1]Clients!Z$1:Z$1048576)</f>
        <v>CAD</v>
      </c>
      <c r="Z86" s="55" t="str">
        <f aca="false">G86&amp;"/"&amp;K86&amp;"/"&amp;L86/1000</f>
        <v>S31/4.875/10</v>
      </c>
      <c r="AA86" s="58" t="n">
        <f aca="false">O86*K86</f>
        <v>4.875</v>
      </c>
    </row>
    <row r="87" customFormat="false" ht="15" hidden="false" customHeight="false" outlineLevel="0" collapsed="false">
      <c r="A87" s="54" t="str">
        <f aca="false">_xlfn.xlookup(D87,'PO Client'!A:A,'PO Client'!C:C)</f>
        <v>Mijo</v>
      </c>
      <c r="B87" s="54" t="n">
        <f aca="false">_xlfn.xlookup(A87,[1]Clients!C$1:C$1048576,[1]Clients!A$1:A$1048576)</f>
        <v>315</v>
      </c>
      <c r="C87" s="54" t="n">
        <f aca="false">_xlfn.xlookup(D87,'PO Client'!A:A,'PO Client'!H:H)</f>
        <v>14395</v>
      </c>
      <c r="D87" s="55" t="n">
        <f aca="false">IF(F87=1,D86+1,D86)</f>
        <v>389</v>
      </c>
      <c r="E87" s="55" t="str">
        <f aca="false">D87&amp;"-"&amp;F87</f>
        <v>389-1</v>
      </c>
      <c r="F87" s="1" t="n">
        <v>1</v>
      </c>
      <c r="G87" s="1" t="s">
        <v>484</v>
      </c>
      <c r="I87" s="1" t="str">
        <f aca="false">G87&amp;"-"&amp;E87</f>
        <v>S15-389-1</v>
      </c>
      <c r="J87" s="1" t="str">
        <f aca="false">D87&amp;G87</f>
        <v>389S15</v>
      </c>
      <c r="K87" s="1" t="n">
        <v>8</v>
      </c>
      <c r="L87" s="1" t="n">
        <v>10000</v>
      </c>
      <c r="M87" s="1" t="n">
        <v>1</v>
      </c>
      <c r="N87" s="1" t="n">
        <v>6</v>
      </c>
      <c r="O87" s="1" t="n">
        <f aca="false">N87*M87</f>
        <v>6</v>
      </c>
      <c r="P87" s="55" t="n">
        <f aca="false">IFERROR(_xlfn.xlookup(B87&amp;"-"&amp;G87&amp;"-"&amp;T87,'[1]Q item'!A$1:A$1048576,'[1]Q item'!L$1:L$1048576),"")</f>
        <v>0</v>
      </c>
      <c r="Q87" s="55" t="n">
        <f aca="false">O87*L87</f>
        <v>60000</v>
      </c>
      <c r="R87" s="55" t="n">
        <f aca="false">K87*L87*12/1000</f>
        <v>960</v>
      </c>
      <c r="S87" s="55" t="n">
        <f aca="false">K87*L87*12/1000*O87</f>
        <v>5760</v>
      </c>
      <c r="T87" s="55" t="n">
        <f aca="false">_xlfn.MAXIFS([1]Quote!D$1:D$1048576,[1]Quote!C$1:C$1048576,B87)</f>
        <v>2</v>
      </c>
      <c r="U87" s="55" t="str">
        <f aca="false">B87&amp;"-"&amp;G87&amp;"-"&amp;T87</f>
        <v>315-S15-2</v>
      </c>
      <c r="V87" s="56" t="n">
        <f aca="false">_xlfn.xlookup(B87&amp;"-"&amp;G87&amp;"-"&amp;T87,'[1]Q item'!A$1:A$1048576,'[1]Q item'!J$1:J$1048576)</f>
        <v>0.348</v>
      </c>
      <c r="W87" s="57" t="n">
        <f aca="false">R87*V87</f>
        <v>334.08</v>
      </c>
      <c r="X87" s="57" t="n">
        <f aca="false">S87*V87</f>
        <v>2004.48</v>
      </c>
      <c r="Y87" s="58" t="str">
        <f aca="false">_xlfn.xlookup(B87,[1]Clients!A$1:A$1048576,[1]Clients!Z$1:Z$1048576)</f>
        <v>CAD</v>
      </c>
      <c r="Z87" s="55" t="str">
        <f aca="false">G87&amp;"/"&amp;K87&amp;"/"&amp;L87/1000</f>
        <v>S15/8/10</v>
      </c>
      <c r="AA87" s="58" t="n">
        <f aca="false">O87*K87</f>
        <v>48</v>
      </c>
    </row>
    <row r="88" customFormat="false" ht="15" hidden="false" customHeight="false" outlineLevel="0" collapsed="false">
      <c r="A88" s="54" t="str">
        <f aca="false">_xlfn.xlookup(D88,'PO Client'!A:A,'PO Client'!C:C)</f>
        <v>Mijo</v>
      </c>
      <c r="B88" s="54" t="n">
        <f aca="false">_xlfn.xlookup(A88,[1]Clients!C$1:C$1048576,[1]Clients!A$1:A$1048576)</f>
        <v>315</v>
      </c>
      <c r="C88" s="54" t="n">
        <f aca="false">_xlfn.xlookup(D88,'PO Client'!A:A,'PO Client'!H:H)</f>
        <v>14395</v>
      </c>
      <c r="D88" s="55" t="n">
        <f aca="false">IF(F88=1,D87+1,D87)</f>
        <v>389</v>
      </c>
      <c r="E88" s="55" t="str">
        <f aca="false">D88&amp;"-"&amp;F88</f>
        <v>389-2</v>
      </c>
      <c r="F88" s="1" t="n">
        <v>2</v>
      </c>
      <c r="G88" s="1" t="s">
        <v>484</v>
      </c>
      <c r="I88" s="1" t="str">
        <f aca="false">G88&amp;"-"&amp;E88</f>
        <v>S15-389-2</v>
      </c>
      <c r="J88" s="1" t="str">
        <f aca="false">D88&amp;G88</f>
        <v>389S15</v>
      </c>
      <c r="K88" s="1" t="n">
        <v>12</v>
      </c>
      <c r="L88" s="1" t="n">
        <v>10000</v>
      </c>
      <c r="M88" s="1" t="n">
        <v>1</v>
      </c>
      <c r="N88" s="1" t="n">
        <v>1</v>
      </c>
      <c r="O88" s="1" t="n">
        <f aca="false">N88*M88</f>
        <v>1</v>
      </c>
      <c r="P88" s="55" t="n">
        <f aca="false">IFERROR(_xlfn.xlookup(B88&amp;"-"&amp;G88&amp;"-"&amp;T88,'[1]Q item'!A$1:A$1048576,'[1]Q item'!L$1:L$1048576),"")</f>
        <v>0</v>
      </c>
      <c r="Q88" s="55" t="n">
        <f aca="false">O88*L88</f>
        <v>10000</v>
      </c>
      <c r="R88" s="55" t="n">
        <f aca="false">K88*L88*12/1000</f>
        <v>1440</v>
      </c>
      <c r="S88" s="55" t="n">
        <f aca="false">K88*L88*12/1000*O88</f>
        <v>1440</v>
      </c>
      <c r="T88" s="55" t="n">
        <f aca="false">_xlfn.MAXIFS([1]Quote!D$1:D$1048576,[1]Quote!C$1:C$1048576,B88)</f>
        <v>2</v>
      </c>
      <c r="U88" s="55" t="str">
        <f aca="false">B88&amp;"-"&amp;G88&amp;"-"&amp;T88</f>
        <v>315-S15-2</v>
      </c>
      <c r="V88" s="56" t="n">
        <f aca="false">_xlfn.xlookup(B88&amp;"-"&amp;G88&amp;"-"&amp;T88,'[1]Q item'!A$1:A$1048576,'[1]Q item'!J$1:J$1048576)</f>
        <v>0.348</v>
      </c>
      <c r="W88" s="57" t="n">
        <f aca="false">R88*V88</f>
        <v>501.12</v>
      </c>
      <c r="X88" s="57" t="n">
        <f aca="false">S88*V88</f>
        <v>501.12</v>
      </c>
      <c r="Y88" s="58" t="str">
        <f aca="false">_xlfn.xlookup(B88,[1]Clients!A$1:A$1048576,[1]Clients!Z$1:Z$1048576)</f>
        <v>CAD</v>
      </c>
      <c r="Z88" s="55" t="str">
        <f aca="false">G88&amp;"/"&amp;K88&amp;"/"&amp;L88/1000</f>
        <v>S15/12/10</v>
      </c>
      <c r="AA88" s="58" t="n">
        <f aca="false">O88*K88</f>
        <v>12</v>
      </c>
    </row>
    <row r="89" customFormat="false" ht="15" hidden="false" customHeight="false" outlineLevel="0" collapsed="false">
      <c r="A89" s="54" t="e">
        <f aca="false">_xlfn.xlookup(D89,'PO Client'!A:A,'PO Client'!C:C)</f>
        <v>#NAME?</v>
      </c>
      <c r="B89" s="54" t="e">
        <f aca="false">_xlfn.xlookup(A89,[1]Clients!C$1:C$1048576,[1]Clients!A$1:A$1048576)</f>
        <v>#NAME?</v>
      </c>
      <c r="C89" s="54" t="e">
        <f aca="false">_xlfn.xlookup(D89,'PO Client'!A:A,'PO Client'!H:H)</f>
        <v>#NAME?</v>
      </c>
      <c r="D89" s="55" t="n">
        <f aca="false">IF(F89=1,D88+1,D88)</f>
        <v>390</v>
      </c>
      <c r="E89" s="55" t="str">
        <f aca="false">D89&amp;"-"&amp;F89</f>
        <v>390-1</v>
      </c>
      <c r="F89" s="1" t="n">
        <v>1</v>
      </c>
      <c r="I89" s="1" t="str">
        <f aca="false">G89&amp;"-"&amp;E89</f>
        <v>-390-1</v>
      </c>
      <c r="J89" s="1" t="str">
        <f aca="false">D89&amp;G89</f>
        <v>390</v>
      </c>
      <c r="O89" s="1" t="n">
        <f aca="false">N89*M89</f>
        <v>0</v>
      </c>
      <c r="P89" s="55" t="str">
        <f aca="false">IFERROR(_xlfn.xlookup(B89&amp;"-"&amp;G89&amp;"-"&amp;T89,'[1]Q item'!A$1:A$1048576,'[1]Q item'!L$1:L$1048576),"")</f>
        <v/>
      </c>
      <c r="Q89" s="55" t="n">
        <f aca="false">O89*L89</f>
        <v>0</v>
      </c>
      <c r="R89" s="55" t="n">
        <f aca="false">K89*L89*12/1000</f>
        <v>0</v>
      </c>
      <c r="S89" s="55" t="n">
        <f aca="false">K89*L89*12/1000*O89</f>
        <v>0</v>
      </c>
      <c r="T89" s="55" t="n">
        <f aca="false">_xlfn.MAXIFS([1]Quote!D$1:D$1048576,[1]Quote!C$1:C$1048576,B89)</f>
        <v>0</v>
      </c>
      <c r="U89" s="55" t="e">
        <f aca="false">B89&amp;"-"&amp;G89&amp;"-"&amp;T89</f>
        <v>#NAME?</v>
      </c>
      <c r="V89" s="56" t="e">
        <f aca="false">_xlfn.xlookup(B89&amp;"-"&amp;G89&amp;"-"&amp;T89,'[1]Q item'!A$1:A$1048576,'[1]Q item'!J$1:J$1048576)</f>
        <v>#NAME?</v>
      </c>
      <c r="W89" s="57" t="e">
        <f aca="false">R89*V89</f>
        <v>#NAME?</v>
      </c>
      <c r="X89" s="57" t="e">
        <f aca="false">S89*V89</f>
        <v>#NAME?</v>
      </c>
      <c r="Y89" s="58" t="e">
        <f aca="false">_xlfn.xlookup(B89,[1]Clients!A$1:A$1048576,[1]Clients!Z$1:Z$1048576)</f>
        <v>#NAME?</v>
      </c>
      <c r="Z89" s="55" t="str">
        <f aca="false">G89&amp;"/"&amp;K89&amp;"/"&amp;L89/1000</f>
        <v>//0</v>
      </c>
      <c r="AA89" s="58" t="n">
        <f aca="false">O89*K89</f>
        <v>0</v>
      </c>
    </row>
    <row r="90" customFormat="false" ht="15" hidden="false" customHeight="false" outlineLevel="0" collapsed="false">
      <c r="A90" s="54" t="e">
        <f aca="false">_xlfn.xlookup(D90,'PO Client'!A:A,'PO Client'!C:C)</f>
        <v>#NAME?</v>
      </c>
      <c r="B90" s="54" t="e">
        <f aca="false">_xlfn.xlookup(A90,[1]Clients!C$1:C$1048576,[1]Clients!A$1:A$1048576)</f>
        <v>#NAME?</v>
      </c>
      <c r="C90" s="54" t="e">
        <f aca="false">_xlfn.xlookup(D90,'PO Client'!A:A,'PO Client'!H:H)</f>
        <v>#NAME?</v>
      </c>
      <c r="D90" s="55" t="n">
        <f aca="false">IF(F90=1,D89+1,D89)</f>
        <v>390</v>
      </c>
      <c r="E90" s="55" t="str">
        <f aca="false">D90&amp;"-"&amp;F90</f>
        <v>390-</v>
      </c>
      <c r="I90" s="1" t="str">
        <f aca="false">G90&amp;"-"&amp;E90</f>
        <v>-390-</v>
      </c>
      <c r="J90" s="1" t="str">
        <f aca="false">D90&amp;G90</f>
        <v>390</v>
      </c>
      <c r="O90" s="1" t="n">
        <f aca="false">N90*M90</f>
        <v>0</v>
      </c>
      <c r="P90" s="55" t="str">
        <f aca="false">IFERROR(_xlfn.xlookup(B90&amp;"-"&amp;G90&amp;"-"&amp;T90,'[1]Q item'!A$1:A$1048576,'[1]Q item'!L$1:L$1048576),"")</f>
        <v/>
      </c>
      <c r="Q90" s="55" t="n">
        <f aca="false">O90*L90</f>
        <v>0</v>
      </c>
      <c r="R90" s="55" t="n">
        <f aca="false">K90*L90*12/1000</f>
        <v>0</v>
      </c>
      <c r="S90" s="55" t="n">
        <f aca="false">K90*L90*12/1000*O90</f>
        <v>0</v>
      </c>
      <c r="T90" s="55" t="n">
        <f aca="false">_xlfn.MAXIFS([1]Quote!D$1:D$1048576,[1]Quote!C$1:C$1048576,B90)</f>
        <v>0</v>
      </c>
      <c r="U90" s="55" t="e">
        <f aca="false">B90&amp;"-"&amp;G90&amp;"-"&amp;T90</f>
        <v>#NAME?</v>
      </c>
      <c r="V90" s="56" t="e">
        <f aca="false">_xlfn.xlookup(B90&amp;"-"&amp;G90&amp;"-"&amp;T90,'[1]Q item'!A$1:A$1048576,'[1]Q item'!J$1:J$1048576)</f>
        <v>#NAME?</v>
      </c>
      <c r="W90" s="57" t="e">
        <f aca="false">R90*V90</f>
        <v>#NAME?</v>
      </c>
      <c r="X90" s="57" t="e">
        <f aca="false">S90*V90</f>
        <v>#NAME?</v>
      </c>
      <c r="Y90" s="58" t="e">
        <f aca="false">_xlfn.xlookup(B90,[1]Clients!A$1:A$1048576,[1]Clients!Z$1:Z$1048576)</f>
        <v>#NAME?</v>
      </c>
      <c r="Z90" s="55" t="str">
        <f aca="false">G90&amp;"/"&amp;K90&amp;"/"&amp;L90/1000</f>
        <v>//0</v>
      </c>
      <c r="AA90" s="58" t="n">
        <f aca="false">O90*K90</f>
        <v>0</v>
      </c>
    </row>
    <row r="91" customFormat="false" ht="15" hidden="false" customHeight="false" outlineLevel="0" collapsed="false">
      <c r="A91" s="54" t="e">
        <f aca="false">_xlfn.xlookup(D91,'PO Client'!A:A,'PO Client'!C:C)</f>
        <v>#NAME?</v>
      </c>
      <c r="B91" s="54" t="e">
        <f aca="false">_xlfn.xlookup(A91,[1]Clients!C$1:C$1048576,[1]Clients!A$1:A$1048576)</f>
        <v>#NAME?</v>
      </c>
      <c r="C91" s="54" t="e">
        <f aca="false">_xlfn.xlookup(D91,'PO Client'!A:A,'PO Client'!H:H)</f>
        <v>#NAME?</v>
      </c>
      <c r="D91" s="55" t="n">
        <f aca="false">IF(F91=1,D90+1,D90)</f>
        <v>390</v>
      </c>
      <c r="E91" s="55" t="str">
        <f aca="false">D91&amp;"-"&amp;F91</f>
        <v>390-</v>
      </c>
      <c r="I91" s="1" t="str">
        <f aca="false">G91&amp;"-"&amp;E91</f>
        <v>-390-</v>
      </c>
      <c r="J91" s="1" t="str">
        <f aca="false">D91&amp;G91</f>
        <v>390</v>
      </c>
      <c r="O91" s="1" t="n">
        <f aca="false">N91*M91</f>
        <v>0</v>
      </c>
      <c r="P91" s="55" t="str">
        <f aca="false">IFERROR(_xlfn.xlookup(B91&amp;"-"&amp;G91&amp;"-"&amp;T91,'[1]Q item'!A$1:A$1048576,'[1]Q item'!L$1:L$1048576),"")</f>
        <v/>
      </c>
      <c r="Q91" s="55" t="n">
        <f aca="false">O91*L91</f>
        <v>0</v>
      </c>
      <c r="R91" s="55" t="n">
        <f aca="false">K91*L91*12/1000</f>
        <v>0</v>
      </c>
      <c r="S91" s="55" t="n">
        <f aca="false">K91*L91*12/1000*O91</f>
        <v>0</v>
      </c>
      <c r="T91" s="55" t="n">
        <f aca="false">_xlfn.MAXIFS([1]Quote!D$1:D$1048576,[1]Quote!C$1:C$1048576,B91)</f>
        <v>0</v>
      </c>
      <c r="U91" s="55" t="e">
        <f aca="false">B91&amp;"-"&amp;G91&amp;"-"&amp;T91</f>
        <v>#NAME?</v>
      </c>
      <c r="V91" s="56" t="e">
        <f aca="false">_xlfn.xlookup(B91&amp;"-"&amp;G91&amp;"-"&amp;T91,'[1]Q item'!A$1:A$1048576,'[1]Q item'!J$1:J$1048576)</f>
        <v>#NAME?</v>
      </c>
      <c r="W91" s="57" t="e">
        <f aca="false">R91*V91</f>
        <v>#NAME?</v>
      </c>
      <c r="X91" s="57" t="e">
        <f aca="false">S91*V91</f>
        <v>#NAME?</v>
      </c>
      <c r="Y91" s="58" t="e">
        <f aca="false">_xlfn.xlookup(B91,[1]Clients!A$1:A$1048576,[1]Clients!Z$1:Z$1048576)</f>
        <v>#NAME?</v>
      </c>
      <c r="Z91" s="55" t="str">
        <f aca="false">G91&amp;"/"&amp;K91&amp;"/"&amp;L91/1000</f>
        <v>//0</v>
      </c>
      <c r="AA91" s="58" t="n">
        <f aca="false">O91*K91</f>
        <v>0</v>
      </c>
    </row>
    <row r="92" customFormat="false" ht="15" hidden="false" customHeight="false" outlineLevel="0" collapsed="false">
      <c r="A92" s="54" t="e">
        <f aca="false">_xlfn.xlookup(D92,'PO Client'!A:A,'PO Client'!C:C)</f>
        <v>#NAME?</v>
      </c>
      <c r="B92" s="54" t="e">
        <f aca="false">_xlfn.xlookup(A92,[1]Clients!C$1:C$1048576,[1]Clients!A$1:A$1048576)</f>
        <v>#NAME?</v>
      </c>
      <c r="C92" s="54" t="e">
        <f aca="false">_xlfn.xlookup(D92,'PO Client'!A:A,'PO Client'!H:H)</f>
        <v>#NAME?</v>
      </c>
      <c r="D92" s="55" t="n">
        <f aca="false">IF(F92=1,D91+1,D91)</f>
        <v>390</v>
      </c>
      <c r="E92" s="55" t="str">
        <f aca="false">D92&amp;"-"&amp;F92</f>
        <v>390-</v>
      </c>
      <c r="I92" s="1" t="str">
        <f aca="false">G92&amp;"-"&amp;E92</f>
        <v>-390-</v>
      </c>
      <c r="J92" s="1" t="str">
        <f aca="false">D92&amp;G92</f>
        <v>390</v>
      </c>
      <c r="O92" s="1" t="n">
        <f aca="false">N92*M92</f>
        <v>0</v>
      </c>
      <c r="P92" s="55" t="str">
        <f aca="false">IFERROR(_xlfn.xlookup(B92&amp;"-"&amp;G92&amp;"-"&amp;T92,'[1]Q item'!A$1:A$1048576,'[1]Q item'!L$1:L$1048576),"")</f>
        <v/>
      </c>
      <c r="Q92" s="55" t="n">
        <f aca="false">O92*L92</f>
        <v>0</v>
      </c>
      <c r="R92" s="55" t="n">
        <f aca="false">K92*L92*12/1000</f>
        <v>0</v>
      </c>
      <c r="S92" s="55" t="n">
        <f aca="false">K92*L92*12/1000*O92</f>
        <v>0</v>
      </c>
      <c r="T92" s="55" t="n">
        <f aca="false">_xlfn.MAXIFS([1]Quote!D$1:D$1048576,[1]Quote!C$1:C$1048576,B92)</f>
        <v>0</v>
      </c>
      <c r="U92" s="55" t="e">
        <f aca="false">B92&amp;"-"&amp;G92&amp;"-"&amp;T92</f>
        <v>#NAME?</v>
      </c>
      <c r="V92" s="56" t="e">
        <f aca="false">_xlfn.xlookup(B92&amp;"-"&amp;G92&amp;"-"&amp;T92,'[1]Q item'!A$1:A$1048576,'[1]Q item'!J$1:J$1048576)</f>
        <v>#NAME?</v>
      </c>
      <c r="W92" s="57" t="e">
        <f aca="false">R92*V92</f>
        <v>#NAME?</v>
      </c>
      <c r="X92" s="57" t="e">
        <f aca="false">S92*V92</f>
        <v>#NAME?</v>
      </c>
      <c r="Y92" s="58" t="e">
        <f aca="false">_xlfn.xlookup(B92,[1]Clients!A$1:A$1048576,[1]Clients!Z$1:Z$1048576)</f>
        <v>#NAME?</v>
      </c>
      <c r="Z92" s="55" t="str">
        <f aca="false">G92&amp;"/"&amp;K92&amp;"/"&amp;L92/1000</f>
        <v>//0</v>
      </c>
      <c r="AA92" s="58" t="n">
        <f aca="false">O92*K92</f>
        <v>0</v>
      </c>
    </row>
    <row r="93" customFormat="false" ht="15" hidden="false" customHeight="false" outlineLevel="0" collapsed="false">
      <c r="A93" s="54" t="e">
        <f aca="false">_xlfn.xlookup(D93,'PO Client'!A:A,'PO Client'!C:C)</f>
        <v>#NAME?</v>
      </c>
      <c r="B93" s="54" t="e">
        <f aca="false">_xlfn.xlookup(A93,[1]Clients!C$1:C$1048576,[1]Clients!A$1:A$1048576)</f>
        <v>#NAME?</v>
      </c>
      <c r="C93" s="54" t="e">
        <f aca="false">_xlfn.xlookup(D93,'PO Client'!A:A,'PO Client'!H:H)</f>
        <v>#NAME?</v>
      </c>
      <c r="D93" s="55" t="n">
        <f aca="false">IF(F93=1,D92+1,D92)</f>
        <v>390</v>
      </c>
      <c r="E93" s="55" t="str">
        <f aca="false">D93&amp;"-"&amp;F93</f>
        <v>390-</v>
      </c>
      <c r="I93" s="1" t="str">
        <f aca="false">G93&amp;"-"&amp;E93</f>
        <v>-390-</v>
      </c>
      <c r="J93" s="1" t="str">
        <f aca="false">D93&amp;G93</f>
        <v>390</v>
      </c>
      <c r="O93" s="1" t="n">
        <f aca="false">N93*M93</f>
        <v>0</v>
      </c>
      <c r="P93" s="55" t="str">
        <f aca="false">IFERROR(_xlfn.xlookup(B93&amp;"-"&amp;G93&amp;"-"&amp;T93,'[1]Q item'!A$1:A$1048576,'[1]Q item'!L$1:L$1048576),"")</f>
        <v/>
      </c>
      <c r="Q93" s="55" t="n">
        <f aca="false">O93*L93</f>
        <v>0</v>
      </c>
      <c r="R93" s="55" t="n">
        <f aca="false">K93*L93*12/1000</f>
        <v>0</v>
      </c>
      <c r="S93" s="55" t="n">
        <f aca="false">K93*L93*12/1000*O93</f>
        <v>0</v>
      </c>
      <c r="T93" s="55" t="n">
        <f aca="false">_xlfn.MAXIFS([1]Quote!D$1:D$1048576,[1]Quote!C$1:C$1048576,B93)</f>
        <v>0</v>
      </c>
      <c r="U93" s="55" t="e">
        <f aca="false">B93&amp;"-"&amp;G93&amp;"-"&amp;T93</f>
        <v>#NAME?</v>
      </c>
      <c r="V93" s="56" t="e">
        <f aca="false">_xlfn.xlookup(B93&amp;"-"&amp;G93&amp;"-"&amp;T93,'[1]Q item'!A$1:A$1048576,'[1]Q item'!J$1:J$1048576)</f>
        <v>#NAME?</v>
      </c>
      <c r="W93" s="57" t="e">
        <f aca="false">R93*V93</f>
        <v>#NAME?</v>
      </c>
      <c r="X93" s="57" t="e">
        <f aca="false">S93*V93</f>
        <v>#NAME?</v>
      </c>
      <c r="Y93" s="58" t="e">
        <f aca="false">_xlfn.xlookup(B93,[1]Clients!A$1:A$1048576,[1]Clients!Z$1:Z$1048576)</f>
        <v>#NAME?</v>
      </c>
      <c r="Z93" s="55" t="str">
        <f aca="false">G93&amp;"/"&amp;K93&amp;"/"&amp;L93/1000</f>
        <v>//0</v>
      </c>
      <c r="AA93" s="58" t="n">
        <f aca="false">O93*K93</f>
        <v>0</v>
      </c>
    </row>
    <row r="94" customFormat="false" ht="15" hidden="false" customHeight="false" outlineLevel="0" collapsed="false">
      <c r="A94" s="54" t="e">
        <f aca="false">_xlfn.xlookup(D94,'PO Client'!A:A,'PO Client'!C:C)</f>
        <v>#NAME?</v>
      </c>
      <c r="B94" s="54" t="e">
        <f aca="false">_xlfn.xlookup(A94,[1]Clients!C$1:C$1048576,[1]Clients!A$1:A$1048576)</f>
        <v>#NAME?</v>
      </c>
      <c r="C94" s="54" t="e">
        <f aca="false">_xlfn.xlookup(D94,'PO Client'!A:A,'PO Client'!H:H)</f>
        <v>#NAME?</v>
      </c>
      <c r="D94" s="55" t="n">
        <f aca="false">IF(F94=1,D93+1,D93)</f>
        <v>390</v>
      </c>
      <c r="E94" s="55" t="str">
        <f aca="false">D94&amp;"-"&amp;F94</f>
        <v>390-</v>
      </c>
      <c r="I94" s="1" t="str">
        <f aca="false">G94&amp;"-"&amp;E94</f>
        <v>-390-</v>
      </c>
      <c r="J94" s="1" t="str">
        <f aca="false">D94&amp;G94</f>
        <v>390</v>
      </c>
      <c r="O94" s="1" t="n">
        <f aca="false">N94*M94</f>
        <v>0</v>
      </c>
      <c r="P94" s="55" t="str">
        <f aca="false">IFERROR(_xlfn.xlookup(B94&amp;"-"&amp;G94&amp;"-"&amp;T94,'[1]Q item'!A$1:A$1048576,'[1]Q item'!L$1:L$1048576),"")</f>
        <v/>
      </c>
      <c r="Q94" s="55" t="n">
        <f aca="false">O94*L94</f>
        <v>0</v>
      </c>
      <c r="R94" s="55" t="n">
        <f aca="false">K94*L94*12/1000</f>
        <v>0</v>
      </c>
      <c r="S94" s="55" t="n">
        <f aca="false">K94*L94*12/1000*O94</f>
        <v>0</v>
      </c>
      <c r="T94" s="55" t="n">
        <f aca="false">_xlfn.MAXIFS([1]Quote!D$1:D$1048576,[1]Quote!C$1:C$1048576,B94)</f>
        <v>0</v>
      </c>
      <c r="U94" s="55" t="e">
        <f aca="false">B94&amp;"-"&amp;G94&amp;"-"&amp;T94</f>
        <v>#NAME?</v>
      </c>
      <c r="V94" s="56" t="e">
        <f aca="false">_xlfn.xlookup(B94&amp;"-"&amp;G94&amp;"-"&amp;T94,'[1]Q item'!A$1:A$1048576,'[1]Q item'!J$1:J$1048576)</f>
        <v>#NAME?</v>
      </c>
      <c r="W94" s="57" t="e">
        <f aca="false">R94*V94</f>
        <v>#NAME?</v>
      </c>
      <c r="X94" s="57" t="e">
        <f aca="false">S94*V94</f>
        <v>#NAME?</v>
      </c>
      <c r="Y94" s="58" t="e">
        <f aca="false">_xlfn.xlookup(B94,[1]Clients!A$1:A$1048576,[1]Clients!Z$1:Z$1048576)</f>
        <v>#NAME?</v>
      </c>
      <c r="Z94" s="55" t="str">
        <f aca="false">G94&amp;"/"&amp;K94&amp;"/"&amp;L94/1000</f>
        <v>//0</v>
      </c>
      <c r="AA94" s="58" t="n">
        <f aca="false">O94*K94</f>
        <v>0</v>
      </c>
    </row>
    <row r="95" customFormat="false" ht="15" hidden="false" customHeight="false" outlineLevel="0" collapsed="false">
      <c r="A95" s="54" t="e">
        <f aca="false">_xlfn.xlookup(D95,'PO Client'!A:A,'PO Client'!C:C)</f>
        <v>#NAME?</v>
      </c>
      <c r="B95" s="54" t="e">
        <f aca="false">_xlfn.xlookup(A95,[1]Clients!C$1:C$1048576,[1]Clients!A$1:A$1048576)</f>
        <v>#NAME?</v>
      </c>
      <c r="C95" s="54" t="e">
        <f aca="false">_xlfn.xlookup(D95,'PO Client'!A:A,'PO Client'!H:H)</f>
        <v>#NAME?</v>
      </c>
      <c r="D95" s="55" t="n">
        <f aca="false">IF(F95=1,D94+1,D94)</f>
        <v>390</v>
      </c>
      <c r="E95" s="55" t="str">
        <f aca="false">D95&amp;"-"&amp;F95</f>
        <v>390-</v>
      </c>
      <c r="I95" s="1" t="str">
        <f aca="false">G95&amp;"-"&amp;E95</f>
        <v>-390-</v>
      </c>
      <c r="J95" s="1" t="str">
        <f aca="false">D95&amp;G95</f>
        <v>390</v>
      </c>
      <c r="O95" s="1" t="n">
        <f aca="false">N95*M95</f>
        <v>0</v>
      </c>
      <c r="P95" s="55" t="str">
        <f aca="false">IFERROR(_xlfn.xlookup(B95&amp;"-"&amp;G95&amp;"-"&amp;T95,'[1]Q item'!A$1:A$1048576,'[1]Q item'!L$1:L$1048576),"")</f>
        <v/>
      </c>
      <c r="Q95" s="55" t="n">
        <f aca="false">O95*L95</f>
        <v>0</v>
      </c>
      <c r="R95" s="55" t="n">
        <f aca="false">K95*L95*12/1000</f>
        <v>0</v>
      </c>
      <c r="S95" s="55" t="n">
        <f aca="false">K95*L95*12/1000*O95</f>
        <v>0</v>
      </c>
      <c r="T95" s="55" t="n">
        <f aca="false">_xlfn.MAXIFS([1]Quote!D$1:D$1048576,[1]Quote!C$1:C$1048576,B95)</f>
        <v>0</v>
      </c>
      <c r="U95" s="55" t="e">
        <f aca="false">B95&amp;"-"&amp;G95&amp;"-"&amp;T95</f>
        <v>#NAME?</v>
      </c>
      <c r="V95" s="56" t="e">
        <f aca="false">_xlfn.xlookup(B95&amp;"-"&amp;G95&amp;"-"&amp;T95,'[1]Q item'!A$1:A$1048576,'[1]Q item'!J$1:J$1048576)</f>
        <v>#NAME?</v>
      </c>
      <c r="W95" s="57" t="e">
        <f aca="false">R95*V95</f>
        <v>#NAME?</v>
      </c>
      <c r="X95" s="57" t="e">
        <f aca="false">S95*V95</f>
        <v>#NAME?</v>
      </c>
      <c r="Y95" s="58" t="e">
        <f aca="false">_xlfn.xlookup(B95,[1]Clients!A$1:A$1048576,[1]Clients!Z$1:Z$1048576)</f>
        <v>#NAME?</v>
      </c>
      <c r="Z95" s="55" t="str">
        <f aca="false">G95&amp;"/"&amp;K95&amp;"/"&amp;L95/1000</f>
        <v>//0</v>
      </c>
      <c r="AA95" s="58" t="n">
        <f aca="false">O95*K95</f>
        <v>0</v>
      </c>
    </row>
    <row r="96" customFormat="false" ht="15" hidden="false" customHeight="false" outlineLevel="0" collapsed="false">
      <c r="A96" s="54" t="e">
        <f aca="false">_xlfn.xlookup(D96,'PO Client'!A:A,'PO Client'!C:C)</f>
        <v>#NAME?</v>
      </c>
      <c r="B96" s="54" t="e">
        <f aca="false">_xlfn.xlookup(A96,[1]Clients!C$1:C$1048576,[1]Clients!A$1:A$1048576)</f>
        <v>#NAME?</v>
      </c>
      <c r="C96" s="54" t="e">
        <f aca="false">_xlfn.xlookup(D96,'PO Client'!A:A,'PO Client'!H:H)</f>
        <v>#NAME?</v>
      </c>
      <c r="D96" s="55" t="n">
        <f aca="false">IF(F96=1,D95+1,D95)</f>
        <v>390</v>
      </c>
      <c r="E96" s="55" t="str">
        <f aca="false">D96&amp;"-"&amp;F96</f>
        <v>390-</v>
      </c>
      <c r="I96" s="1" t="str">
        <f aca="false">G96&amp;"-"&amp;E96</f>
        <v>-390-</v>
      </c>
      <c r="J96" s="1" t="str">
        <f aca="false">D96&amp;G96</f>
        <v>390</v>
      </c>
      <c r="O96" s="1" t="n">
        <f aca="false">N96*M96</f>
        <v>0</v>
      </c>
      <c r="P96" s="55" t="str">
        <f aca="false">IFERROR(_xlfn.xlookup(B96&amp;"-"&amp;G96&amp;"-"&amp;T96,'[1]Q item'!A$1:A$1048576,'[1]Q item'!L$1:L$1048576),"")</f>
        <v/>
      </c>
      <c r="Q96" s="55" t="n">
        <f aca="false">O96*L96</f>
        <v>0</v>
      </c>
      <c r="R96" s="55" t="n">
        <f aca="false">K96*L96*12/1000</f>
        <v>0</v>
      </c>
      <c r="S96" s="55" t="n">
        <f aca="false">K96*L96*12/1000*O96</f>
        <v>0</v>
      </c>
      <c r="T96" s="55" t="n">
        <f aca="false">_xlfn.MAXIFS([1]Quote!D$1:D$1048576,[1]Quote!C$1:C$1048576,B96)</f>
        <v>0</v>
      </c>
      <c r="U96" s="55" t="e">
        <f aca="false">B96&amp;"-"&amp;G96&amp;"-"&amp;T96</f>
        <v>#NAME?</v>
      </c>
      <c r="V96" s="56" t="e">
        <f aca="false">_xlfn.xlookup(B96&amp;"-"&amp;G96&amp;"-"&amp;T96,'[1]Q item'!A$1:A$1048576,'[1]Q item'!J$1:J$1048576)</f>
        <v>#NAME?</v>
      </c>
      <c r="W96" s="57" t="e">
        <f aca="false">R96*V96</f>
        <v>#NAME?</v>
      </c>
      <c r="X96" s="57" t="e">
        <f aca="false">S96*V96</f>
        <v>#NAME?</v>
      </c>
      <c r="Y96" s="58" t="e">
        <f aca="false">_xlfn.xlookup(B96,[1]Clients!A$1:A$1048576,[1]Clients!Z$1:Z$1048576)</f>
        <v>#NAME?</v>
      </c>
      <c r="Z96" s="55" t="str">
        <f aca="false">G96&amp;"/"&amp;K96&amp;"/"&amp;L96/1000</f>
        <v>//0</v>
      </c>
      <c r="AA96" s="58" t="n">
        <f aca="false">O96*K96</f>
        <v>0</v>
      </c>
    </row>
    <row r="97" customFormat="false" ht="15" hidden="false" customHeight="false" outlineLevel="0" collapsed="false">
      <c r="A97" s="54" t="e">
        <f aca="false">_xlfn.xlookup(D97,'PO Client'!A:A,'PO Client'!C:C)</f>
        <v>#NAME?</v>
      </c>
      <c r="B97" s="54" t="e">
        <f aca="false">_xlfn.xlookup(A97,[1]Clients!C$1:C$1048576,[1]Clients!A$1:A$1048576)</f>
        <v>#NAME?</v>
      </c>
      <c r="C97" s="54" t="e">
        <f aca="false">_xlfn.xlookup(D97,'PO Client'!A:A,'PO Client'!H:H)</f>
        <v>#NAME?</v>
      </c>
      <c r="D97" s="55" t="n">
        <f aca="false">IF(F97=1,D96+1,D96)</f>
        <v>390</v>
      </c>
      <c r="E97" s="55" t="str">
        <f aca="false">D97&amp;"-"&amp;F97</f>
        <v>390-</v>
      </c>
      <c r="I97" s="1" t="str">
        <f aca="false">G97&amp;"-"&amp;E97</f>
        <v>-390-</v>
      </c>
      <c r="J97" s="1" t="str">
        <f aca="false">D97&amp;G97</f>
        <v>390</v>
      </c>
      <c r="O97" s="1" t="n">
        <f aca="false">N97*M97</f>
        <v>0</v>
      </c>
      <c r="P97" s="55" t="str">
        <f aca="false">IFERROR(_xlfn.xlookup(B97&amp;"-"&amp;G97&amp;"-"&amp;T97,'[1]Q item'!A$1:A$1048576,'[1]Q item'!L$1:L$1048576),"")</f>
        <v/>
      </c>
      <c r="Q97" s="55" t="n">
        <f aca="false">O97*L97</f>
        <v>0</v>
      </c>
      <c r="R97" s="55" t="n">
        <f aca="false">K97*L97*12/1000</f>
        <v>0</v>
      </c>
      <c r="S97" s="55" t="n">
        <f aca="false">K97*L97*12/1000*O97</f>
        <v>0</v>
      </c>
      <c r="T97" s="55" t="n">
        <f aca="false">_xlfn.MAXIFS([1]Quote!D$1:D$1048576,[1]Quote!C$1:C$1048576,B97)</f>
        <v>0</v>
      </c>
      <c r="U97" s="55" t="e">
        <f aca="false">B97&amp;"-"&amp;G97&amp;"-"&amp;T97</f>
        <v>#NAME?</v>
      </c>
      <c r="V97" s="56" t="e">
        <f aca="false">_xlfn.xlookup(B97&amp;"-"&amp;G97&amp;"-"&amp;T97,'[1]Q item'!A$1:A$1048576,'[1]Q item'!J$1:J$1048576)</f>
        <v>#NAME?</v>
      </c>
      <c r="W97" s="57" t="e">
        <f aca="false">R97*V97</f>
        <v>#NAME?</v>
      </c>
      <c r="X97" s="57" t="e">
        <f aca="false">S97*V97</f>
        <v>#NAME?</v>
      </c>
      <c r="Y97" s="58" t="e">
        <f aca="false">_xlfn.xlookup(B97,[1]Clients!A$1:A$1048576,[1]Clients!Z$1:Z$1048576)</f>
        <v>#NAME?</v>
      </c>
      <c r="Z97" s="55" t="str">
        <f aca="false">G97&amp;"/"&amp;K97&amp;"/"&amp;L97/1000</f>
        <v>//0</v>
      </c>
      <c r="AA97" s="58" t="n">
        <f aca="false">O97*K97</f>
        <v>0</v>
      </c>
    </row>
    <row r="98" customFormat="false" ht="15" hidden="false" customHeight="false" outlineLevel="0" collapsed="false">
      <c r="A98" s="54" t="e">
        <f aca="false">_xlfn.xlookup(D98,'PO Client'!A:A,'PO Client'!C:C)</f>
        <v>#NAME?</v>
      </c>
      <c r="B98" s="54" t="e">
        <f aca="false">_xlfn.xlookup(A98,[1]Clients!C$1:C$1048576,[1]Clients!A$1:A$1048576)</f>
        <v>#NAME?</v>
      </c>
      <c r="C98" s="54" t="e">
        <f aca="false">_xlfn.xlookup(D98,'PO Client'!A:A,'PO Client'!H:H)</f>
        <v>#NAME?</v>
      </c>
      <c r="D98" s="55" t="n">
        <f aca="false">IF(F98=1,D97+1,D97)</f>
        <v>390</v>
      </c>
      <c r="E98" s="55" t="str">
        <f aca="false">D98&amp;"-"&amp;F98</f>
        <v>390-</v>
      </c>
      <c r="I98" s="1" t="str">
        <f aca="false">G98&amp;"-"&amp;E98</f>
        <v>-390-</v>
      </c>
      <c r="J98" s="1" t="str">
        <f aca="false">D98&amp;G98</f>
        <v>390</v>
      </c>
      <c r="O98" s="1" t="n">
        <f aca="false">N98*M98</f>
        <v>0</v>
      </c>
      <c r="P98" s="55" t="str">
        <f aca="false">IFERROR(_xlfn.xlookup(B98&amp;"-"&amp;G98&amp;"-"&amp;T98,'[1]Q item'!A$1:A$1048576,'[1]Q item'!L$1:L$1048576),"")</f>
        <v/>
      </c>
      <c r="Q98" s="55" t="n">
        <f aca="false">O98*L98</f>
        <v>0</v>
      </c>
      <c r="R98" s="55" t="n">
        <f aca="false">K98*L98*12/1000</f>
        <v>0</v>
      </c>
      <c r="S98" s="55" t="n">
        <f aca="false">K98*L98*12/1000*O98</f>
        <v>0</v>
      </c>
      <c r="T98" s="55" t="n">
        <f aca="false">_xlfn.MAXIFS([1]Quote!D$1:D$1048576,[1]Quote!C$1:C$1048576,B98)</f>
        <v>0</v>
      </c>
      <c r="U98" s="55" t="e">
        <f aca="false">B98&amp;"-"&amp;G98&amp;"-"&amp;T98</f>
        <v>#NAME?</v>
      </c>
      <c r="V98" s="56" t="e">
        <f aca="false">_xlfn.xlookup(B98&amp;"-"&amp;G98&amp;"-"&amp;T98,'[1]Q item'!A$1:A$1048576,'[1]Q item'!J$1:J$1048576)</f>
        <v>#NAME?</v>
      </c>
      <c r="W98" s="57" t="e">
        <f aca="false">R98*V98</f>
        <v>#NAME?</v>
      </c>
      <c r="X98" s="57" t="e">
        <f aca="false">S98*V98</f>
        <v>#NAME?</v>
      </c>
      <c r="Y98" s="58" t="e">
        <f aca="false">_xlfn.xlookup(B98,[1]Clients!A$1:A$1048576,[1]Clients!Z$1:Z$1048576)</f>
        <v>#NAME?</v>
      </c>
      <c r="Z98" s="55" t="str">
        <f aca="false">G98&amp;"/"&amp;K98&amp;"/"&amp;L98/1000</f>
        <v>//0</v>
      </c>
      <c r="AA98" s="58" t="n">
        <f aca="false">O98*K98</f>
        <v>0</v>
      </c>
    </row>
    <row r="99" customFormat="false" ht="15" hidden="false" customHeight="false" outlineLevel="0" collapsed="false">
      <c r="A99" s="54" t="e">
        <f aca="false">_xlfn.xlookup(D99,'PO Client'!A:A,'PO Client'!C:C)</f>
        <v>#NAME?</v>
      </c>
      <c r="B99" s="54" t="e">
        <f aca="false">_xlfn.xlookup(A99,[1]Clients!C$1:C$1048576,[1]Clients!A$1:A$1048576)</f>
        <v>#NAME?</v>
      </c>
      <c r="C99" s="54" t="e">
        <f aca="false">_xlfn.xlookup(D99,'PO Client'!A:A,'PO Client'!H:H)</f>
        <v>#NAME?</v>
      </c>
      <c r="D99" s="55" t="n">
        <f aca="false">IF(F99=1,D98+1,D98)</f>
        <v>390</v>
      </c>
      <c r="E99" s="55" t="str">
        <f aca="false">D99&amp;"-"&amp;F99</f>
        <v>390-</v>
      </c>
      <c r="I99" s="1" t="str">
        <f aca="false">G99&amp;"-"&amp;E99</f>
        <v>-390-</v>
      </c>
      <c r="J99" s="1" t="str">
        <f aca="false">D99&amp;G99</f>
        <v>390</v>
      </c>
      <c r="O99" s="1" t="n">
        <f aca="false">N99*M99</f>
        <v>0</v>
      </c>
      <c r="P99" s="55" t="str">
        <f aca="false">IFERROR(_xlfn.xlookup(B99&amp;"-"&amp;G99&amp;"-"&amp;T99,'[1]Q item'!A$1:A$1048576,'[1]Q item'!L$1:L$1048576),"")</f>
        <v/>
      </c>
      <c r="Q99" s="55" t="n">
        <f aca="false">O99*L99</f>
        <v>0</v>
      </c>
      <c r="R99" s="55" t="n">
        <f aca="false">K99*L99*12/1000</f>
        <v>0</v>
      </c>
      <c r="S99" s="55" t="n">
        <f aca="false">K99*L99*12/1000*O99</f>
        <v>0</v>
      </c>
      <c r="T99" s="55" t="n">
        <f aca="false">_xlfn.MAXIFS([1]Quote!D$1:D$1048576,[1]Quote!C$1:C$1048576,B99)</f>
        <v>0</v>
      </c>
      <c r="U99" s="55" t="e">
        <f aca="false">B99&amp;"-"&amp;G99&amp;"-"&amp;T99</f>
        <v>#NAME?</v>
      </c>
      <c r="V99" s="56" t="e">
        <f aca="false">_xlfn.xlookup(B99&amp;"-"&amp;G99&amp;"-"&amp;T99,'[1]Q item'!A$1:A$1048576,'[1]Q item'!J$1:J$1048576)</f>
        <v>#NAME?</v>
      </c>
      <c r="W99" s="57" t="e">
        <f aca="false">R99*V99</f>
        <v>#NAME?</v>
      </c>
      <c r="X99" s="57" t="e">
        <f aca="false">S99*V99</f>
        <v>#NAME?</v>
      </c>
      <c r="Y99" s="58" t="e">
        <f aca="false">_xlfn.xlookup(B99,[1]Clients!A$1:A$1048576,[1]Clients!Z$1:Z$1048576)</f>
        <v>#NAME?</v>
      </c>
      <c r="Z99" s="55" t="str">
        <f aca="false">G99&amp;"/"&amp;K99&amp;"/"&amp;L99/1000</f>
        <v>//0</v>
      </c>
      <c r="AA99" s="58" t="n">
        <f aca="false">O99*K99</f>
        <v>0</v>
      </c>
    </row>
  </sheetData>
  <autoFilter ref="A1:AA64"/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C5:AO67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Q26" activeCellId="0" sqref="AQ26"/>
    </sheetView>
  </sheetViews>
  <sheetFormatPr defaultColWidth="8.59765625" defaultRowHeight="15" zeroHeight="false" outlineLevelRow="0" outlineLevelCol="0"/>
  <cols>
    <col collapsed="false" customWidth="true" hidden="false" outlineLevel="0" max="36" min="1" style="0" width="2.71"/>
    <col collapsed="false" customWidth="true" hidden="false" outlineLevel="0" max="37" min="37" style="0" width="4.43"/>
    <col collapsed="false" customWidth="true" hidden="true" outlineLevel="0" max="38" min="38" style="1" width="9.14"/>
    <col collapsed="false" customWidth="true" hidden="true" outlineLevel="0" max="39" min="39" style="0" width="5.71"/>
    <col collapsed="false" customWidth="true" hidden="false" outlineLevel="0" max="40" min="40" style="0" width="11.15"/>
  </cols>
  <sheetData>
    <row r="5" customFormat="false" ht="21" hidden="false" customHeight="true" outlineLevel="0" collapsed="false">
      <c r="V5" s="59" t="str">
        <f aca="false">IF($AM$5="F","CONFIRMATION DE COMMANDE","ORDER CONFIRMATION")</f>
        <v>ORDER CONFIRMATION</v>
      </c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L5" s="45" t="s">
        <v>682</v>
      </c>
      <c r="AM5" s="0" t="str">
        <f aca="false">_xlfn.xlookup($C$12,[1]Clients!B$1:B$1048576,[1]Clients!D$1:D$1048576,FALSE())</f>
        <v>A</v>
      </c>
      <c r="AN5" s="60" t="str">
        <f aca="false">"Dernière comm: "&amp;MAX('PO item'!D:D)</f>
        <v>Dernière comm: 390</v>
      </c>
      <c r="AO5" s="60"/>
    </row>
    <row r="6" s="61" customFormat="true" ht="25.5" hidden="false" customHeight="true" outlineLevel="0" collapsed="false">
      <c r="C6" s="62" t="s">
        <v>683</v>
      </c>
      <c r="D6" s="63"/>
      <c r="E6" s="63"/>
      <c r="AL6" s="64"/>
    </row>
    <row r="7" s="61" customFormat="true" ht="15" hidden="false" customHeight="false" outlineLevel="0" collapsed="false">
      <c r="C7" s="61" t="s">
        <v>684</v>
      </c>
      <c r="V7" s="63" t="s">
        <v>0</v>
      </c>
      <c r="Z7" s="65" t="n">
        <v>389</v>
      </c>
      <c r="AA7" s="65"/>
      <c r="AB7" s="65"/>
      <c r="AC7" s="65"/>
      <c r="AD7" s="65"/>
      <c r="AE7" s="65"/>
      <c r="AF7" s="65"/>
      <c r="AG7" s="65"/>
      <c r="AH7" s="65"/>
      <c r="AI7" s="65"/>
      <c r="AJ7" s="65"/>
    </row>
    <row r="8" s="61" customFormat="true" ht="15" hidden="false" customHeight="false" outlineLevel="0" collapsed="false">
      <c r="C8" s="61" t="s">
        <v>685</v>
      </c>
      <c r="V8" s="63" t="str">
        <f aca="false">IF(AM5="F","Date","")</f>
        <v/>
      </c>
      <c r="Z8" s="66" t="str">
        <f aca="false">IF(AM5="f",_xlfn.xlookup($Z$7,'PO Client'!A:A,'PO Client'!F:F,FALSE()),"")</f>
        <v/>
      </c>
      <c r="AA8" s="66"/>
      <c r="AB8" s="66"/>
      <c r="AC8" s="66"/>
      <c r="AD8" s="66"/>
      <c r="AE8" s="66"/>
      <c r="AF8" s="66"/>
      <c r="AG8" s="66"/>
      <c r="AH8" s="66"/>
      <c r="AI8" s="66"/>
      <c r="AJ8" s="66"/>
      <c r="AL8" s="67"/>
      <c r="AM8" s="67"/>
      <c r="AN8" s="67"/>
      <c r="AO8" s="67"/>
    </row>
    <row r="9" s="61" customFormat="true" ht="17.9" hidden="false" customHeight="false" outlineLevel="0" collapsed="false">
      <c r="C9" s="68" t="s">
        <v>686</v>
      </c>
      <c r="D9" s="68"/>
      <c r="E9" s="68"/>
      <c r="F9" s="68"/>
      <c r="G9" s="68"/>
      <c r="H9" s="68"/>
      <c r="I9" s="68"/>
      <c r="J9" s="68"/>
      <c r="K9" s="68"/>
      <c r="L9" s="61" t="s">
        <v>687</v>
      </c>
      <c r="V9" s="63" t="str">
        <f aca="false">IF(AM5="A","Date","")</f>
        <v>Date</v>
      </c>
      <c r="Z9" s="69" t="n">
        <f aca="false">IF(AM5="A",_xlfn.xlookup($Z$7,'PO Client'!A:A,'PO Client'!F:F,FALSE()),"")</f>
        <v>45733</v>
      </c>
      <c r="AA9" s="69"/>
      <c r="AB9" s="69"/>
      <c r="AC9" s="69"/>
      <c r="AD9" s="69"/>
      <c r="AE9" s="69"/>
      <c r="AF9" s="69"/>
      <c r="AG9" s="69"/>
      <c r="AH9" s="69"/>
      <c r="AI9" s="69"/>
      <c r="AJ9" s="69"/>
      <c r="AL9" s="67"/>
      <c r="AM9" s="67"/>
      <c r="AN9" s="67"/>
      <c r="AO9" s="67"/>
    </row>
    <row r="10" customFormat="false" ht="9" hidden="false" customHeight="true" outlineLevel="0" collapsed="false">
      <c r="AM10" s="1"/>
      <c r="AN10" s="1"/>
      <c r="AO10" s="1"/>
    </row>
    <row r="11" customFormat="false" ht="15" hidden="false" customHeight="false" outlineLevel="0" collapsed="false">
      <c r="C11" s="70" t="str">
        <f aca="false">IF($AM$5="F","Client","Customer")</f>
        <v>Customer</v>
      </c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V11" s="70" t="str">
        <f aca="false">IF($AM$5="F","Adresse Livraison","Ship to")</f>
        <v>Ship to</v>
      </c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L11" s="71"/>
      <c r="AM11" s="71"/>
      <c r="AN11" s="71"/>
      <c r="AO11" s="71"/>
    </row>
    <row r="12" s="72" customFormat="true" ht="15" hidden="false" customHeight="true" outlineLevel="0" collapsed="false">
      <c r="C12" s="73" t="str">
        <f aca="false">_xlfn.xlookup($Z$7,'PO Client'!A:A,'PO Client'!B:B)</f>
        <v>Emballages Mijo</v>
      </c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4"/>
      <c r="S12" s="74"/>
      <c r="T12" s="74"/>
      <c r="U12" s="74"/>
      <c r="V12" s="73" t="str">
        <f aca="false">_xlfn.xlookup($Z$7,'PO Client'!A:A,'PO Client'!D:D)</f>
        <v>Emballages Mijo</v>
      </c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L12" s="75"/>
      <c r="AM12" s="75"/>
      <c r="AN12" s="75"/>
      <c r="AO12" s="75"/>
    </row>
    <row r="13" customFormat="false" ht="12.75" hidden="false" customHeight="true" outlineLevel="0" collapsed="false">
      <c r="C13" s="76" t="str">
        <f aca="false">_xlfn.xlookup($C$12,[1]Clients!B$1:B$1048576,[1]Clients!E$1:E$1048576,)</f>
        <v>145 rue Graveline</v>
      </c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7"/>
      <c r="S13" s="77"/>
      <c r="T13" s="77"/>
      <c r="U13" s="77"/>
      <c r="V13" s="76" t="str">
        <f aca="false">_xlfn.xlookup($V$12,[1]Clients!B$1:B$1048576,[1]Clients!E$1:E$1048576,FALSE())</f>
        <v>145 rue Graveline</v>
      </c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M13" s="1"/>
      <c r="AN13" s="1"/>
      <c r="AO13" s="1"/>
    </row>
    <row r="14" customFormat="false" ht="12.75" hidden="false" customHeight="true" outlineLevel="0" collapsed="false">
      <c r="C14" s="76" t="str">
        <f aca="false">(_xlfn.xlookup($C$12,[1]Clients!B$1:B$1048576,[1]Clients!F$1:F$1048576,FALSE()))&amp;", "&amp;(_xlfn.xlookup($C$12,[1]Clients!B$1:B$1048576,[1]Clients!G$1:G$1048576,FALSE()))</f>
        <v>Saint-Laurent, Québec</v>
      </c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7"/>
      <c r="S14" s="77"/>
      <c r="T14" s="77"/>
      <c r="U14" s="77"/>
      <c r="V14" s="76" t="str">
        <f aca="false">(_xlfn.xlookup($V$12,[1]Clients!B$1:B$1048576,[1]Clients!F$1:F$1048576,FALSE()))&amp;", "&amp;(_xlfn.xlookup($V$12,[1]Clients!B$1:B$1048576,[1]Clients!G$1:G$1048576,FALSE()))</f>
        <v>Saint-Laurent, Québec</v>
      </c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M14" s="1"/>
      <c r="AN14" s="1"/>
      <c r="AO14" s="1"/>
    </row>
    <row r="15" customFormat="false" ht="12.75" hidden="false" customHeight="true" outlineLevel="0" collapsed="false">
      <c r="C15" s="76" t="str">
        <f aca="false">(_xlfn.xlookup($C$12,[1]Clients!B$1:B$1048576,[1]Clients!H$1:H$1048576,FALSE()))&amp;"   "&amp;(_xlfn.xlookup($C$12,[1]Clients!B$1:B$1048576,[1]Clients!I$1:I$1048576,FALSE()))</f>
        <v>H4T1R3   Canada</v>
      </c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7"/>
      <c r="S15" s="77"/>
      <c r="T15" s="77"/>
      <c r="U15" s="77"/>
      <c r="V15" s="76" t="str">
        <f aca="false">(_xlfn.xlookup($V$12,[1]Clients!B$1:B$1048576,[1]Clients!H$1:H$1048576,FALSE()))&amp;"   "&amp;(_xlfn.xlookup($V$12,[1]Clients!B$1:B$1048576,[1]Clients!I$1:I$1048576,FALSE()))</f>
        <v>H4T1R3   Canada</v>
      </c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M15" s="1"/>
      <c r="AN15" s="1"/>
      <c r="AO15" s="1"/>
    </row>
    <row r="16" customFormat="false" ht="12.75" hidden="false" customHeight="true" outlineLevel="0" collapsed="false"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7"/>
      <c r="S16" s="77"/>
      <c r="T16" s="77"/>
      <c r="U16" s="77"/>
      <c r="V16" s="76" t="str">
        <f aca="false">_xlfn.xlookup($V$12,[1]Clients!B$1:B$1048576,[1]Clients!K$1:K$1048576,FALSE())</f>
        <v>David Fleury 514-738-4975 (X 231)</v>
      </c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M16" s="1"/>
      <c r="AN16" s="1"/>
      <c r="AO16" s="1"/>
    </row>
    <row r="17" customFormat="false" ht="12.75" hidden="false" customHeight="true" outlineLevel="0" collapsed="false"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7"/>
      <c r="S17" s="77"/>
      <c r="T17" s="77"/>
      <c r="U17" s="77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M17" s="1"/>
    </row>
    <row r="18" customFormat="false" ht="6" hidden="false" customHeight="true" outlineLevel="0" collapsed="false">
      <c r="AL18" s="71"/>
      <c r="AM18" s="71"/>
    </row>
    <row r="19" customFormat="false" ht="15" hidden="false" customHeight="false" outlineLevel="0" collapsed="false">
      <c r="C19" s="78" t="str">
        <f aca="false">IF($AM$5="F","Votre commande #","Your order No.")</f>
        <v>Your order No.</v>
      </c>
      <c r="D19" s="78"/>
      <c r="E19" s="78"/>
      <c r="F19" s="78"/>
      <c r="G19" s="78"/>
      <c r="H19" s="78"/>
      <c r="I19" s="78"/>
      <c r="J19" s="78" t="str">
        <f aca="false">IF($AM$5="F","Acheteur","Buyer")</f>
        <v>Buyer</v>
      </c>
      <c r="K19" s="78"/>
      <c r="L19" s="78"/>
      <c r="M19" s="78"/>
      <c r="N19" s="78"/>
      <c r="O19" s="78"/>
      <c r="P19" s="78"/>
      <c r="Q19" s="78"/>
      <c r="R19" s="79" t="str">
        <f aca="false">IF($AM$5="F","Date livraison (A-M-J)","Delivery Date (Y-M-D)")</f>
        <v>Delivery Date (Y-M-D)</v>
      </c>
      <c r="S19" s="79"/>
      <c r="T19" s="79"/>
      <c r="U19" s="79"/>
      <c r="V19" s="79"/>
      <c r="W19" s="79"/>
      <c r="X19" s="79"/>
      <c r="Y19" s="79"/>
      <c r="Z19" s="79"/>
      <c r="AA19" s="78" t="str">
        <f aca="false">IF($AM$5="F","Termes de Paiement","Payment Terms")</f>
        <v>Payment Terms</v>
      </c>
      <c r="AB19" s="78"/>
      <c r="AC19" s="78"/>
      <c r="AD19" s="78"/>
      <c r="AE19" s="78"/>
      <c r="AF19" s="78"/>
      <c r="AG19" s="78"/>
      <c r="AH19" s="78"/>
      <c r="AI19" s="78"/>
      <c r="AJ19" s="78"/>
      <c r="AL19" s="71"/>
      <c r="AM19" s="71"/>
    </row>
    <row r="20" customFormat="false" ht="15" hidden="false" customHeight="false" outlineLevel="0" collapsed="false">
      <c r="C20" s="80" t="n">
        <f aca="false">_xlfn.xlookup($Z$7,'PO Client'!A:A,'PO Client'!H:H,FALSE())</f>
        <v>14395</v>
      </c>
      <c r="D20" s="80"/>
      <c r="E20" s="80"/>
      <c r="F20" s="80"/>
      <c r="G20" s="80"/>
      <c r="H20" s="80"/>
      <c r="I20" s="80"/>
      <c r="J20" s="80" t="str">
        <f aca="false">_xlfn.xlookup($Z$7,'PO Client'!A:A,'PO Client'!I:I,FALSE())</f>
        <v>David Fleury</v>
      </c>
      <c r="K20" s="80"/>
      <c r="L20" s="80"/>
      <c r="M20" s="80"/>
      <c r="N20" s="80"/>
      <c r="O20" s="80"/>
      <c r="P20" s="80"/>
      <c r="Q20" s="80"/>
      <c r="R20" s="81" t="n">
        <f aca="false">_xlfn.xlookup(Z7,'PO Client'!$A:$A,'PO Client'!J:J,FALSE())</f>
        <v>45740</v>
      </c>
      <c r="S20" s="81"/>
      <c r="T20" s="81"/>
      <c r="U20" s="81"/>
      <c r="V20" s="81"/>
      <c r="W20" s="81"/>
      <c r="X20" s="81"/>
      <c r="Y20" s="81"/>
      <c r="Z20" s="81"/>
      <c r="AA20" s="80" t="str">
        <f aca="false">_xlfn.xlookup(Z7,'PO Client'!$A:$A,'PO Client'!$M:$M,FALSE())</f>
        <v>Net 30 jours</v>
      </c>
      <c r="AB20" s="80"/>
      <c r="AC20" s="80"/>
      <c r="AD20" s="80"/>
      <c r="AE20" s="80"/>
      <c r="AF20" s="80"/>
      <c r="AG20" s="80"/>
      <c r="AH20" s="80"/>
      <c r="AI20" s="80"/>
      <c r="AJ20" s="80"/>
      <c r="AM20" s="1"/>
    </row>
    <row r="21" customFormat="false" ht="13.5" hidden="false" customHeight="true" outlineLevel="0" collapsed="false">
      <c r="AL21" s="71"/>
      <c r="AM21" s="71"/>
    </row>
    <row r="22" customFormat="false" ht="15" hidden="false" customHeight="false" outlineLevel="0" collapsed="false">
      <c r="C22" s="82" t="str">
        <f aca="false">IF($AM$5="F","Notre # prod","Our Prod #")</f>
        <v>Our Prod #</v>
      </c>
      <c r="D22" s="82"/>
      <c r="E22" s="82"/>
      <c r="F22" s="82"/>
      <c r="G22" s="83" t="s">
        <v>688</v>
      </c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4" t="str">
        <f aca="false">IF($AM$5="F","Qté","Qty")</f>
        <v>Qty</v>
      </c>
      <c r="W22" s="84"/>
      <c r="X22" s="84"/>
      <c r="Y22" s="84"/>
      <c r="Z22" s="84" t="str">
        <f aca="false">IF($AM$5="F","Unité","Unit")</f>
        <v>Unit</v>
      </c>
      <c r="AA22" s="84"/>
      <c r="AB22" s="84"/>
      <c r="AC22" s="84" t="str">
        <f aca="false">IF($AM$5="F","Prix Unit.","Unit Price")</f>
        <v>Unit Price</v>
      </c>
      <c r="AD22" s="84"/>
      <c r="AE22" s="84"/>
      <c r="AF22" s="84"/>
      <c r="AG22" s="84" t="str">
        <f aca="false">IF($AM$5="F","Total","Total")</f>
        <v>Total</v>
      </c>
      <c r="AH22" s="84"/>
      <c r="AI22" s="84"/>
      <c r="AJ22" s="84"/>
      <c r="AL22" s="71"/>
      <c r="AM22" s="71"/>
    </row>
    <row r="23" customFormat="false" ht="15" hidden="false" customHeight="false" outlineLevel="0" collapsed="false">
      <c r="C23" s="82" t="str">
        <f aca="false">IF($AM$5="F","Votre # prod","Your Prod #")</f>
        <v>Your Prod #</v>
      </c>
      <c r="D23" s="82"/>
      <c r="E23" s="82"/>
      <c r="F23" s="82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  <c r="AI23" s="84"/>
      <c r="AJ23" s="84"/>
      <c r="AL23" s="71"/>
      <c r="AM23" s="71"/>
    </row>
    <row r="24" customFormat="false" ht="14.25" hidden="false" customHeight="true" outlineLevel="0" collapsed="false">
      <c r="C24" s="85" t="str">
        <f aca="false">_xlfn.xlookup($AM24,'PO item'!E:E,'PO item'!G:G,"")</f>
        <v>S15</v>
      </c>
      <c r="D24" s="85"/>
      <c r="E24" s="85"/>
      <c r="F24" s="85"/>
      <c r="G24" s="86" t="str">
        <f aca="false">IF($AM$5="F",_xlfn.xlookup(C24,[1]Matières!A$1:A$1048576,[1]Matières!B$1:B$1048576,""),_xlfn.xlookup(C24,[1]Matières!A$1:A$1048576,[1]Matières!C$1:C$1048576,""))</f>
        <v>Self Adhesive Paper / SG - ACR - WG</v>
      </c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7" t="n">
        <f aca="false">_xlfn.xlookup($AM24,'PO item'!E:E,'PO item'!S:S,"")</f>
        <v>5760</v>
      </c>
      <c r="W24" s="87"/>
      <c r="X24" s="87"/>
      <c r="Y24" s="87"/>
      <c r="Z24" s="88" t="str">
        <f aca="false">IF(C24="","","msi")</f>
        <v>msi</v>
      </c>
      <c r="AA24" s="88"/>
      <c r="AB24" s="88"/>
      <c r="AC24" s="89" t="n">
        <f aca="false">_xlfn.xlookup($AM24,'PO item'!E:E,'PO item'!V:V,"")</f>
        <v>0.348</v>
      </c>
      <c r="AD24" s="89"/>
      <c r="AE24" s="89"/>
      <c r="AF24" s="89"/>
      <c r="AG24" s="90" t="n">
        <f aca="false">IFERROR(V24*AC24,"")</f>
        <v>2004.48</v>
      </c>
      <c r="AH24" s="90"/>
      <c r="AI24" s="90"/>
      <c r="AJ24" s="90"/>
      <c r="AL24" s="1" t="n">
        <v>1</v>
      </c>
      <c r="AM24" s="1" t="str">
        <f aca="false">$Z$7&amp;"-"&amp;AL24</f>
        <v>389-1</v>
      </c>
    </row>
    <row r="25" s="45" customFormat="true" ht="15" hidden="false" customHeight="true" outlineLevel="0" collapsed="false">
      <c r="C25" s="91" t="n">
        <f aca="false">_xlfn.xlookup($AM24,'PO item'!E:E,'PO item'!P:P,"")</f>
        <v>0</v>
      </c>
      <c r="D25" s="91"/>
      <c r="E25" s="91"/>
      <c r="F25" s="91"/>
      <c r="G25" s="92" t="str">
        <f aca="false">IF(C24="","",IF($AM$5="F","Larg: "&amp;AL25&amp;"po   Long: "&amp;AM25&amp;"pi","W: "&amp;AL25&amp;"in   L: "&amp;AM25&amp;"ft"))</f>
        <v>W: 8in   L: 10000ft</v>
      </c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3" t="e">
        <f aca="false">_xlfn.xlookup($AM24,'PO item'!E:E,'PO item'!O:O,"")</f>
        <v>#NAME?</v>
      </c>
      <c r="W25" s="93"/>
      <c r="X25" s="93"/>
      <c r="Y25" s="93"/>
      <c r="Z25" s="88" t="str">
        <f aca="false">IF(C24="","",IF($AM$5="F","roul.","roll"))</f>
        <v>roll</v>
      </c>
      <c r="AA25" s="88"/>
      <c r="AB25" s="88"/>
      <c r="AC25" s="94" t="e">
        <f aca="false">_xlfn.xlookup($AM24,'PO item'!E:E,'PO item'!W:W,"")</f>
        <v>#NAME?</v>
      </c>
      <c r="AD25" s="94"/>
      <c r="AE25" s="94"/>
      <c r="AF25" s="94"/>
      <c r="AG25" s="90"/>
      <c r="AH25" s="90"/>
      <c r="AI25" s="90"/>
      <c r="AJ25" s="90"/>
      <c r="AL25" s="1" t="n">
        <f aca="false">IFERROR(_xlfn.xlookup(AM24,'PO item'!E:E,'PO item'!K:K),"")</f>
        <v>8</v>
      </c>
      <c r="AM25" s="45" t="n">
        <f aca="false">IFERROR(_xlfn.xlookup(AM24,'PO item'!E:E,'PO item'!L:L),"")</f>
        <v>10000</v>
      </c>
    </row>
    <row r="26" s="45" customFormat="true" ht="6" hidden="false" customHeight="true" outlineLevel="0" collapsed="false"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</row>
    <row r="27" customFormat="false" ht="14.25" hidden="false" customHeight="true" outlineLevel="0" collapsed="false">
      <c r="C27" s="85" t="str">
        <f aca="false">_xlfn.xlookup($AM27,'PO item'!E:E,'PO item'!G:G,"")</f>
        <v>S15</v>
      </c>
      <c r="D27" s="85"/>
      <c r="E27" s="85"/>
      <c r="F27" s="85"/>
      <c r="G27" s="86" t="str">
        <f aca="false">IF($AM$5="F",_xlfn.xlookup(C27,[1]Matières!A$1:A$1048576,[1]Matières!B$1:B$1048576,""),_xlfn.xlookup(C27,[1]Matières!A$1:A$1048576,[1]Matières!C$1:C$1048576,""))</f>
        <v>Self Adhesive Paper / SG - ACR - WG</v>
      </c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7" t="n">
        <f aca="false">_xlfn.xlookup($AM27,'PO item'!E:E,'PO item'!S:S,"")</f>
        <v>1440</v>
      </c>
      <c r="W27" s="87"/>
      <c r="X27" s="87"/>
      <c r="Y27" s="87"/>
      <c r="Z27" s="88" t="str">
        <f aca="false">IF(C27="","","msi")</f>
        <v>msi</v>
      </c>
      <c r="AA27" s="88"/>
      <c r="AB27" s="88"/>
      <c r="AC27" s="89" t="n">
        <f aca="false">_xlfn.xlookup($AM27,'PO item'!E:E,'PO item'!V:V,"")</f>
        <v>0.348</v>
      </c>
      <c r="AD27" s="89"/>
      <c r="AE27" s="89"/>
      <c r="AF27" s="89"/>
      <c r="AG27" s="90" t="n">
        <f aca="false">IFERROR(V27*AC27,"")</f>
        <v>501.12</v>
      </c>
      <c r="AH27" s="90"/>
      <c r="AI27" s="90"/>
      <c r="AJ27" s="90"/>
      <c r="AL27" s="1" t="n">
        <v>2</v>
      </c>
      <c r="AM27" s="1" t="str">
        <f aca="false">$Z$7&amp;"-"&amp;AL27</f>
        <v>389-2</v>
      </c>
    </row>
    <row r="28" customFormat="false" ht="14.25" hidden="false" customHeight="true" outlineLevel="0" collapsed="false">
      <c r="C28" s="91" t="n">
        <f aca="false">_xlfn.xlookup($AM27,'PO item'!E:E,'PO item'!P:P,"")</f>
        <v>0</v>
      </c>
      <c r="D28" s="91"/>
      <c r="E28" s="91"/>
      <c r="F28" s="91"/>
      <c r="G28" s="92" t="str">
        <f aca="false">IF(C27="","",IF($AM$5="F","Larg: "&amp;AL28&amp;"po   Long: "&amp;AM28&amp;"pi","W: "&amp;AL28&amp;"in   L: "&amp;AM28&amp;"ft"))</f>
        <v>W: 12in   L: 10000ft</v>
      </c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3" t="e">
        <f aca="false">_xlfn.xlookup($AM27,'PO item'!E:E,'PO item'!O:O,"")</f>
        <v>#NAME?</v>
      </c>
      <c r="W28" s="93"/>
      <c r="X28" s="93"/>
      <c r="Y28" s="93"/>
      <c r="Z28" s="88" t="str">
        <f aca="false">IF(C27="","",IF($AM$5="F","roul.","roll"))</f>
        <v>roll</v>
      </c>
      <c r="AA28" s="88"/>
      <c r="AB28" s="88"/>
      <c r="AC28" s="94" t="e">
        <f aca="false">_xlfn.xlookup($AM27,'PO item'!E:E,'PO item'!W:W,"")</f>
        <v>#NAME?</v>
      </c>
      <c r="AD28" s="94"/>
      <c r="AE28" s="94"/>
      <c r="AF28" s="94"/>
      <c r="AG28" s="90"/>
      <c r="AH28" s="90"/>
      <c r="AI28" s="90"/>
      <c r="AJ28" s="90"/>
      <c r="AL28" s="1" t="n">
        <f aca="false">IFERROR(_xlfn.xlookup(AM27,'PO item'!E:E,'PO item'!K:K),"")</f>
        <v>12</v>
      </c>
      <c r="AM28" s="45" t="n">
        <f aca="false">IFERROR(_xlfn.xlookup(AM27,'PO item'!E:E,'PO item'!L:L),"")</f>
        <v>10000</v>
      </c>
    </row>
    <row r="29" s="45" customFormat="true" ht="6" hidden="false" customHeight="true" outlineLevel="0" collapsed="false"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L29" s="1"/>
      <c r="AM29" s="1"/>
    </row>
    <row r="30" customFormat="false" ht="14.25" hidden="false" customHeight="true" outlineLevel="0" collapsed="false">
      <c r="C30" s="85" t="e">
        <f aca="false">_xlfn.xlookup($AM30,'PO item'!E:E,'PO item'!G:G,"")</f>
        <v>#NAME?</v>
      </c>
      <c r="D30" s="85"/>
      <c r="E30" s="85"/>
      <c r="F30" s="85"/>
      <c r="G30" s="86" t="e">
        <f aca="false">IF($AM$5="F",_xlfn.xlookup(C30,[1]Matières!A$1:A$1048576,[1]Matières!B$1:B$1048576,""),_xlfn.xlookup(C30,[1]Matières!A$1:A$1048576,[1]Matières!C$1:C$1048576,""))</f>
        <v>#NAME?</v>
      </c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7" t="e">
        <f aca="false">_xlfn.xlookup($AM30,'PO item'!E:E,'PO item'!S:S,"")</f>
        <v>#NAME?</v>
      </c>
      <c r="W30" s="87"/>
      <c r="X30" s="87"/>
      <c r="Y30" s="87"/>
      <c r="Z30" s="88" t="e">
        <f aca="false">IF(C30="","","msi")</f>
        <v>#NAME?</v>
      </c>
      <c r="AA30" s="88"/>
      <c r="AB30" s="88"/>
      <c r="AC30" s="89" t="e">
        <f aca="false">_xlfn.xlookup($AM30,'PO item'!E:E,'PO item'!V:V,"")</f>
        <v>#NAME?</v>
      </c>
      <c r="AD30" s="89"/>
      <c r="AE30" s="89"/>
      <c r="AF30" s="89"/>
      <c r="AG30" s="90" t="str">
        <f aca="false">IFERROR(V30*AC30,"")</f>
        <v/>
      </c>
      <c r="AH30" s="90"/>
      <c r="AI30" s="90"/>
      <c r="AJ30" s="90"/>
      <c r="AL30" s="1" t="n">
        <v>3</v>
      </c>
      <c r="AM30" s="1" t="str">
        <f aca="false">$Z$7&amp;"-"&amp;AL30</f>
        <v>389-3</v>
      </c>
    </row>
    <row r="31" s="45" customFormat="true" ht="15" hidden="false" customHeight="false" outlineLevel="0" collapsed="false">
      <c r="C31" s="91" t="e">
        <f aca="false">_xlfn.xlookup($AM30,'PO item'!E:E,'PO item'!P:P,"")</f>
        <v>#NAME?</v>
      </c>
      <c r="D31" s="91"/>
      <c r="E31" s="91"/>
      <c r="F31" s="91"/>
      <c r="G31" s="92" t="e">
        <f aca="false">IF(C30="","",IF($AM$5="F","Larg: "&amp;AL31&amp;"po   Long: "&amp;AM31&amp;"pi","W: "&amp;AL31&amp;"in   L: "&amp;AM31&amp;"ft"))</f>
        <v>#NAME?</v>
      </c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3" t="e">
        <f aca="false">_xlfn.xlookup($AM30,'PO item'!E:E,'PO item'!O:O,"")</f>
        <v>#NAME?</v>
      </c>
      <c r="W31" s="93"/>
      <c r="X31" s="93"/>
      <c r="Y31" s="93"/>
      <c r="Z31" s="88" t="e">
        <f aca="false">IF(C30="","",IF($AM$5="F","roul.","roll"))</f>
        <v>#NAME?</v>
      </c>
      <c r="AA31" s="88"/>
      <c r="AB31" s="88"/>
      <c r="AC31" s="94" t="e">
        <f aca="false">_xlfn.xlookup($AM30,'PO item'!E:E,'PO item'!W:W,"")</f>
        <v>#NAME?</v>
      </c>
      <c r="AD31" s="94"/>
      <c r="AE31" s="94"/>
      <c r="AF31" s="94"/>
      <c r="AG31" s="90"/>
      <c r="AH31" s="90"/>
      <c r="AI31" s="90"/>
      <c r="AJ31" s="90"/>
      <c r="AL31" s="1" t="str">
        <f aca="false">IFERROR(_xlfn.xlookup(AM30,'PO item'!E:E,'PO item'!K:K),"")</f>
        <v/>
      </c>
      <c r="AM31" s="45" t="str">
        <f aca="false">IFERROR(_xlfn.xlookup(AM30,'PO item'!E:E,'PO item'!L:L),"")</f>
        <v/>
      </c>
    </row>
    <row r="32" s="45" customFormat="true" ht="6" hidden="false" customHeight="true" outlineLevel="0" collapsed="false"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L32" s="1"/>
      <c r="AM32" s="1"/>
    </row>
    <row r="33" customFormat="false" ht="14.25" hidden="false" customHeight="true" outlineLevel="0" collapsed="false">
      <c r="C33" s="85" t="e">
        <f aca="false">_xlfn.xlookup($AM33,'PO item'!E:E,'PO item'!G:G,"")</f>
        <v>#NAME?</v>
      </c>
      <c r="D33" s="85"/>
      <c r="E33" s="85"/>
      <c r="F33" s="85"/>
      <c r="G33" s="86" t="e">
        <f aca="false">IF($AM$5="F",_xlfn.xlookup(C33,[1]Matières!A$1:A$1048576,[1]Matières!B$1:B$1048576,""),_xlfn.xlookup(C33,[1]Matières!A$1:A$1048576,[1]Matières!C$1:C$1048576,""))</f>
        <v>#NAME?</v>
      </c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7" t="e">
        <f aca="false">_xlfn.xlookup($AM33,'PO item'!E:E,'PO item'!S:S,"")</f>
        <v>#NAME?</v>
      </c>
      <c r="W33" s="87"/>
      <c r="X33" s="87"/>
      <c r="Y33" s="87"/>
      <c r="Z33" s="88" t="e">
        <f aca="false">IF(C33="","","msi")</f>
        <v>#NAME?</v>
      </c>
      <c r="AA33" s="88"/>
      <c r="AB33" s="88"/>
      <c r="AC33" s="89" t="e">
        <f aca="false">_xlfn.xlookup($AM33,'PO item'!E:E,'PO item'!V:V,"")</f>
        <v>#NAME?</v>
      </c>
      <c r="AD33" s="89"/>
      <c r="AE33" s="89"/>
      <c r="AF33" s="89"/>
      <c r="AG33" s="90" t="str">
        <f aca="false">IFERROR(V33*AC33,"")</f>
        <v/>
      </c>
      <c r="AH33" s="90"/>
      <c r="AI33" s="90"/>
      <c r="AJ33" s="90"/>
      <c r="AL33" s="1" t="n">
        <v>4</v>
      </c>
      <c r="AM33" s="1" t="str">
        <f aca="false">$Z$7&amp;"-"&amp;AL33</f>
        <v>389-4</v>
      </c>
    </row>
    <row r="34" customFormat="false" ht="14.25" hidden="false" customHeight="true" outlineLevel="0" collapsed="false">
      <c r="C34" s="91" t="e">
        <f aca="false">_xlfn.xlookup($AM33,'PO item'!E:E,'PO item'!P:P,"")</f>
        <v>#NAME?</v>
      </c>
      <c r="D34" s="91"/>
      <c r="E34" s="91"/>
      <c r="F34" s="91"/>
      <c r="G34" s="92" t="e">
        <f aca="false">IF(C33="","",IF($AM$5="F","Larg: "&amp;AL34&amp;"po   Long: "&amp;AM34&amp;"pi","W: "&amp;AL34&amp;"in   L: "&amp;AM34&amp;"ft"))</f>
        <v>#NAME?</v>
      </c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3" t="e">
        <f aca="false">_xlfn.xlookup($AM33,'PO item'!E:E,'PO item'!O:O,"")</f>
        <v>#NAME?</v>
      </c>
      <c r="W34" s="93"/>
      <c r="X34" s="93"/>
      <c r="Y34" s="93"/>
      <c r="Z34" s="88" t="e">
        <f aca="false">IF(C33="","",IF($AM$5="F","roul.","roll"))</f>
        <v>#NAME?</v>
      </c>
      <c r="AA34" s="88"/>
      <c r="AB34" s="88"/>
      <c r="AC34" s="94" t="e">
        <f aca="false">_xlfn.xlookup($AM33,'PO item'!E:E,'PO item'!W:W,"")</f>
        <v>#NAME?</v>
      </c>
      <c r="AD34" s="94"/>
      <c r="AE34" s="94"/>
      <c r="AF34" s="94"/>
      <c r="AG34" s="90"/>
      <c r="AH34" s="90"/>
      <c r="AI34" s="90"/>
      <c r="AJ34" s="90"/>
      <c r="AL34" s="1" t="str">
        <f aca="false">IFERROR(_xlfn.xlookup(AM33,'PO item'!E:E,'PO item'!K:K),"")</f>
        <v/>
      </c>
      <c r="AM34" s="45" t="str">
        <f aca="false">IFERROR(_xlfn.xlookup(AM33,'PO item'!E:E,'PO item'!L:L),"")</f>
        <v/>
      </c>
    </row>
    <row r="35" s="45" customFormat="true" ht="6" hidden="false" customHeight="true" outlineLevel="0" collapsed="false"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L35" s="1"/>
      <c r="AM35" s="1"/>
    </row>
    <row r="36" customFormat="false" ht="14.25" hidden="false" customHeight="true" outlineLevel="0" collapsed="false">
      <c r="C36" s="85" t="e">
        <f aca="false">_xlfn.xlookup($AM36,'PO item'!E:E,'PO item'!G:G,"")</f>
        <v>#NAME?</v>
      </c>
      <c r="D36" s="85"/>
      <c r="E36" s="85"/>
      <c r="F36" s="85"/>
      <c r="G36" s="86" t="e">
        <f aca="false">IF($AM$5="F",_xlfn.xlookup(C36,[1]Matières!A$1:A$1048576,[1]Matières!B$1:B$1048576,""),_xlfn.xlookup(C36,[1]Matières!A$1:A$1048576,[1]Matières!C$1:C$1048576,""))</f>
        <v>#NAME?</v>
      </c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95" t="e">
        <f aca="false">_xlfn.xlookup($AM36,'PO item'!E:E,'PO item'!S:S,"")</f>
        <v>#NAME?</v>
      </c>
      <c r="W36" s="95"/>
      <c r="X36" s="95"/>
      <c r="Y36" s="95"/>
      <c r="Z36" s="85" t="e">
        <f aca="false">IF(C36="","","msi")</f>
        <v>#NAME?</v>
      </c>
      <c r="AA36" s="85"/>
      <c r="AB36" s="85"/>
      <c r="AC36" s="96" t="e">
        <f aca="false">_xlfn.xlookup($AM36,'PO item'!E:E,'PO item'!V:V,"")</f>
        <v>#NAME?</v>
      </c>
      <c r="AD36" s="96"/>
      <c r="AE36" s="96"/>
      <c r="AF36" s="96"/>
      <c r="AG36" s="90" t="str">
        <f aca="false">IFERROR(V36*AC36,"")</f>
        <v/>
      </c>
      <c r="AH36" s="90"/>
      <c r="AI36" s="90"/>
      <c r="AJ36" s="90"/>
      <c r="AL36" s="1" t="n">
        <v>5</v>
      </c>
      <c r="AM36" s="1" t="str">
        <f aca="false">$Z$7&amp;"-"&amp;AL36</f>
        <v>389-5</v>
      </c>
    </row>
    <row r="37" s="45" customFormat="true" ht="15" hidden="false" customHeight="true" outlineLevel="0" collapsed="false">
      <c r="C37" s="91" t="e">
        <f aca="false">_xlfn.xlookup($AM36,'PO item'!E:E,'PO item'!P:P,"")</f>
        <v>#NAME?</v>
      </c>
      <c r="D37" s="91"/>
      <c r="E37" s="91"/>
      <c r="F37" s="91"/>
      <c r="G37" s="92" t="e">
        <f aca="false">IF(C36="","",IF($AM$5="F","Larg: "&amp;AL37&amp;"po   Long: "&amp;AM37&amp;"pi","W: "&amp;AL37&amp;"in   L: "&amp;AM37&amp;"ft"))</f>
        <v>#NAME?</v>
      </c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3" t="e">
        <f aca="false">_xlfn.xlookup($AM36,'PO item'!E:E,'PO item'!O:O,"")</f>
        <v>#NAME?</v>
      </c>
      <c r="W37" s="93"/>
      <c r="X37" s="93"/>
      <c r="Y37" s="93"/>
      <c r="Z37" s="88" t="e">
        <f aca="false">IF(C36="","",IF($AM$5="F","roul.","roll"))</f>
        <v>#NAME?</v>
      </c>
      <c r="AA37" s="88"/>
      <c r="AB37" s="88"/>
      <c r="AC37" s="94" t="e">
        <f aca="false">_xlfn.xlookup($AM36,'PO item'!E:E,'PO item'!W:W,"")</f>
        <v>#NAME?</v>
      </c>
      <c r="AD37" s="94"/>
      <c r="AE37" s="94"/>
      <c r="AF37" s="94"/>
      <c r="AG37" s="90"/>
      <c r="AH37" s="90"/>
      <c r="AI37" s="90"/>
      <c r="AJ37" s="90"/>
      <c r="AL37" s="1" t="str">
        <f aca="false">IFERROR(_xlfn.xlookup(AM36,'PO item'!E:E,'PO item'!K:K),"")</f>
        <v/>
      </c>
      <c r="AM37" s="45" t="str">
        <f aca="false">IFERROR(_xlfn.xlookup(AM36,'PO item'!E:E,'PO item'!L:L),"")</f>
        <v/>
      </c>
    </row>
    <row r="38" s="45" customFormat="true" ht="6" hidden="false" customHeight="true" outlineLevel="0" collapsed="false"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L38" s="1"/>
      <c r="AM38" s="1"/>
    </row>
    <row r="39" customFormat="false" ht="14.25" hidden="false" customHeight="true" outlineLevel="0" collapsed="false">
      <c r="C39" s="85" t="e">
        <f aca="false">_xlfn.xlookup($AM39,'PO item'!E:E,'PO item'!G:G,"")</f>
        <v>#NAME?</v>
      </c>
      <c r="D39" s="85"/>
      <c r="E39" s="85"/>
      <c r="F39" s="85"/>
      <c r="G39" s="86" t="e">
        <f aca="false">IF($AM$5="F",_xlfn.xlookup(C39,[1]Matières!A$1:A$1048576,[1]Matières!B$1:B$1048576,""),_xlfn.xlookup(C39,[1]Matières!A$1:A$1048576,[1]Matières!C$1:C$1048576,""))</f>
        <v>#NAME?</v>
      </c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95" t="e">
        <f aca="false">_xlfn.xlookup($AM39,'PO item'!E:E,'PO item'!S:S,"")</f>
        <v>#NAME?</v>
      </c>
      <c r="W39" s="95"/>
      <c r="X39" s="95"/>
      <c r="Y39" s="95"/>
      <c r="Z39" s="85" t="e">
        <f aca="false">IF(C39="","","msi")</f>
        <v>#NAME?</v>
      </c>
      <c r="AA39" s="85"/>
      <c r="AB39" s="85"/>
      <c r="AC39" s="96" t="e">
        <f aca="false">_xlfn.xlookup($AM39,'PO item'!E:E,'PO item'!V:V,"")</f>
        <v>#NAME?</v>
      </c>
      <c r="AD39" s="96"/>
      <c r="AE39" s="96"/>
      <c r="AF39" s="96"/>
      <c r="AG39" s="90" t="str">
        <f aca="false">IFERROR(V39*AC39,"")</f>
        <v/>
      </c>
      <c r="AH39" s="90"/>
      <c r="AI39" s="90"/>
      <c r="AJ39" s="90"/>
      <c r="AL39" s="1" t="n">
        <v>6</v>
      </c>
      <c r="AM39" s="1" t="str">
        <f aca="false">$Z$7&amp;"-"&amp;AL39</f>
        <v>389-6</v>
      </c>
    </row>
    <row r="40" customFormat="false" ht="14.25" hidden="false" customHeight="true" outlineLevel="0" collapsed="false">
      <c r="C40" s="91" t="e">
        <f aca="false">_xlfn.xlookup($AM39,'PO item'!E:E,'PO item'!P:P,"")</f>
        <v>#NAME?</v>
      </c>
      <c r="D40" s="91"/>
      <c r="E40" s="91"/>
      <c r="F40" s="91"/>
      <c r="G40" s="92" t="e">
        <f aca="false">IF(C39="","",IF($AM$5="F","Larg: "&amp;AL40&amp;"po   Long: "&amp;AM40&amp;"pi","W: "&amp;AL40&amp;"in   L: "&amp;AM40&amp;"ft"))</f>
        <v>#NAME?</v>
      </c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3" t="e">
        <f aca="false">_xlfn.xlookup($AM39,'PO item'!E:E,'PO item'!O:O,"")</f>
        <v>#NAME?</v>
      </c>
      <c r="W40" s="93"/>
      <c r="X40" s="93"/>
      <c r="Y40" s="93"/>
      <c r="Z40" s="88" t="e">
        <f aca="false">IF(C39="","",IF($AM$5="F","roul.","roll"))</f>
        <v>#NAME?</v>
      </c>
      <c r="AA40" s="88"/>
      <c r="AB40" s="88"/>
      <c r="AC40" s="94" t="e">
        <f aca="false">_xlfn.xlookup($AM39,'PO item'!E:E,'PO item'!W:W,"")</f>
        <v>#NAME?</v>
      </c>
      <c r="AD40" s="94"/>
      <c r="AE40" s="94"/>
      <c r="AF40" s="94"/>
      <c r="AG40" s="90"/>
      <c r="AH40" s="90"/>
      <c r="AI40" s="90"/>
      <c r="AJ40" s="90"/>
      <c r="AL40" s="1" t="str">
        <f aca="false">IFERROR(_xlfn.xlookup(AM39,'PO item'!E:E,'PO item'!K:K),"")</f>
        <v/>
      </c>
      <c r="AM40" s="45" t="str">
        <f aca="false">IFERROR(_xlfn.xlookup(AM39,'PO item'!E:E,'PO item'!L:L),"")</f>
        <v/>
      </c>
    </row>
    <row r="41" s="45" customFormat="true" ht="6" hidden="false" customHeight="true" outlineLevel="0" collapsed="false"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L41" s="1"/>
      <c r="AM41" s="1"/>
    </row>
    <row r="42" customFormat="false" ht="14.25" hidden="false" customHeight="true" outlineLevel="0" collapsed="false">
      <c r="C42" s="85" t="e">
        <f aca="false">_xlfn.xlookup($AM42,'PO item'!E:E,'PO item'!G:G,"")</f>
        <v>#NAME?</v>
      </c>
      <c r="D42" s="85"/>
      <c r="E42" s="85"/>
      <c r="F42" s="85"/>
      <c r="G42" s="86" t="e">
        <f aca="false">IF($AM$5="F",_xlfn.xlookup(C42,[1]Matières!A$1:A$1048576,[1]Matières!B$1:B$1048576,""),_xlfn.xlookup(C42,[1]Matières!A$1:A$1048576,[1]Matières!C$1:C$1048576,""))</f>
        <v>#NAME?</v>
      </c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7" t="e">
        <f aca="false">_xlfn.xlookup($AM42,'PO item'!E:E,'PO item'!S:S,"")</f>
        <v>#NAME?</v>
      </c>
      <c r="W42" s="87"/>
      <c r="X42" s="87"/>
      <c r="Y42" s="87"/>
      <c r="Z42" s="88" t="e">
        <f aca="false">IF(C42="","","msi")</f>
        <v>#NAME?</v>
      </c>
      <c r="AA42" s="88"/>
      <c r="AB42" s="88"/>
      <c r="AC42" s="89" t="e">
        <f aca="false">_xlfn.xlookup($AM42,'PO item'!E:E,'PO item'!V:V,"")</f>
        <v>#NAME?</v>
      </c>
      <c r="AD42" s="89"/>
      <c r="AE42" s="89"/>
      <c r="AF42" s="89"/>
      <c r="AG42" s="90" t="str">
        <f aca="false">IFERROR(V42*AC42,"")</f>
        <v/>
      </c>
      <c r="AH42" s="90"/>
      <c r="AI42" s="90"/>
      <c r="AJ42" s="90"/>
      <c r="AL42" s="1" t="n">
        <v>7</v>
      </c>
      <c r="AM42" s="1" t="str">
        <f aca="false">$Z$7&amp;"-"&amp;AL42</f>
        <v>389-7</v>
      </c>
    </row>
    <row r="43" s="45" customFormat="true" ht="15" hidden="false" customHeight="true" outlineLevel="0" collapsed="false">
      <c r="C43" s="91" t="e">
        <f aca="false">_xlfn.xlookup($AM42,'PO item'!E:E,'PO item'!P:P,"")</f>
        <v>#NAME?</v>
      </c>
      <c r="D43" s="91"/>
      <c r="E43" s="91"/>
      <c r="F43" s="91"/>
      <c r="G43" s="92" t="e">
        <f aca="false">IF(C42="","",IF($AM$5="F","Larg: "&amp;AL43&amp;"po   Long: "&amp;AM43&amp;"pi","W: "&amp;AL43&amp;"in   L: "&amp;AM43&amp;"ft"))</f>
        <v>#NAME?</v>
      </c>
      <c r="H43" s="92"/>
      <c r="I43" s="92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3" t="e">
        <f aca="false">_xlfn.xlookup($AM42,'PO item'!E:E,'PO item'!O:O,"")</f>
        <v>#NAME?</v>
      </c>
      <c r="W43" s="93"/>
      <c r="X43" s="93"/>
      <c r="Y43" s="93"/>
      <c r="Z43" s="88" t="e">
        <f aca="false">IF(C42="","",IF($AM$5="F","roul.","roll"))</f>
        <v>#NAME?</v>
      </c>
      <c r="AA43" s="88"/>
      <c r="AB43" s="88"/>
      <c r="AC43" s="94" t="e">
        <f aca="false">_xlfn.xlookup($AM42,'PO item'!E:E,'PO item'!W:W,"")</f>
        <v>#NAME?</v>
      </c>
      <c r="AD43" s="94"/>
      <c r="AE43" s="94"/>
      <c r="AF43" s="94"/>
      <c r="AG43" s="90"/>
      <c r="AH43" s="90"/>
      <c r="AI43" s="90"/>
      <c r="AJ43" s="90"/>
      <c r="AL43" s="1" t="str">
        <f aca="false">IFERROR(_xlfn.xlookup(AM42,'PO item'!E:E,'PO item'!K:K),"")</f>
        <v/>
      </c>
      <c r="AM43" s="45" t="str">
        <f aca="false">IFERROR(_xlfn.xlookup(AM42,'PO item'!E:E,'PO item'!L:L),"")</f>
        <v/>
      </c>
    </row>
    <row r="44" s="45" customFormat="true" ht="6" hidden="false" customHeight="true" outlineLevel="0" collapsed="false"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L44" s="1"/>
      <c r="AM44" s="1"/>
    </row>
    <row r="45" customFormat="false" ht="14.25" hidden="false" customHeight="true" outlineLevel="0" collapsed="false">
      <c r="C45" s="85" t="e">
        <f aca="false">_xlfn.xlookup($AM45,'PO item'!E:E,'PO item'!G:G,"")</f>
        <v>#NAME?</v>
      </c>
      <c r="D45" s="85"/>
      <c r="E45" s="85"/>
      <c r="F45" s="85"/>
      <c r="G45" s="86" t="e">
        <f aca="false">IF($AM$5="F",_xlfn.xlookup(C45,[1]Matières!A$1:A$1048576,[1]Matières!B$1:B$1048576,""),_xlfn.xlookup(C45,[1]Matières!A$1:A$1048576,[1]Matières!C$1:C$1048576,""))</f>
        <v>#NAME?</v>
      </c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87" t="e">
        <f aca="false">_xlfn.xlookup($AM45,'PO item'!E:E,'PO item'!S:S,"")</f>
        <v>#NAME?</v>
      </c>
      <c r="W45" s="87"/>
      <c r="X45" s="87"/>
      <c r="Y45" s="87"/>
      <c r="Z45" s="88" t="e">
        <f aca="false">IF(C45="","","msi")</f>
        <v>#NAME?</v>
      </c>
      <c r="AA45" s="88"/>
      <c r="AB45" s="88"/>
      <c r="AC45" s="89" t="e">
        <f aca="false">_xlfn.xlookup($AM45,'PO item'!E:E,'PO item'!V:V,"")</f>
        <v>#NAME?</v>
      </c>
      <c r="AD45" s="89"/>
      <c r="AE45" s="89"/>
      <c r="AF45" s="89"/>
      <c r="AG45" s="90" t="str">
        <f aca="false">IFERROR(V45*AC45,"")</f>
        <v/>
      </c>
      <c r="AH45" s="90"/>
      <c r="AI45" s="90"/>
      <c r="AJ45" s="90"/>
      <c r="AL45" s="1" t="n">
        <v>8</v>
      </c>
      <c r="AM45" s="1" t="str">
        <f aca="false">$Z$7&amp;"-"&amp;AL45</f>
        <v>389-8</v>
      </c>
    </row>
    <row r="46" customFormat="false" ht="14.25" hidden="false" customHeight="true" outlineLevel="0" collapsed="false">
      <c r="C46" s="91" t="e">
        <f aca="false">_xlfn.xlookup($AM45,'PO item'!E:E,'PO item'!P:P,"")</f>
        <v>#NAME?</v>
      </c>
      <c r="D46" s="91"/>
      <c r="E46" s="91"/>
      <c r="F46" s="91"/>
      <c r="G46" s="92" t="e">
        <f aca="false">IF(C45="","",IF($AM$5="F","Larg: "&amp;AL46&amp;"po   Long: "&amp;AM46&amp;"pi","W: "&amp;AL46&amp;"in   L: "&amp;AM46&amp;"ft"))</f>
        <v>#NAME?</v>
      </c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3" t="e">
        <f aca="false">_xlfn.xlookup($AM45,'PO item'!E:E,'PO item'!O:O,"")</f>
        <v>#NAME?</v>
      </c>
      <c r="W46" s="93"/>
      <c r="X46" s="93"/>
      <c r="Y46" s="93"/>
      <c r="Z46" s="88" t="e">
        <f aca="false">IF(C45="","",IF($AM$5="F","roul.","roll"))</f>
        <v>#NAME?</v>
      </c>
      <c r="AA46" s="88"/>
      <c r="AB46" s="88"/>
      <c r="AC46" s="94" t="e">
        <f aca="false">_xlfn.xlookup($AM45,'PO item'!E:E,'PO item'!W:W,"")</f>
        <v>#NAME?</v>
      </c>
      <c r="AD46" s="94"/>
      <c r="AE46" s="94"/>
      <c r="AF46" s="94"/>
      <c r="AG46" s="90"/>
      <c r="AH46" s="90"/>
      <c r="AI46" s="90"/>
      <c r="AJ46" s="90"/>
      <c r="AL46" s="1" t="str">
        <f aca="false">IFERROR(_xlfn.xlookup(AM45,'PO item'!E:E,'PO item'!K:K),"")</f>
        <v/>
      </c>
      <c r="AM46" s="45" t="str">
        <f aca="false">IFERROR(_xlfn.xlookup(AM45,'PO item'!E:E,'PO item'!L:L),"")</f>
        <v/>
      </c>
    </row>
    <row r="47" s="45" customFormat="true" ht="6" hidden="false" customHeight="true" outlineLevel="0" collapsed="false"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L47" s="1"/>
      <c r="AM47" s="1"/>
    </row>
    <row r="48" customFormat="false" ht="14.25" hidden="false" customHeight="true" outlineLevel="0" collapsed="false">
      <c r="C48" s="85" t="e">
        <f aca="false">_xlfn.xlookup($AM48,'PO item'!E:E,'PO item'!G:G,"")</f>
        <v>#NAME?</v>
      </c>
      <c r="D48" s="85"/>
      <c r="E48" s="85"/>
      <c r="F48" s="85"/>
      <c r="G48" s="86" t="e">
        <f aca="false">IF($AM$5="F",_xlfn.xlookup(C48,[1]Matières!A$1:A$1048576,[1]Matières!B$1:B$1048576,""),_xlfn.xlookup(C48,[1]Matières!A$1:A$1048576,[1]Matières!C$1:C$1048576,""))</f>
        <v>#NAME?</v>
      </c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  <c r="S48" s="86"/>
      <c r="T48" s="86"/>
      <c r="U48" s="86"/>
      <c r="V48" s="87" t="e">
        <f aca="false">_xlfn.xlookup($AM48,'PO item'!E:E,'PO item'!S:S,"")</f>
        <v>#NAME?</v>
      </c>
      <c r="W48" s="87"/>
      <c r="X48" s="87"/>
      <c r="Y48" s="87"/>
      <c r="Z48" s="88" t="e">
        <f aca="false">IF(C48="","","msi")</f>
        <v>#NAME?</v>
      </c>
      <c r="AA48" s="88"/>
      <c r="AB48" s="88"/>
      <c r="AC48" s="89" t="e">
        <f aca="false">_xlfn.xlookup($AM48,'PO item'!E:E,'PO item'!V:V,"")</f>
        <v>#NAME?</v>
      </c>
      <c r="AD48" s="89"/>
      <c r="AE48" s="89"/>
      <c r="AF48" s="89"/>
      <c r="AG48" s="90" t="str">
        <f aca="false">IFERROR(V48*AC48,"")</f>
        <v/>
      </c>
      <c r="AH48" s="90"/>
      <c r="AI48" s="90"/>
      <c r="AJ48" s="90"/>
      <c r="AL48" s="1" t="n">
        <v>9</v>
      </c>
      <c r="AM48" s="1" t="str">
        <f aca="false">$Z$7&amp;"-"&amp;AL48</f>
        <v>389-9</v>
      </c>
    </row>
    <row r="49" customFormat="false" ht="14.25" hidden="false" customHeight="true" outlineLevel="0" collapsed="false">
      <c r="C49" s="91" t="e">
        <f aca="false">_xlfn.xlookup($AM48,'PO item'!E:E,'PO item'!P:P,"")</f>
        <v>#NAME?</v>
      </c>
      <c r="D49" s="91"/>
      <c r="E49" s="91"/>
      <c r="F49" s="91"/>
      <c r="G49" s="92" t="e">
        <f aca="false">IF(C48="","",IF($AM$5="F","Larg: "&amp;AL49&amp;"po   Long: "&amp;AM49&amp;"pi","W: "&amp;AL49&amp;"in   L: "&amp;AM49&amp;"ft"))</f>
        <v>#NAME?</v>
      </c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3" t="e">
        <f aca="false">_xlfn.xlookup($AM48,'PO item'!E:E,'PO item'!O:O,"")</f>
        <v>#NAME?</v>
      </c>
      <c r="W49" s="93"/>
      <c r="X49" s="93"/>
      <c r="Y49" s="93"/>
      <c r="Z49" s="88" t="e">
        <f aca="false">IF(C48="","",IF($AM$5="F","roul.","roll"))</f>
        <v>#NAME?</v>
      </c>
      <c r="AA49" s="88"/>
      <c r="AB49" s="88"/>
      <c r="AC49" s="94" t="e">
        <f aca="false">_xlfn.xlookup($AM48,'PO item'!E:E,'PO item'!W:W,"")</f>
        <v>#NAME?</v>
      </c>
      <c r="AD49" s="94"/>
      <c r="AE49" s="94"/>
      <c r="AF49" s="94"/>
      <c r="AG49" s="90"/>
      <c r="AH49" s="90"/>
      <c r="AI49" s="90"/>
      <c r="AJ49" s="90"/>
      <c r="AL49" s="1" t="str">
        <f aca="false">IFERROR(_xlfn.xlookup(AM48,'PO item'!E:E,'PO item'!K:K),"")</f>
        <v/>
      </c>
      <c r="AM49" s="45" t="str">
        <f aca="false">IFERROR(_xlfn.xlookup(AM48,'PO item'!E:E,'PO item'!L:L),"")</f>
        <v/>
      </c>
    </row>
    <row r="50" s="45" customFormat="true" ht="6" hidden="false" customHeight="true" outlineLevel="0" collapsed="false"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L50" s="1"/>
      <c r="AM50" s="1"/>
    </row>
    <row r="51" customFormat="false" ht="14.25" hidden="false" customHeight="true" outlineLevel="0" collapsed="false">
      <c r="C51" s="85" t="e">
        <f aca="false">_xlfn.xlookup($AM51,'PO item'!E:E,'PO item'!G:G,"")</f>
        <v>#NAME?</v>
      </c>
      <c r="D51" s="85"/>
      <c r="E51" s="85"/>
      <c r="F51" s="85"/>
      <c r="G51" s="86" t="e">
        <f aca="false">IF($AM$5="F",_xlfn.xlookup(C51,[1]Matières!A$1:A$1048576,[1]Matières!B$1:B$1048576,""),_xlfn.xlookup(C51,[1]Matières!A$1:A$1048576,[1]Matières!C$1:C$1048576,""))</f>
        <v>#NAME?</v>
      </c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7" t="e">
        <f aca="false">_xlfn.xlookup($AM51,'PO item'!E:E,'PO item'!S:S,"")</f>
        <v>#NAME?</v>
      </c>
      <c r="W51" s="87"/>
      <c r="X51" s="87"/>
      <c r="Y51" s="87"/>
      <c r="Z51" s="88" t="e">
        <f aca="false">IF(C51="","","msi")</f>
        <v>#NAME?</v>
      </c>
      <c r="AA51" s="88"/>
      <c r="AB51" s="88"/>
      <c r="AC51" s="89" t="e">
        <f aca="false">_xlfn.xlookup($AM51,'PO item'!E:E,'PO item'!V:V,"")</f>
        <v>#NAME?</v>
      </c>
      <c r="AD51" s="89"/>
      <c r="AE51" s="89"/>
      <c r="AF51" s="89"/>
      <c r="AG51" s="90" t="str">
        <f aca="false">IFERROR(V51*AC51,"")</f>
        <v/>
      </c>
      <c r="AH51" s="90"/>
      <c r="AI51" s="90"/>
      <c r="AJ51" s="90"/>
      <c r="AL51" s="1" t="n">
        <v>10</v>
      </c>
      <c r="AM51" s="1" t="str">
        <f aca="false">$Z$7&amp;"-"&amp;AL51</f>
        <v>389-10</v>
      </c>
    </row>
    <row r="52" customFormat="false" ht="14.25" hidden="false" customHeight="true" outlineLevel="0" collapsed="false">
      <c r="C52" s="91" t="e">
        <f aca="false">_xlfn.xlookup($AM51,'PO item'!E:E,'PO item'!P:P,"")</f>
        <v>#NAME?</v>
      </c>
      <c r="D52" s="91"/>
      <c r="E52" s="91"/>
      <c r="F52" s="91"/>
      <c r="G52" s="92" t="e">
        <f aca="false">IF(C51="","",IF($AM$5="F","Larg: "&amp;AL52&amp;"po   Long: "&amp;AM52&amp;"pi","W: "&amp;AL52&amp;"in   L: "&amp;AM52&amp;"ft"))</f>
        <v>#NAME?</v>
      </c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3" t="e">
        <f aca="false">_xlfn.xlookup($AM51,'PO item'!E:E,'PO item'!O:O,"")</f>
        <v>#NAME?</v>
      </c>
      <c r="W52" s="93"/>
      <c r="X52" s="93"/>
      <c r="Y52" s="93"/>
      <c r="Z52" s="88" t="e">
        <f aca="false">IF(C51="","",IF($AM$5="F","roul.","roll"))</f>
        <v>#NAME?</v>
      </c>
      <c r="AA52" s="88"/>
      <c r="AB52" s="88"/>
      <c r="AC52" s="94" t="e">
        <f aca="false">_xlfn.xlookup($AM51,'PO item'!E:E,'PO item'!W:W,"")</f>
        <v>#NAME?</v>
      </c>
      <c r="AD52" s="94"/>
      <c r="AE52" s="94"/>
      <c r="AF52" s="94"/>
      <c r="AG52" s="90"/>
      <c r="AH52" s="90"/>
      <c r="AI52" s="90"/>
      <c r="AJ52" s="90"/>
      <c r="AL52" s="1" t="str">
        <f aca="false">IFERROR(_xlfn.xlookup(AM51,'PO item'!E:E,'PO item'!K:K),"")</f>
        <v/>
      </c>
      <c r="AM52" s="45" t="str">
        <f aca="false">IFERROR(_xlfn.xlookup(AM51,'PO item'!E:E,'PO item'!L:L),"")</f>
        <v/>
      </c>
    </row>
    <row r="53" customFormat="false" ht="6.75" hidden="false" customHeight="true" outlineLevel="0" collapsed="false"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L53" s="71"/>
      <c r="AM53" s="71"/>
    </row>
    <row r="54" customFormat="false" ht="15" hidden="false" customHeight="false" outlineLevel="0" collapsed="false">
      <c r="C54" s="70" t="str">
        <f aca="false">IF(AM5="F","Notes et directives","Notes and instructions")</f>
        <v>Notes and instructions</v>
      </c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V54" s="97" t="str">
        <f aca="false">IF($AM$5="F","SOUS-TOTAL","SUBTOTAL")</f>
        <v>SUBTOTAL</v>
      </c>
      <c r="W54" s="98"/>
      <c r="X54" s="98"/>
      <c r="Y54" s="99"/>
      <c r="Z54" s="99"/>
      <c r="AA54" s="99"/>
      <c r="AB54" s="99"/>
      <c r="AC54" s="100" t="str">
        <f aca="false">_xlfn.xlookup($Z$7,'PO Client'!A:A,'PO Client'!P:P,FALSE())</f>
        <v>CAD</v>
      </c>
      <c r="AD54" s="100"/>
      <c r="AE54" s="100"/>
      <c r="AF54" s="101" t="n">
        <f aca="false">SUM(AG24:AJ53)</f>
        <v>2505.6</v>
      </c>
      <c r="AG54" s="101"/>
      <c r="AH54" s="101"/>
      <c r="AI54" s="101"/>
      <c r="AJ54" s="101"/>
      <c r="AL54" s="102"/>
      <c r="AM54" s="71"/>
    </row>
    <row r="55" customFormat="false" ht="15" hidden="false" customHeight="false" outlineLevel="0" collapsed="false">
      <c r="C55" s="0" t="str">
        <f aca="false">IF(AM5="F","La quantité livrée peut varier de +/-5%","Delivered quantity can vary +/-5%")</f>
        <v>Delivered quantity can vary +/-5%</v>
      </c>
      <c r="V55" s="103"/>
      <c r="W55" s="104"/>
      <c r="X55" s="104"/>
      <c r="Y55" s="104"/>
      <c r="Z55" s="104"/>
      <c r="AA55" s="104"/>
      <c r="AB55" s="104"/>
      <c r="AC55" s="104"/>
      <c r="AD55" s="104"/>
      <c r="AE55" s="104"/>
      <c r="AF55" s="105"/>
      <c r="AG55" s="106"/>
      <c r="AH55" s="106"/>
      <c r="AI55" s="106"/>
      <c r="AJ55" s="106"/>
      <c r="AL55" s="71"/>
      <c r="AM55" s="71"/>
    </row>
    <row r="56" customFormat="false" ht="15" hidden="false" customHeight="false" outlineLevel="0" collapsed="false">
      <c r="C56" s="76" t="str">
        <f aca="false">_xlfn.xlookup($Z$7,'PO Client'!A:A,'PO Client'!N:N,FALSE())</f>
        <v>Delivery Included</v>
      </c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V56" s="107" t="str">
        <f aca="false">IF($AM$5="F","TAXES","TAX")</f>
        <v>TAX</v>
      </c>
      <c r="AA56" s="108" t="str">
        <f aca="false">_xlfn.xlookup($V$12,[1]Clients!B$1:B$1048576,[1]Clients!AA$1:AA$1048576,FALSE())</f>
        <v>TPS</v>
      </c>
      <c r="AC56" s="109" t="n">
        <f aca="false">_xlfn.xlookup($V$12,[1]Clients!B$1:B$1048576,[1]Clients!AB$1:AB$1048576,FALSE())</f>
        <v>0.05</v>
      </c>
      <c r="AD56" s="109"/>
      <c r="AE56" s="109"/>
      <c r="AF56" s="110" t="n">
        <f aca="false">AF54*AC56</f>
        <v>125.28</v>
      </c>
      <c r="AG56" s="110"/>
      <c r="AH56" s="110"/>
      <c r="AI56" s="110"/>
      <c r="AJ56" s="110"/>
      <c r="AL56" s="71"/>
      <c r="AM56" s="71"/>
    </row>
    <row r="57" customFormat="false" ht="15" hidden="false" customHeight="false" outlineLevel="0" collapsed="false">
      <c r="C57" s="76" t="n">
        <f aca="false">_xlfn.xlookup($Z$7,'PO Client'!A:A,'PO Client'!K:K,FALSE())</f>
        <v>0</v>
      </c>
      <c r="D57" s="76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V57" s="111"/>
      <c r="W57" s="112"/>
      <c r="X57" s="112"/>
      <c r="Y57" s="112"/>
      <c r="Z57" s="112"/>
      <c r="AA57" s="113" t="str">
        <f aca="false">_xlfn.xlookup($V$12,[1]Clients!B$1:B$1048576,[1]Clients!AC$1:AC$1048576,FALSE())</f>
        <v>TVQ</v>
      </c>
      <c r="AB57" s="112"/>
      <c r="AC57" s="114" t="n">
        <f aca="false">_xlfn.xlookup($V$12,[1]Clients!B$1:B$1048576,[1]Clients!AD$1:AD$1048576,FALSE())</f>
        <v>0.09975</v>
      </c>
      <c r="AD57" s="114"/>
      <c r="AE57" s="114"/>
      <c r="AF57" s="115" t="n">
        <f aca="false">AF54*AC57</f>
        <v>249.9336</v>
      </c>
      <c r="AG57" s="115"/>
      <c r="AH57" s="115"/>
      <c r="AI57" s="115"/>
      <c r="AJ57" s="115"/>
      <c r="AL57" s="71"/>
      <c r="AM57" s="71"/>
    </row>
    <row r="58" customFormat="false" ht="15" hidden="false" customHeight="false" outlineLevel="0" collapsed="false">
      <c r="C58" s="76" t="n">
        <f aca="false">_xlfn.xlookup($Z$7,'PO Client'!A:A,'PO Client'!L:L,FALSE())</f>
        <v>0</v>
      </c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V58" s="116" t="s">
        <v>689</v>
      </c>
      <c r="W58" s="117"/>
      <c r="X58" s="117"/>
      <c r="Y58" s="117"/>
      <c r="Z58" s="117"/>
      <c r="AA58" s="117"/>
      <c r="AB58" s="117"/>
      <c r="AC58" s="118" t="str">
        <f aca="false">AC54</f>
        <v>CAD</v>
      </c>
      <c r="AD58" s="118"/>
      <c r="AE58" s="118"/>
      <c r="AF58" s="119" t="n">
        <f aca="false">SUM(AF54:AJ57)</f>
        <v>2880.8136</v>
      </c>
      <c r="AG58" s="119"/>
      <c r="AH58" s="119"/>
      <c r="AI58" s="119"/>
      <c r="AJ58" s="119"/>
      <c r="AL58" s="71"/>
      <c r="AM58" s="71"/>
    </row>
    <row r="59" customFormat="false" ht="14.25" hidden="false" customHeight="true" outlineLevel="0" collapsed="false">
      <c r="C59" s="76" t="n">
        <f aca="false">_xlfn.xlookup($C$12,[1]Clients!B$1:B$1048576,[1]Clients!W$1:W$1048576,FALSE())</f>
        <v>0</v>
      </c>
      <c r="D59" s="76"/>
      <c r="E59" s="76"/>
      <c r="F59" s="76"/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AL59" s="71"/>
      <c r="AM59" s="71"/>
    </row>
    <row r="60" customFormat="false" ht="15" hidden="false" customHeight="false" outlineLevel="0" collapsed="false">
      <c r="AL60" s="71"/>
      <c r="AM60" s="71"/>
    </row>
    <row r="61" customFormat="false" ht="15" hidden="false" customHeight="false" outlineLevel="0" collapsed="false">
      <c r="AL61" s="71"/>
      <c r="AM61" s="71"/>
    </row>
    <row r="62" customFormat="false" ht="15" hidden="false" customHeight="false" outlineLevel="0" collapsed="false">
      <c r="C62" s="0" t="str">
        <f aca="false">IF(AM5="F","Conf.Commande","Order_Conf.")</f>
        <v>Order_Conf.</v>
      </c>
      <c r="AL62" s="71"/>
      <c r="AM62" s="71"/>
    </row>
    <row r="63" customFormat="false" ht="15" hidden="false" customHeight="false" outlineLevel="0" collapsed="false">
      <c r="C63" s="0" t="str">
        <f aca="false">C62&amp;" "&amp;_xlfn.xlookup($Z$7,'PO Client'!A:A,'PO Client'!C:C)&amp;" "&amp;C20</f>
        <v>Order_Conf. Mijo 14395</v>
      </c>
      <c r="AL63" s="71"/>
      <c r="AM63" s="71"/>
    </row>
    <row r="64" customFormat="false" ht="15" hidden="false" customHeight="false" outlineLevel="0" collapsed="false">
      <c r="C64" s="0" t="str">
        <f aca="false">SUBSTITUTE(C63, " ", "_")</f>
        <v>Order_Conf._Mijo_14395</v>
      </c>
      <c r="AL64" s="71"/>
      <c r="AM64" s="71"/>
    </row>
    <row r="65" customFormat="false" ht="15" hidden="false" customHeight="false" outlineLevel="0" collapsed="false">
      <c r="C65" s="0" t="str">
        <f aca="false">_xlfn.xlookup($C$12,[1]Clients!$B$1:$B$1048576,[1]Clients!$O$1:$O$1048576,FALSE())</f>
        <v>david@mijolabel.com;</v>
      </c>
    </row>
    <row r="66" customFormat="false" ht="15" hidden="false" customHeight="false" outlineLevel="0" collapsed="false">
      <c r="C66" s="0" t="str">
        <f aca="false">_xlfn.xlookup($C$12,[1]Clients!$B$1:$B$1048576,[1]Clients!$P$1:$P$1048576,FALSE())</f>
        <v>laurent.desjardins@labeledge.com ; david@mijolabel.com</v>
      </c>
    </row>
    <row r="67" customFormat="false" ht="15" hidden="false" customHeight="false" outlineLevel="0" collapsed="false">
      <c r="C67" s="45" t="str">
        <f aca="false">IF(AM5="F","&lt;br&gt;Bonjour,&lt;br&gt;Merci pour cette commande.&lt;br&gt;Veuillez trouver ci-joint notre confirmation de commande.&lt;br&gt;Cordialement,","&lt;br&gt;Hello,&lt;br&gt;Thank you for this order.&lt;br&gt;Please find attached our order confirmation.&lt;br&gt;Best regards,")</f>
        <v>&lt;br&gt;Hello,&lt;br&gt;Thank you for this order.&lt;br&gt;Please find attached our order confirmation.&lt;br&gt;Best regards,</v>
      </c>
    </row>
  </sheetData>
  <mergeCells count="159">
    <mergeCell ref="V5:AJ5"/>
    <mergeCell ref="AN5:AO5"/>
    <mergeCell ref="Z7:AJ7"/>
    <mergeCell ref="Z8:AJ8"/>
    <mergeCell ref="C9:K9"/>
    <mergeCell ref="Z9:AJ9"/>
    <mergeCell ref="C11:Q11"/>
    <mergeCell ref="V11:AJ11"/>
    <mergeCell ref="C12:Q12"/>
    <mergeCell ref="V12:AJ12"/>
    <mergeCell ref="C13:Q13"/>
    <mergeCell ref="V13:AJ13"/>
    <mergeCell ref="C14:Q14"/>
    <mergeCell ref="V14:AJ14"/>
    <mergeCell ref="C15:Q15"/>
    <mergeCell ref="V15:AJ15"/>
    <mergeCell ref="C16:Q16"/>
    <mergeCell ref="V16:AJ16"/>
    <mergeCell ref="C17:Q17"/>
    <mergeCell ref="V17:AJ17"/>
    <mergeCell ref="C19:I19"/>
    <mergeCell ref="J19:Q19"/>
    <mergeCell ref="R19:Z19"/>
    <mergeCell ref="AA19:AJ19"/>
    <mergeCell ref="C20:I20"/>
    <mergeCell ref="J20:Q20"/>
    <mergeCell ref="R20:Z20"/>
    <mergeCell ref="AA20:AJ20"/>
    <mergeCell ref="C22:F22"/>
    <mergeCell ref="G22:U23"/>
    <mergeCell ref="V22:Y23"/>
    <mergeCell ref="Z22:AB23"/>
    <mergeCell ref="AC22:AF23"/>
    <mergeCell ref="AG22:AJ23"/>
    <mergeCell ref="C23:F23"/>
    <mergeCell ref="C24:F24"/>
    <mergeCell ref="G24:U24"/>
    <mergeCell ref="V24:Y24"/>
    <mergeCell ref="Z24:AB24"/>
    <mergeCell ref="AC24:AF24"/>
    <mergeCell ref="AG24:AJ25"/>
    <mergeCell ref="C25:F25"/>
    <mergeCell ref="G25:U25"/>
    <mergeCell ref="V25:Y25"/>
    <mergeCell ref="Z25:AB25"/>
    <mergeCell ref="AC25:AF25"/>
    <mergeCell ref="C27:F27"/>
    <mergeCell ref="G27:U27"/>
    <mergeCell ref="V27:Y27"/>
    <mergeCell ref="Z27:AB27"/>
    <mergeCell ref="AC27:AF27"/>
    <mergeCell ref="AG27:AJ28"/>
    <mergeCell ref="C28:F28"/>
    <mergeCell ref="G28:U28"/>
    <mergeCell ref="V28:Y28"/>
    <mergeCell ref="Z28:AB28"/>
    <mergeCell ref="AC28:AF28"/>
    <mergeCell ref="C30:F30"/>
    <mergeCell ref="G30:U30"/>
    <mergeCell ref="V30:Y30"/>
    <mergeCell ref="Z30:AB30"/>
    <mergeCell ref="AC30:AF30"/>
    <mergeCell ref="AG30:AJ31"/>
    <mergeCell ref="C31:F31"/>
    <mergeCell ref="G31:U31"/>
    <mergeCell ref="V31:Y31"/>
    <mergeCell ref="Z31:AB31"/>
    <mergeCell ref="AC31:AF31"/>
    <mergeCell ref="C33:F33"/>
    <mergeCell ref="G33:U33"/>
    <mergeCell ref="V33:Y33"/>
    <mergeCell ref="Z33:AB33"/>
    <mergeCell ref="AC33:AF33"/>
    <mergeCell ref="AG33:AJ34"/>
    <mergeCell ref="C34:F34"/>
    <mergeCell ref="G34:U34"/>
    <mergeCell ref="V34:Y34"/>
    <mergeCell ref="Z34:AB34"/>
    <mergeCell ref="AC34:AF34"/>
    <mergeCell ref="C36:F36"/>
    <mergeCell ref="G36:U36"/>
    <mergeCell ref="V36:Y36"/>
    <mergeCell ref="Z36:AB36"/>
    <mergeCell ref="AC36:AF36"/>
    <mergeCell ref="AG36:AJ37"/>
    <mergeCell ref="C37:F37"/>
    <mergeCell ref="G37:U37"/>
    <mergeCell ref="V37:Y37"/>
    <mergeCell ref="Z37:AB37"/>
    <mergeCell ref="AC37:AF37"/>
    <mergeCell ref="C39:F39"/>
    <mergeCell ref="G39:U39"/>
    <mergeCell ref="V39:Y39"/>
    <mergeCell ref="Z39:AB39"/>
    <mergeCell ref="AC39:AF39"/>
    <mergeCell ref="AG39:AJ40"/>
    <mergeCell ref="C40:F40"/>
    <mergeCell ref="G40:U40"/>
    <mergeCell ref="V40:Y40"/>
    <mergeCell ref="Z40:AB40"/>
    <mergeCell ref="AC40:AF40"/>
    <mergeCell ref="C42:F42"/>
    <mergeCell ref="G42:U42"/>
    <mergeCell ref="V42:Y42"/>
    <mergeCell ref="Z42:AB42"/>
    <mergeCell ref="AC42:AF42"/>
    <mergeCell ref="AG42:AJ43"/>
    <mergeCell ref="C43:F43"/>
    <mergeCell ref="G43:U43"/>
    <mergeCell ref="V43:Y43"/>
    <mergeCell ref="Z43:AB43"/>
    <mergeCell ref="AC43:AF43"/>
    <mergeCell ref="C45:F45"/>
    <mergeCell ref="G45:U45"/>
    <mergeCell ref="V45:Y45"/>
    <mergeCell ref="Z45:AB45"/>
    <mergeCell ref="AC45:AF45"/>
    <mergeCell ref="AG45:AJ46"/>
    <mergeCell ref="C46:F46"/>
    <mergeCell ref="G46:U46"/>
    <mergeCell ref="V46:Y46"/>
    <mergeCell ref="Z46:AB46"/>
    <mergeCell ref="AC46:AF46"/>
    <mergeCell ref="C48:F48"/>
    <mergeCell ref="G48:U48"/>
    <mergeCell ref="V48:Y48"/>
    <mergeCell ref="Z48:AB48"/>
    <mergeCell ref="AC48:AF48"/>
    <mergeCell ref="AG48:AJ49"/>
    <mergeCell ref="C49:F49"/>
    <mergeCell ref="G49:U49"/>
    <mergeCell ref="V49:Y49"/>
    <mergeCell ref="Z49:AB49"/>
    <mergeCell ref="AC49:AF49"/>
    <mergeCell ref="C51:F51"/>
    <mergeCell ref="G51:U51"/>
    <mergeCell ref="V51:Y51"/>
    <mergeCell ref="Z51:AB51"/>
    <mergeCell ref="AC51:AF51"/>
    <mergeCell ref="AG51:AJ52"/>
    <mergeCell ref="C52:F52"/>
    <mergeCell ref="G52:U52"/>
    <mergeCell ref="V52:Y52"/>
    <mergeCell ref="Z52:AB52"/>
    <mergeCell ref="AC52:AF52"/>
    <mergeCell ref="C54:S54"/>
    <mergeCell ref="AC54:AE54"/>
    <mergeCell ref="AF54:AJ54"/>
    <mergeCell ref="AG55:AJ55"/>
    <mergeCell ref="C56:S56"/>
    <mergeCell ref="AC56:AE56"/>
    <mergeCell ref="AF56:AJ56"/>
    <mergeCell ref="C57:S57"/>
    <mergeCell ref="AC57:AE57"/>
    <mergeCell ref="AF57:AJ57"/>
    <mergeCell ref="C58:S58"/>
    <mergeCell ref="AC58:AE58"/>
    <mergeCell ref="AF58:AJ58"/>
    <mergeCell ref="C59:S59"/>
  </mergeCells>
  <hyperlinks>
    <hyperlink ref="C9" r:id="rId1" display="order@labeledge.com"/>
  </hyperlinks>
  <printOptions headings="false" gridLines="false" gridLinesSet="true" horizontalCentered="false" verticalCentered="false"/>
  <pageMargins left="0.708333333333333" right="0.708333333333333" top="0.669444444444445" bottom="0.66944444444444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L76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pane xSplit="0" ySplit="1" topLeftCell="A38" activePane="bottomLeft" state="frozen"/>
      <selection pane="topLeft" activeCell="A1" activeCellId="0" sqref="A1"/>
      <selection pane="bottomLeft" activeCell="K50" activeCellId="0" sqref="K50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6.57"/>
    <col collapsed="false" customWidth="true" hidden="false" outlineLevel="0" max="3" min="2" style="1" width="7.15"/>
    <col collapsed="false" customWidth="true" hidden="false" outlineLevel="0" max="4" min="4" style="45" width="12.14"/>
    <col collapsed="false" customWidth="true" hidden="false" outlineLevel="0" max="5" min="5" style="45" width="10.71"/>
    <col collapsed="false" customWidth="true" hidden="false" outlineLevel="0" max="6" min="6" style="1" width="9.14"/>
    <col collapsed="false" customWidth="true" hidden="false" outlineLevel="0" max="7" min="7" style="1" width="11.28"/>
    <col collapsed="false" customWidth="true" hidden="false" outlineLevel="0" max="10" min="8" style="1" width="8.72"/>
    <col collapsed="false" customWidth="true" hidden="false" outlineLevel="0" max="15" min="11" style="45" width="4.72"/>
    <col collapsed="false" customWidth="true" hidden="false" outlineLevel="0" max="21" min="16" style="45" width="2.29"/>
    <col collapsed="false" customWidth="true" hidden="false" outlineLevel="0" max="23" min="22" style="45" width="8.29"/>
    <col collapsed="false" customWidth="true" hidden="false" outlineLevel="0" max="24" min="24" style="45" width="9.86"/>
    <col collapsed="false" customWidth="true" hidden="false" outlineLevel="0" max="26" min="25" style="1" width="9.14"/>
    <col collapsed="false" customWidth="true" hidden="false" outlineLevel="0" max="27" min="27" style="1" width="4.72"/>
    <col collapsed="false" customWidth="true" hidden="false" outlineLevel="0" max="28" min="28" style="120" width="7.15"/>
    <col collapsed="false" customWidth="true" hidden="false" outlineLevel="0" max="29" min="29" style="1" width="4.29"/>
    <col collapsed="false" customWidth="true" hidden="false" outlineLevel="0" max="30" min="30" style="120" width="7.15"/>
    <col collapsed="false" customWidth="true" hidden="false" outlineLevel="0" max="31" min="31" style="1" width="4.29"/>
    <col collapsed="false" customWidth="true" hidden="false" outlineLevel="0" max="32" min="32" style="120" width="7.15"/>
    <col collapsed="false" customWidth="true" hidden="false" outlineLevel="0" max="33" min="33" style="1" width="4.29"/>
    <col collapsed="false" customWidth="true" hidden="false" outlineLevel="0" max="34" min="34" style="120" width="6"/>
    <col collapsed="false" customWidth="true" hidden="false" outlineLevel="0" max="35" min="35" style="1" width="4.29"/>
    <col collapsed="false" customWidth="true" hidden="false" outlineLevel="0" max="36" min="36" style="120" width="6"/>
    <col collapsed="false" customWidth="true" hidden="false" outlineLevel="0" max="37" min="37" style="1" width="7.72"/>
    <col collapsed="false" customWidth="true" hidden="false" outlineLevel="0" max="38" min="38" style="45" width="24.43"/>
  </cols>
  <sheetData>
    <row r="1" s="124" customFormat="true" ht="41.25" hidden="false" customHeight="true" outlineLevel="0" collapsed="false">
      <c r="A1" s="121" t="s">
        <v>690</v>
      </c>
      <c r="B1" s="121" t="s">
        <v>691</v>
      </c>
      <c r="C1" s="121"/>
      <c r="D1" s="121" t="s">
        <v>425</v>
      </c>
      <c r="E1" s="121" t="s">
        <v>692</v>
      </c>
      <c r="F1" s="121" t="s">
        <v>693</v>
      </c>
      <c r="G1" s="121" t="s">
        <v>5</v>
      </c>
      <c r="H1" s="121" t="s">
        <v>694</v>
      </c>
      <c r="I1" s="121" t="s">
        <v>695</v>
      </c>
      <c r="J1" s="121" t="s">
        <v>696</v>
      </c>
      <c r="K1" s="121" t="s">
        <v>431</v>
      </c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2" t="s">
        <v>697</v>
      </c>
      <c r="W1" s="122" t="s">
        <v>698</v>
      </c>
      <c r="X1" s="121" t="s">
        <v>699</v>
      </c>
      <c r="Y1" s="122" t="s">
        <v>700</v>
      </c>
      <c r="Z1" s="121" t="s">
        <v>435</v>
      </c>
      <c r="AA1" s="121" t="s">
        <v>701</v>
      </c>
      <c r="AB1" s="123" t="s">
        <v>702</v>
      </c>
      <c r="AC1" s="121" t="s">
        <v>703</v>
      </c>
      <c r="AD1" s="123" t="s">
        <v>704</v>
      </c>
      <c r="AE1" s="121" t="s">
        <v>705</v>
      </c>
      <c r="AF1" s="123" t="s">
        <v>706</v>
      </c>
      <c r="AG1" s="121" t="s">
        <v>707</v>
      </c>
      <c r="AH1" s="123" t="s">
        <v>708</v>
      </c>
      <c r="AI1" s="121" t="s">
        <v>709</v>
      </c>
      <c r="AJ1" s="123" t="s">
        <v>710</v>
      </c>
      <c r="AK1" s="121" t="s">
        <v>450</v>
      </c>
      <c r="AL1" s="121" t="s">
        <v>711</v>
      </c>
    </row>
    <row r="2" customFormat="false" ht="16.4" hidden="false" customHeight="false" outlineLevel="0" collapsed="false">
      <c r="A2" s="125" t="n">
        <v>40</v>
      </c>
      <c r="B2" s="125" t="n">
        <v>1</v>
      </c>
      <c r="C2" s="125" t="s">
        <v>712</v>
      </c>
      <c r="D2" s="126" t="s">
        <v>194</v>
      </c>
      <c r="E2" s="126" t="n">
        <v>2501937</v>
      </c>
      <c r="F2" s="125" t="n">
        <v>354</v>
      </c>
      <c r="G2" s="127" t="n">
        <v>45658</v>
      </c>
      <c r="H2" s="125" t="n">
        <v>10</v>
      </c>
      <c r="I2" s="125" t="n">
        <v>10</v>
      </c>
      <c r="J2" s="125" t="n">
        <v>100000</v>
      </c>
      <c r="K2" s="126" t="s">
        <v>452</v>
      </c>
      <c r="L2" s="126" t="s">
        <v>452</v>
      </c>
      <c r="M2" s="126" t="s">
        <v>452</v>
      </c>
      <c r="N2" s="126" t="s">
        <v>452</v>
      </c>
      <c r="O2" s="126"/>
      <c r="P2" s="126"/>
      <c r="Q2" s="126"/>
      <c r="R2" s="126"/>
      <c r="S2" s="126"/>
      <c r="T2" s="126"/>
      <c r="U2" s="126"/>
      <c r="V2" s="125"/>
      <c r="W2" s="126"/>
      <c r="X2" s="126"/>
      <c r="Y2" s="125" t="n">
        <v>2</v>
      </c>
      <c r="Z2" s="125" t="n">
        <v>10000</v>
      </c>
      <c r="AA2" s="125" t="n">
        <v>4</v>
      </c>
      <c r="AB2" s="128" t="n">
        <v>12.75</v>
      </c>
      <c r="AC2" s="125" t="n">
        <v>1</v>
      </c>
      <c r="AD2" s="128" t="n">
        <v>9</v>
      </c>
      <c r="AE2" s="125"/>
      <c r="AF2" s="128"/>
      <c r="AG2" s="125"/>
      <c r="AH2" s="128"/>
      <c r="AI2" s="125"/>
      <c r="AJ2" s="128"/>
      <c r="AK2" s="125" t="n">
        <v>60</v>
      </c>
      <c r="AL2" s="126"/>
    </row>
    <row r="3" customFormat="false" ht="16.4" hidden="false" customHeight="false" outlineLevel="0" collapsed="false">
      <c r="A3" s="125" t="n">
        <v>41</v>
      </c>
      <c r="B3" s="125" t="n">
        <v>1</v>
      </c>
      <c r="C3" s="125" t="s">
        <v>713</v>
      </c>
      <c r="D3" s="126" t="s">
        <v>462</v>
      </c>
      <c r="E3" s="126" t="s">
        <v>406</v>
      </c>
      <c r="F3" s="125" t="n">
        <v>355</v>
      </c>
      <c r="G3" s="127" t="n">
        <v>45659</v>
      </c>
      <c r="H3" s="125" t="n">
        <v>15</v>
      </c>
      <c r="I3" s="125" t="n">
        <v>15</v>
      </c>
      <c r="J3" s="125" t="n">
        <v>75000</v>
      </c>
      <c r="K3" s="126" t="s">
        <v>464</v>
      </c>
      <c r="L3" s="126" t="s">
        <v>464</v>
      </c>
      <c r="M3" s="126" t="s">
        <v>464</v>
      </c>
      <c r="N3" s="126" t="s">
        <v>464</v>
      </c>
      <c r="O3" s="126"/>
      <c r="P3" s="126"/>
      <c r="Q3" s="126"/>
      <c r="R3" s="126"/>
      <c r="S3" s="126"/>
      <c r="T3" s="126"/>
      <c r="U3" s="126"/>
      <c r="V3" s="125"/>
      <c r="W3" s="126"/>
      <c r="X3" s="126"/>
      <c r="Y3" s="125" t="n">
        <v>1</v>
      </c>
      <c r="Z3" s="125" t="n">
        <v>5000</v>
      </c>
      <c r="AA3" s="125" t="n">
        <v>10</v>
      </c>
      <c r="AB3" s="128" t="n">
        <v>4.375</v>
      </c>
      <c r="AC3" s="125" t="n">
        <v>2</v>
      </c>
      <c r="AD3" s="128" t="n">
        <v>3.625</v>
      </c>
      <c r="AE3" s="125" t="n">
        <v>2</v>
      </c>
      <c r="AF3" s="128" t="n">
        <v>3.75</v>
      </c>
      <c r="AG3" s="125" t="n">
        <v>1</v>
      </c>
      <c r="AH3" s="128" t="n">
        <v>1.5</v>
      </c>
      <c r="AI3" s="125"/>
      <c r="AJ3" s="128"/>
      <c r="AK3" s="125" t="n">
        <v>60</v>
      </c>
      <c r="AL3" s="126"/>
    </row>
    <row r="4" customFormat="false" ht="16.4" hidden="false" customHeight="false" outlineLevel="0" collapsed="false">
      <c r="A4" s="125" t="s">
        <v>714</v>
      </c>
      <c r="B4" s="125" t="n">
        <v>1</v>
      </c>
      <c r="C4" s="125" t="s">
        <v>715</v>
      </c>
      <c r="D4" s="126" t="s">
        <v>131</v>
      </c>
      <c r="E4" s="126" t="s">
        <v>408</v>
      </c>
      <c r="F4" s="125" t="n">
        <v>356</v>
      </c>
      <c r="G4" s="127" t="n">
        <v>45660</v>
      </c>
      <c r="H4" s="125" t="n">
        <v>1</v>
      </c>
      <c r="I4" s="125" t="n">
        <v>1</v>
      </c>
      <c r="J4" s="125" t="n">
        <v>1000</v>
      </c>
      <c r="K4" s="126" t="s">
        <v>452</v>
      </c>
      <c r="L4" s="126"/>
      <c r="M4" s="126"/>
      <c r="N4" s="126"/>
      <c r="O4" s="126"/>
      <c r="P4" s="126"/>
      <c r="Q4" s="126"/>
      <c r="R4" s="126"/>
      <c r="S4" s="126"/>
      <c r="T4" s="126"/>
      <c r="U4" s="126"/>
      <c r="V4" s="125"/>
      <c r="W4" s="126"/>
      <c r="X4" s="126"/>
      <c r="Y4" s="125" t="n">
        <v>1</v>
      </c>
      <c r="Z4" s="125" t="n">
        <v>1000</v>
      </c>
      <c r="AA4" s="125" t="n">
        <v>1</v>
      </c>
      <c r="AB4" s="128" t="n">
        <v>8.5</v>
      </c>
      <c r="AC4" s="125"/>
      <c r="AD4" s="128"/>
      <c r="AE4" s="125"/>
      <c r="AF4" s="128"/>
      <c r="AG4" s="125"/>
      <c r="AH4" s="128"/>
      <c r="AI4" s="125"/>
      <c r="AJ4" s="128"/>
      <c r="AK4" s="125" t="n">
        <v>8.5</v>
      </c>
      <c r="AL4" s="126" t="s">
        <v>716</v>
      </c>
    </row>
    <row r="5" customFormat="false" ht="16.4" hidden="false" customHeight="false" outlineLevel="0" collapsed="false">
      <c r="A5" s="125" t="s">
        <v>717</v>
      </c>
      <c r="B5" s="125" t="n">
        <v>1</v>
      </c>
      <c r="C5" s="125" t="s">
        <v>718</v>
      </c>
      <c r="D5" s="126" t="s">
        <v>131</v>
      </c>
      <c r="E5" s="126" t="s">
        <v>408</v>
      </c>
      <c r="F5" s="125" t="n">
        <v>356</v>
      </c>
      <c r="G5" s="127" t="n">
        <v>45661</v>
      </c>
      <c r="H5" s="125" t="n">
        <v>1</v>
      </c>
      <c r="I5" s="125" t="n">
        <v>1</v>
      </c>
      <c r="J5" s="125" t="n">
        <v>1000</v>
      </c>
      <c r="K5" s="126" t="s">
        <v>484</v>
      </c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5"/>
      <c r="W5" s="126"/>
      <c r="X5" s="126"/>
      <c r="Y5" s="125" t="n">
        <v>1</v>
      </c>
      <c r="Z5" s="125" t="n">
        <v>1000</v>
      </c>
      <c r="AA5" s="125" t="n">
        <v>1</v>
      </c>
      <c r="AB5" s="128" t="n">
        <v>8.5</v>
      </c>
      <c r="AC5" s="125"/>
      <c r="AD5" s="128"/>
      <c r="AE5" s="125"/>
      <c r="AF5" s="128"/>
      <c r="AG5" s="125"/>
      <c r="AH5" s="128"/>
      <c r="AI5" s="125"/>
      <c r="AJ5" s="128"/>
      <c r="AK5" s="125" t="n">
        <v>8.5</v>
      </c>
      <c r="AL5" s="126" t="s">
        <v>716</v>
      </c>
    </row>
    <row r="6" customFormat="false" ht="16.4" hidden="false" customHeight="false" outlineLevel="0" collapsed="false">
      <c r="A6" s="125" t="s">
        <v>719</v>
      </c>
      <c r="B6" s="125" t="n">
        <v>1</v>
      </c>
      <c r="C6" s="125" t="s">
        <v>720</v>
      </c>
      <c r="D6" s="126" t="s">
        <v>131</v>
      </c>
      <c r="E6" s="126" t="s">
        <v>408</v>
      </c>
      <c r="F6" s="125" t="n">
        <v>356</v>
      </c>
      <c r="G6" s="127" t="n">
        <v>45662</v>
      </c>
      <c r="H6" s="125" t="n">
        <v>1</v>
      </c>
      <c r="I6" s="125" t="n">
        <v>1</v>
      </c>
      <c r="J6" s="125" t="n">
        <v>1000</v>
      </c>
      <c r="K6" s="126" t="s">
        <v>464</v>
      </c>
      <c r="L6" s="126"/>
      <c r="M6" s="126"/>
      <c r="N6" s="126"/>
      <c r="O6" s="126"/>
      <c r="P6" s="126"/>
      <c r="Q6" s="126"/>
      <c r="R6" s="126"/>
      <c r="S6" s="126"/>
      <c r="T6" s="126"/>
      <c r="U6" s="126"/>
      <c r="V6" s="125"/>
      <c r="W6" s="126"/>
      <c r="X6" s="126"/>
      <c r="Y6" s="125" t="n">
        <v>1</v>
      </c>
      <c r="Z6" s="125" t="n">
        <v>1000</v>
      </c>
      <c r="AA6" s="125" t="n">
        <v>1</v>
      </c>
      <c r="AB6" s="128" t="n">
        <v>8.5</v>
      </c>
      <c r="AC6" s="125"/>
      <c r="AD6" s="128"/>
      <c r="AE6" s="125"/>
      <c r="AF6" s="128"/>
      <c r="AG6" s="125"/>
      <c r="AH6" s="128"/>
      <c r="AI6" s="125"/>
      <c r="AJ6" s="128"/>
      <c r="AK6" s="125" t="n">
        <v>8.5</v>
      </c>
      <c r="AL6" s="126" t="s">
        <v>716</v>
      </c>
    </row>
    <row r="7" customFormat="false" ht="16.4" hidden="false" customHeight="false" outlineLevel="0" collapsed="false">
      <c r="A7" s="125" t="s">
        <v>721</v>
      </c>
      <c r="B7" s="125" t="n">
        <v>1</v>
      </c>
      <c r="C7" s="125" t="s">
        <v>722</v>
      </c>
      <c r="D7" s="126" t="s">
        <v>131</v>
      </c>
      <c r="E7" s="126" t="s">
        <v>408</v>
      </c>
      <c r="F7" s="125" t="n">
        <v>356</v>
      </c>
      <c r="G7" s="127" t="n">
        <v>45663</v>
      </c>
      <c r="H7" s="125" t="n">
        <v>1</v>
      </c>
      <c r="I7" s="125" t="n">
        <v>1</v>
      </c>
      <c r="J7" s="125" t="n">
        <v>1000</v>
      </c>
      <c r="K7" s="126" t="s">
        <v>495</v>
      </c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5"/>
      <c r="W7" s="126"/>
      <c r="X7" s="126"/>
      <c r="Y7" s="125" t="n">
        <v>1</v>
      </c>
      <c r="Z7" s="125" t="n">
        <v>1000</v>
      </c>
      <c r="AA7" s="125" t="n">
        <v>1</v>
      </c>
      <c r="AB7" s="128" t="n">
        <v>8.5</v>
      </c>
      <c r="AC7" s="125"/>
      <c r="AD7" s="128"/>
      <c r="AE7" s="125"/>
      <c r="AF7" s="128"/>
      <c r="AG7" s="125"/>
      <c r="AH7" s="128"/>
      <c r="AI7" s="125"/>
      <c r="AJ7" s="128"/>
      <c r="AK7" s="125" t="n">
        <v>8.5</v>
      </c>
      <c r="AL7" s="126" t="s">
        <v>716</v>
      </c>
    </row>
    <row r="8" customFormat="false" ht="16.4" hidden="false" customHeight="false" outlineLevel="0" collapsed="false">
      <c r="A8" s="125" t="n">
        <v>43</v>
      </c>
      <c r="B8" s="125" t="n">
        <v>1</v>
      </c>
      <c r="C8" s="125" t="s">
        <v>723</v>
      </c>
      <c r="D8" s="126" t="s">
        <v>500</v>
      </c>
      <c r="E8" s="126" t="n">
        <v>50009215</v>
      </c>
      <c r="F8" s="125" t="n">
        <v>357</v>
      </c>
      <c r="G8" s="127" t="n">
        <v>45664</v>
      </c>
      <c r="H8" s="125" t="n">
        <v>72</v>
      </c>
      <c r="I8" s="125" t="n">
        <v>72</v>
      </c>
      <c r="J8" s="125" t="n">
        <v>360000</v>
      </c>
      <c r="K8" s="126" t="s">
        <v>502</v>
      </c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5"/>
      <c r="W8" s="126"/>
      <c r="X8" s="126"/>
      <c r="Y8" s="125" t="n">
        <v>12</v>
      </c>
      <c r="Z8" s="125" t="n">
        <v>5000</v>
      </c>
      <c r="AA8" s="125" t="n">
        <v>6</v>
      </c>
      <c r="AB8" s="128" t="n">
        <v>10</v>
      </c>
      <c r="AC8" s="125"/>
      <c r="AD8" s="128"/>
      <c r="AE8" s="125"/>
      <c r="AF8" s="128"/>
      <c r="AG8" s="125"/>
      <c r="AH8" s="128"/>
      <c r="AI8" s="125"/>
      <c r="AJ8" s="128"/>
      <c r="AK8" s="125" t="n">
        <v>60</v>
      </c>
      <c r="AL8" s="126"/>
    </row>
    <row r="9" customFormat="false" ht="16.4" hidden="false" customHeight="false" outlineLevel="0" collapsed="false">
      <c r="A9" s="125" t="s">
        <v>724</v>
      </c>
      <c r="B9" s="125" t="n">
        <v>1</v>
      </c>
      <c r="C9" s="125" t="s">
        <v>725</v>
      </c>
      <c r="D9" s="126" t="s">
        <v>726</v>
      </c>
      <c r="E9" s="126" t="n">
        <v>179201</v>
      </c>
      <c r="F9" s="125" t="n">
        <v>358</v>
      </c>
      <c r="G9" s="127" t="n">
        <v>45665</v>
      </c>
      <c r="H9" s="125" t="n">
        <v>12</v>
      </c>
      <c r="I9" s="125" t="n">
        <v>12</v>
      </c>
      <c r="J9" s="125" t="n">
        <v>60000</v>
      </c>
      <c r="K9" s="126" t="s">
        <v>509</v>
      </c>
      <c r="L9" s="126" t="s">
        <v>509</v>
      </c>
      <c r="M9" s="126" t="s">
        <v>517</v>
      </c>
      <c r="N9" s="126"/>
      <c r="O9" s="126"/>
      <c r="P9" s="126"/>
      <c r="Q9" s="126"/>
      <c r="R9" s="126"/>
      <c r="S9" s="126"/>
      <c r="T9" s="126"/>
      <c r="U9" s="126"/>
      <c r="V9" s="125"/>
      <c r="W9" s="126"/>
      <c r="X9" s="126"/>
      <c r="Y9" s="125" t="n">
        <v>2</v>
      </c>
      <c r="Z9" s="125" t="n">
        <v>5000</v>
      </c>
      <c r="AA9" s="125" t="n">
        <v>5</v>
      </c>
      <c r="AB9" s="128" t="n">
        <v>9</v>
      </c>
      <c r="AC9" s="125" t="n">
        <v>1</v>
      </c>
      <c r="AD9" s="128" t="n">
        <v>15</v>
      </c>
      <c r="AE9" s="125"/>
      <c r="AF9" s="128"/>
      <c r="AG9" s="125"/>
      <c r="AH9" s="128"/>
      <c r="AI9" s="125"/>
      <c r="AJ9" s="128"/>
      <c r="AK9" s="125" t="n">
        <v>60</v>
      </c>
      <c r="AL9" s="126"/>
    </row>
    <row r="10" customFormat="false" ht="16.4" hidden="false" customHeight="false" outlineLevel="0" collapsed="false">
      <c r="A10" s="125" t="s">
        <v>727</v>
      </c>
      <c r="B10" s="125" t="n">
        <v>1</v>
      </c>
      <c r="C10" s="125" t="s">
        <v>728</v>
      </c>
      <c r="D10" s="126" t="s">
        <v>726</v>
      </c>
      <c r="E10" s="126" t="n">
        <v>179201</v>
      </c>
      <c r="F10" s="125" t="n">
        <v>358</v>
      </c>
      <c r="G10" s="127" t="n">
        <v>45666</v>
      </c>
      <c r="H10" s="125" t="n">
        <v>1</v>
      </c>
      <c r="I10" s="125" t="n">
        <v>1</v>
      </c>
      <c r="J10" s="125" t="n">
        <v>1800</v>
      </c>
      <c r="K10" s="126" t="s">
        <v>517</v>
      </c>
      <c r="L10" s="126"/>
      <c r="M10" s="126"/>
      <c r="N10" s="126"/>
      <c r="O10" s="126"/>
      <c r="P10" s="126"/>
      <c r="Q10" s="126"/>
      <c r="R10" s="126"/>
      <c r="S10" s="126"/>
      <c r="T10" s="126"/>
      <c r="U10" s="126"/>
      <c r="V10" s="125"/>
      <c r="W10" s="126"/>
      <c r="X10" s="126"/>
      <c r="Y10" s="125" t="n">
        <v>1</v>
      </c>
      <c r="Z10" s="125" t="n">
        <v>1900</v>
      </c>
      <c r="AA10" s="125" t="n">
        <v>1</v>
      </c>
      <c r="AB10" s="128" t="n">
        <v>9</v>
      </c>
      <c r="AC10" s="125"/>
      <c r="AD10" s="128"/>
      <c r="AE10" s="125"/>
      <c r="AF10" s="128"/>
      <c r="AG10" s="125"/>
      <c r="AH10" s="128"/>
      <c r="AI10" s="125"/>
      <c r="AJ10" s="128"/>
      <c r="AK10" s="125" t="n">
        <v>9</v>
      </c>
      <c r="AL10" s="126" t="s">
        <v>92</v>
      </c>
    </row>
    <row r="11" customFormat="false" ht="16.4" hidden="false" customHeight="false" outlineLevel="0" collapsed="false">
      <c r="A11" s="125" t="n">
        <v>45</v>
      </c>
      <c r="B11" s="125" t="n">
        <v>1</v>
      </c>
      <c r="C11" s="125" t="s">
        <v>729</v>
      </c>
      <c r="D11" s="126" t="s">
        <v>522</v>
      </c>
      <c r="E11" s="126" t="n">
        <v>107832</v>
      </c>
      <c r="F11" s="125" t="n">
        <v>359</v>
      </c>
      <c r="G11" s="127" t="n">
        <v>45667</v>
      </c>
      <c r="H11" s="125" t="n">
        <v>5</v>
      </c>
      <c r="I11" s="125" t="n">
        <v>5</v>
      </c>
      <c r="J11" s="125" t="n">
        <v>25000</v>
      </c>
      <c r="K11" s="126" t="s">
        <v>484</v>
      </c>
      <c r="L11" s="126"/>
      <c r="M11" s="126"/>
      <c r="N11" s="126"/>
      <c r="O11" s="126"/>
      <c r="P11" s="126"/>
      <c r="Q11" s="126"/>
      <c r="R11" s="126"/>
      <c r="S11" s="126"/>
      <c r="T11" s="126"/>
      <c r="U11" s="126"/>
      <c r="V11" s="125"/>
      <c r="W11" s="126"/>
      <c r="X11" s="126"/>
      <c r="Y11" s="125" t="n">
        <v>1</v>
      </c>
      <c r="Z11" s="125" t="n">
        <v>5000</v>
      </c>
      <c r="AA11" s="125" t="n">
        <v>5</v>
      </c>
      <c r="AB11" s="128" t="n">
        <v>12</v>
      </c>
      <c r="AC11" s="125"/>
      <c r="AD11" s="128"/>
      <c r="AE11" s="125"/>
      <c r="AF11" s="128"/>
      <c r="AG11" s="125"/>
      <c r="AH11" s="128"/>
      <c r="AI11" s="125"/>
      <c r="AJ11" s="128"/>
      <c r="AK11" s="125" t="n">
        <v>60</v>
      </c>
      <c r="AL11" s="126"/>
    </row>
    <row r="12" customFormat="false" ht="16.4" hidden="false" customHeight="false" outlineLevel="0" collapsed="false">
      <c r="A12" s="125" t="n">
        <v>46</v>
      </c>
      <c r="B12" s="125" t="n">
        <v>1</v>
      </c>
      <c r="C12" s="125" t="s">
        <v>730</v>
      </c>
      <c r="D12" s="126" t="s">
        <v>527</v>
      </c>
      <c r="E12" s="126" t="s">
        <v>410</v>
      </c>
      <c r="F12" s="125" t="n">
        <v>360</v>
      </c>
      <c r="G12" s="127" t="n">
        <v>45668</v>
      </c>
      <c r="H12" s="125" t="n">
        <v>9</v>
      </c>
      <c r="I12" s="125" t="n">
        <v>9</v>
      </c>
      <c r="J12" s="125" t="n">
        <v>90000</v>
      </c>
      <c r="K12" s="126" t="s">
        <v>509</v>
      </c>
      <c r="L12" s="126" t="s">
        <v>509</v>
      </c>
      <c r="M12" s="126"/>
      <c r="N12" s="126"/>
      <c r="O12" s="126"/>
      <c r="P12" s="126"/>
      <c r="Q12" s="126"/>
      <c r="R12" s="126"/>
      <c r="S12" s="126"/>
      <c r="T12" s="126"/>
      <c r="U12" s="126"/>
      <c r="V12" s="125"/>
      <c r="W12" s="126"/>
      <c r="X12" s="126"/>
      <c r="Y12" s="125" t="n">
        <v>1</v>
      </c>
      <c r="Z12" s="125" t="n">
        <v>10000</v>
      </c>
      <c r="AA12" s="125" t="n">
        <v>6</v>
      </c>
      <c r="AB12" s="128" t="n">
        <v>5.25</v>
      </c>
      <c r="AC12" s="125" t="n">
        <v>3</v>
      </c>
      <c r="AD12" s="128" t="n">
        <v>9.5</v>
      </c>
      <c r="AE12" s="125"/>
      <c r="AF12" s="128"/>
      <c r="AG12" s="125"/>
      <c r="AH12" s="128"/>
      <c r="AI12" s="125"/>
      <c r="AJ12" s="128"/>
      <c r="AK12" s="125" t="n">
        <v>60</v>
      </c>
      <c r="AL12" s="126"/>
    </row>
    <row r="13" customFormat="false" ht="16.4" hidden="false" customHeight="false" outlineLevel="0" collapsed="false">
      <c r="A13" s="125" t="n">
        <v>48</v>
      </c>
      <c r="B13" s="125" t="n">
        <v>1</v>
      </c>
      <c r="C13" s="125" t="s">
        <v>731</v>
      </c>
      <c r="D13" s="126" t="s">
        <v>522</v>
      </c>
      <c r="E13" s="126" t="n">
        <v>107899</v>
      </c>
      <c r="F13" s="125" t="n">
        <v>361</v>
      </c>
      <c r="G13" s="127" t="n">
        <v>45669</v>
      </c>
      <c r="H13" s="125" t="n">
        <v>6</v>
      </c>
      <c r="I13" s="125" t="n">
        <v>6</v>
      </c>
      <c r="J13" s="125" t="n">
        <v>30000</v>
      </c>
      <c r="K13" s="126" t="s">
        <v>484</v>
      </c>
      <c r="L13" s="126" t="s">
        <v>484</v>
      </c>
      <c r="M13" s="126"/>
      <c r="N13" s="126"/>
      <c r="O13" s="126"/>
      <c r="P13" s="126"/>
      <c r="Q13" s="126"/>
      <c r="R13" s="126"/>
      <c r="S13" s="126"/>
      <c r="T13" s="126"/>
      <c r="U13" s="126"/>
      <c r="V13" s="125"/>
      <c r="W13" s="126"/>
      <c r="X13" s="126"/>
      <c r="Y13" s="125" t="n">
        <v>1</v>
      </c>
      <c r="Z13" s="125" t="n">
        <v>5000</v>
      </c>
      <c r="AA13" s="125" t="n">
        <v>6</v>
      </c>
      <c r="AB13" s="128" t="n">
        <v>10</v>
      </c>
      <c r="AC13" s="125"/>
      <c r="AD13" s="128"/>
      <c r="AE13" s="125"/>
      <c r="AF13" s="128"/>
      <c r="AG13" s="125"/>
      <c r="AH13" s="128"/>
      <c r="AI13" s="125"/>
      <c r="AJ13" s="128"/>
      <c r="AK13" s="125" t="n">
        <v>60</v>
      </c>
      <c r="AL13" s="126"/>
    </row>
    <row r="14" customFormat="false" ht="16.4" hidden="false" customHeight="false" outlineLevel="0" collapsed="false">
      <c r="A14" s="125" t="n">
        <v>48</v>
      </c>
      <c r="B14" s="125" t="n">
        <v>2</v>
      </c>
      <c r="C14" s="125" t="s">
        <v>732</v>
      </c>
      <c r="D14" s="126" t="s">
        <v>522</v>
      </c>
      <c r="E14" s="126" t="n">
        <v>107899</v>
      </c>
      <c r="F14" s="125" t="n">
        <v>361</v>
      </c>
      <c r="G14" s="127" t="n">
        <v>45670</v>
      </c>
      <c r="H14" s="125" t="n">
        <v>5</v>
      </c>
      <c r="I14" s="125" t="n">
        <v>5</v>
      </c>
      <c r="J14" s="125" t="n">
        <v>25000</v>
      </c>
      <c r="K14" s="126" t="s">
        <v>484</v>
      </c>
      <c r="L14" s="126" t="s">
        <v>484</v>
      </c>
      <c r="M14" s="126"/>
      <c r="N14" s="126"/>
      <c r="O14" s="126"/>
      <c r="P14" s="126"/>
      <c r="Q14" s="126"/>
      <c r="R14" s="126"/>
      <c r="S14" s="126"/>
      <c r="T14" s="126"/>
      <c r="U14" s="126"/>
      <c r="V14" s="125"/>
      <c r="W14" s="126"/>
      <c r="X14" s="126"/>
      <c r="Y14" s="125" t="n">
        <v>1</v>
      </c>
      <c r="Z14" s="125" t="n">
        <v>5000</v>
      </c>
      <c r="AA14" s="125" t="n">
        <v>5</v>
      </c>
      <c r="AB14" s="128" t="n">
        <v>12</v>
      </c>
      <c r="AC14" s="125"/>
      <c r="AD14" s="128"/>
      <c r="AE14" s="125"/>
      <c r="AF14" s="128"/>
      <c r="AG14" s="125"/>
      <c r="AH14" s="128"/>
      <c r="AI14" s="125"/>
      <c r="AJ14" s="128"/>
      <c r="AK14" s="125" t="n">
        <v>60</v>
      </c>
      <c r="AL14" s="126"/>
    </row>
    <row r="15" customFormat="false" ht="16.4" hidden="false" customHeight="false" outlineLevel="0" collapsed="false">
      <c r="A15" s="125" t="n">
        <v>49</v>
      </c>
      <c r="B15" s="125" t="n">
        <v>1</v>
      </c>
      <c r="C15" s="125" t="s">
        <v>733</v>
      </c>
      <c r="D15" s="126" t="s">
        <v>522</v>
      </c>
      <c r="E15" s="126" t="n">
        <v>107945</v>
      </c>
      <c r="F15" s="125" t="n">
        <v>362</v>
      </c>
      <c r="G15" s="127" t="n">
        <v>45671</v>
      </c>
      <c r="H15" s="125" t="n">
        <v>6</v>
      </c>
      <c r="I15" s="125" t="n">
        <v>6</v>
      </c>
      <c r="J15" s="125" t="n">
        <v>30000</v>
      </c>
      <c r="K15" s="126" t="s">
        <v>464</v>
      </c>
      <c r="L15" s="126"/>
      <c r="M15" s="126"/>
      <c r="N15" s="126"/>
      <c r="O15" s="126"/>
      <c r="P15" s="126"/>
      <c r="Q15" s="126"/>
      <c r="R15" s="126"/>
      <c r="S15" s="126"/>
      <c r="T15" s="126"/>
      <c r="U15" s="126"/>
      <c r="V15" s="125"/>
      <c r="W15" s="126"/>
      <c r="X15" s="126"/>
      <c r="Y15" s="125" t="n">
        <v>1</v>
      </c>
      <c r="Z15" s="125" t="n">
        <v>5000</v>
      </c>
      <c r="AA15" s="125" t="n">
        <v>6</v>
      </c>
      <c r="AB15" s="128" t="n">
        <v>10</v>
      </c>
      <c r="AC15" s="125"/>
      <c r="AD15" s="128"/>
      <c r="AE15" s="125"/>
      <c r="AF15" s="128"/>
      <c r="AG15" s="125"/>
      <c r="AH15" s="128"/>
      <c r="AI15" s="125"/>
      <c r="AJ15" s="128"/>
      <c r="AK15" s="125" t="n">
        <v>60</v>
      </c>
      <c r="AL15" s="126"/>
    </row>
    <row r="16" customFormat="false" ht="16.4" hidden="false" customHeight="false" outlineLevel="0" collapsed="false">
      <c r="A16" s="125" t="n">
        <v>50</v>
      </c>
      <c r="B16" s="125" t="n">
        <v>1</v>
      </c>
      <c r="C16" s="125" t="s">
        <v>734</v>
      </c>
      <c r="D16" s="126" t="s">
        <v>131</v>
      </c>
      <c r="E16" s="126" t="s">
        <v>412</v>
      </c>
      <c r="F16" s="125" t="n">
        <v>363</v>
      </c>
      <c r="G16" s="127" t="n">
        <v>45672</v>
      </c>
      <c r="H16" s="125" t="n">
        <v>4</v>
      </c>
      <c r="I16" s="125" t="n">
        <v>4</v>
      </c>
      <c r="J16" s="125" t="n">
        <v>40000</v>
      </c>
      <c r="K16" s="126" t="s">
        <v>495</v>
      </c>
      <c r="L16" s="126" t="s">
        <v>495</v>
      </c>
      <c r="M16" s="126"/>
      <c r="N16" s="126"/>
      <c r="O16" s="126"/>
      <c r="P16" s="126"/>
      <c r="Q16" s="126"/>
      <c r="R16" s="126"/>
      <c r="S16" s="126"/>
      <c r="T16" s="126"/>
      <c r="U16" s="126"/>
      <c r="V16" s="125"/>
      <c r="W16" s="126"/>
      <c r="X16" s="126"/>
      <c r="Y16" s="125" t="n">
        <v>1</v>
      </c>
      <c r="Z16" s="125" t="n">
        <v>10000</v>
      </c>
      <c r="AA16" s="125" t="n">
        <v>3</v>
      </c>
      <c r="AB16" s="128" t="n">
        <v>16.75</v>
      </c>
      <c r="AC16" s="125" t="n">
        <v>1</v>
      </c>
      <c r="AD16" s="128" t="n">
        <v>8.5</v>
      </c>
      <c r="AE16" s="125"/>
      <c r="AF16" s="128"/>
      <c r="AG16" s="125"/>
      <c r="AH16" s="128"/>
      <c r="AI16" s="125"/>
      <c r="AJ16" s="128"/>
      <c r="AK16" s="125" t="n">
        <v>58.75</v>
      </c>
      <c r="AL16" s="126"/>
    </row>
    <row r="17" customFormat="false" ht="16.4" hidden="false" customHeight="false" outlineLevel="0" collapsed="false">
      <c r="A17" s="125" t="n">
        <v>51</v>
      </c>
      <c r="B17" s="125" t="n">
        <v>1</v>
      </c>
      <c r="C17" s="125" t="s">
        <v>735</v>
      </c>
      <c r="D17" s="126" t="s">
        <v>462</v>
      </c>
      <c r="E17" s="126" t="s">
        <v>413</v>
      </c>
      <c r="F17" s="125" t="n">
        <v>364</v>
      </c>
      <c r="G17" s="127" t="n">
        <v>45673</v>
      </c>
      <c r="H17" s="125" t="n">
        <v>6</v>
      </c>
      <c r="I17" s="125" t="n">
        <v>6</v>
      </c>
      <c r="J17" s="125" t="n">
        <v>110000</v>
      </c>
      <c r="K17" s="126" t="s">
        <v>517</v>
      </c>
      <c r="L17" s="126" t="s">
        <v>517</v>
      </c>
      <c r="M17" s="126"/>
      <c r="N17" s="126"/>
      <c r="O17" s="126"/>
      <c r="P17" s="126"/>
      <c r="Q17" s="126"/>
      <c r="R17" s="126"/>
      <c r="S17" s="126"/>
      <c r="T17" s="126"/>
      <c r="U17" s="126"/>
      <c r="V17" s="125"/>
      <c r="W17" s="126"/>
      <c r="X17" s="126"/>
      <c r="Y17" s="125" t="n">
        <v>1</v>
      </c>
      <c r="Z17" s="125" t="n">
        <v>10000</v>
      </c>
      <c r="AA17" s="125" t="n">
        <v>6</v>
      </c>
      <c r="AB17" s="128" t="n">
        <v>6.875</v>
      </c>
      <c r="AC17" s="125"/>
      <c r="AD17" s="128"/>
      <c r="AE17" s="125"/>
      <c r="AF17" s="128"/>
      <c r="AG17" s="125"/>
      <c r="AH17" s="128"/>
      <c r="AI17" s="125"/>
      <c r="AJ17" s="128"/>
      <c r="AK17" s="125" t="n">
        <v>41.25</v>
      </c>
      <c r="AL17" s="126" t="s">
        <v>736</v>
      </c>
    </row>
    <row r="18" customFormat="false" ht="16.4" hidden="false" customHeight="false" outlineLevel="0" collapsed="false">
      <c r="A18" s="125" t="n">
        <v>51</v>
      </c>
      <c r="B18" s="125" t="n">
        <v>2</v>
      </c>
      <c r="C18" s="125" t="s">
        <v>737</v>
      </c>
      <c r="D18" s="126" t="s">
        <v>462</v>
      </c>
      <c r="E18" s="126" t="s">
        <v>413</v>
      </c>
      <c r="F18" s="125" t="n">
        <v>364</v>
      </c>
      <c r="G18" s="127" t="n">
        <v>45674</v>
      </c>
      <c r="H18" s="125" t="n">
        <v>10</v>
      </c>
      <c r="I18" s="125" t="n">
        <v>10</v>
      </c>
      <c r="J18" s="125" t="n">
        <v>110000</v>
      </c>
      <c r="K18" s="126" t="s">
        <v>517</v>
      </c>
      <c r="L18" s="126" t="s">
        <v>517</v>
      </c>
      <c r="M18" s="126"/>
      <c r="N18" s="126"/>
      <c r="O18" s="126"/>
      <c r="P18" s="126"/>
      <c r="Q18" s="126"/>
      <c r="R18" s="126"/>
      <c r="S18" s="126"/>
      <c r="T18" s="126"/>
      <c r="U18" s="126"/>
      <c r="V18" s="125"/>
      <c r="W18" s="126"/>
      <c r="X18" s="126"/>
      <c r="Y18" s="125" t="n">
        <v>2</v>
      </c>
      <c r="Z18" s="125" t="n">
        <v>5000</v>
      </c>
      <c r="AA18" s="125" t="n">
        <v>5</v>
      </c>
      <c r="AB18" s="128" t="n">
        <v>3.75</v>
      </c>
      <c r="AC18" s="125"/>
      <c r="AD18" s="128"/>
      <c r="AE18" s="125"/>
      <c r="AF18" s="128"/>
      <c r="AG18" s="125"/>
      <c r="AH18" s="128"/>
      <c r="AI18" s="125"/>
      <c r="AJ18" s="128"/>
      <c r="AK18" s="125" t="n">
        <v>18.75</v>
      </c>
      <c r="AL18" s="126" t="s">
        <v>738</v>
      </c>
    </row>
    <row r="19" customFormat="false" ht="16.4" hidden="false" customHeight="false" outlineLevel="0" collapsed="false">
      <c r="A19" s="125" t="n">
        <v>57</v>
      </c>
      <c r="B19" s="125" t="n">
        <v>1</v>
      </c>
      <c r="C19" s="125" t="s">
        <v>739</v>
      </c>
      <c r="D19" s="126" t="s">
        <v>194</v>
      </c>
      <c r="E19" s="126" t="n">
        <v>2501994</v>
      </c>
      <c r="F19" s="125" t="n">
        <v>365</v>
      </c>
      <c r="G19" s="127" t="n">
        <v>45675</v>
      </c>
      <c r="H19" s="125" t="n">
        <v>10</v>
      </c>
      <c r="I19" s="125" t="n">
        <v>10</v>
      </c>
      <c r="J19" s="125" t="n">
        <v>100000</v>
      </c>
      <c r="K19" s="126" t="s">
        <v>452</v>
      </c>
      <c r="L19" s="126" t="s">
        <v>452</v>
      </c>
      <c r="M19" s="126" t="s">
        <v>452</v>
      </c>
      <c r="N19" s="126"/>
      <c r="O19" s="126"/>
      <c r="P19" s="126"/>
      <c r="Q19" s="126"/>
      <c r="R19" s="126"/>
      <c r="S19" s="126"/>
      <c r="T19" s="126"/>
      <c r="U19" s="126"/>
      <c r="V19" s="125" t="s">
        <v>740</v>
      </c>
      <c r="W19" s="126"/>
      <c r="X19" s="126"/>
      <c r="Y19" s="125" t="n">
        <v>1</v>
      </c>
      <c r="Z19" s="125" t="n">
        <v>10000</v>
      </c>
      <c r="AA19" s="125" t="n">
        <v>4</v>
      </c>
      <c r="AB19" s="128" t="n">
        <v>4.5</v>
      </c>
      <c r="AC19" s="125" t="n">
        <v>2</v>
      </c>
      <c r="AD19" s="128" t="n">
        <v>9</v>
      </c>
      <c r="AE19" s="125" t="n">
        <v>4</v>
      </c>
      <c r="AF19" s="128" t="n">
        <v>6</v>
      </c>
      <c r="AG19" s="125"/>
      <c r="AH19" s="128"/>
      <c r="AI19" s="125"/>
      <c r="AJ19" s="128"/>
      <c r="AK19" s="125" t="n">
        <v>60</v>
      </c>
      <c r="AL19" s="126"/>
    </row>
    <row r="20" customFormat="false" ht="16.4" hidden="false" customHeight="false" outlineLevel="0" collapsed="false">
      <c r="A20" s="125" t="n">
        <v>58</v>
      </c>
      <c r="B20" s="125" t="n">
        <v>1</v>
      </c>
      <c r="C20" s="125" t="s">
        <v>741</v>
      </c>
      <c r="D20" s="126" t="s">
        <v>522</v>
      </c>
      <c r="E20" s="126" t="n">
        <v>108029</v>
      </c>
      <c r="F20" s="125" t="n">
        <v>366</v>
      </c>
      <c r="G20" s="127" t="n">
        <v>45676</v>
      </c>
      <c r="H20" s="125" t="n">
        <v>6</v>
      </c>
      <c r="I20" s="125" t="n">
        <v>6</v>
      </c>
      <c r="J20" s="125" t="n">
        <v>30000</v>
      </c>
      <c r="K20" s="126" t="s">
        <v>484</v>
      </c>
      <c r="L20" s="126"/>
      <c r="M20" s="126"/>
      <c r="N20" s="126"/>
      <c r="O20" s="126"/>
      <c r="P20" s="126"/>
      <c r="Q20" s="126"/>
      <c r="R20" s="126"/>
      <c r="S20" s="126"/>
      <c r="T20" s="126"/>
      <c r="U20" s="126"/>
      <c r="V20" s="125"/>
      <c r="W20" s="126"/>
      <c r="X20" s="126"/>
      <c r="Y20" s="125" t="n">
        <v>1</v>
      </c>
      <c r="Z20" s="125" t="n">
        <v>5000</v>
      </c>
      <c r="AA20" s="125" t="n">
        <v>6</v>
      </c>
      <c r="AB20" s="128" t="n">
        <v>10</v>
      </c>
      <c r="AC20" s="125"/>
      <c r="AD20" s="128"/>
      <c r="AE20" s="125"/>
      <c r="AF20" s="128"/>
      <c r="AG20" s="125"/>
      <c r="AH20" s="128"/>
      <c r="AI20" s="125"/>
      <c r="AJ20" s="128"/>
      <c r="AK20" s="125" t="n">
        <v>60</v>
      </c>
      <c r="AL20" s="126"/>
    </row>
    <row r="21" customFormat="false" ht="16.4" hidden="false" customHeight="false" outlineLevel="0" collapsed="false">
      <c r="A21" s="125" t="n">
        <v>59</v>
      </c>
      <c r="B21" s="125" t="n">
        <v>1</v>
      </c>
      <c r="C21" s="125" t="s">
        <v>742</v>
      </c>
      <c r="D21" s="126" t="s">
        <v>500</v>
      </c>
      <c r="E21" s="126" t="n">
        <v>50009243</v>
      </c>
      <c r="F21" s="125" t="n">
        <v>367</v>
      </c>
      <c r="G21" s="127" t="n">
        <v>45677</v>
      </c>
      <c r="H21" s="125" t="n">
        <v>72</v>
      </c>
      <c r="I21" s="125" t="n">
        <v>72</v>
      </c>
      <c r="J21" s="125" t="n">
        <v>360000</v>
      </c>
      <c r="K21" s="126" t="s">
        <v>502</v>
      </c>
      <c r="L21" s="126" t="s">
        <v>502</v>
      </c>
      <c r="M21" s="126"/>
      <c r="N21" s="126"/>
      <c r="O21" s="126"/>
      <c r="P21" s="126"/>
      <c r="Q21" s="126"/>
      <c r="R21" s="126"/>
      <c r="S21" s="126"/>
      <c r="T21" s="126"/>
      <c r="U21" s="126"/>
      <c r="V21" s="125" t="s">
        <v>740</v>
      </c>
      <c r="W21" s="126"/>
      <c r="X21" s="126"/>
      <c r="Y21" s="125" t="n">
        <v>12</v>
      </c>
      <c r="Z21" s="125" t="n">
        <v>5000</v>
      </c>
      <c r="AA21" s="125" t="n">
        <v>6</v>
      </c>
      <c r="AB21" s="128" t="n">
        <v>10</v>
      </c>
      <c r="AC21" s="125"/>
      <c r="AD21" s="128"/>
      <c r="AE21" s="125"/>
      <c r="AF21" s="128"/>
      <c r="AG21" s="125"/>
      <c r="AH21" s="128"/>
      <c r="AI21" s="125"/>
      <c r="AJ21" s="128"/>
      <c r="AK21" s="125" t="n">
        <v>60</v>
      </c>
      <c r="AL21" s="126"/>
    </row>
    <row r="22" customFormat="false" ht="16.4" hidden="false" customHeight="false" outlineLevel="0" collapsed="false">
      <c r="A22" s="125" t="n">
        <v>59</v>
      </c>
      <c r="B22" s="125" t="n">
        <v>2</v>
      </c>
      <c r="C22" s="125" t="s">
        <v>743</v>
      </c>
      <c r="D22" s="126" t="s">
        <v>500</v>
      </c>
      <c r="E22" s="126" t="n">
        <v>50009243</v>
      </c>
      <c r="F22" s="125" t="n">
        <v>367</v>
      </c>
      <c r="G22" s="127" t="n">
        <v>45678</v>
      </c>
      <c r="H22" s="125" t="n">
        <v>20</v>
      </c>
      <c r="I22" s="125" t="n">
        <v>20</v>
      </c>
      <c r="J22" s="125" t="n">
        <v>100000</v>
      </c>
      <c r="K22" s="126" t="s">
        <v>502</v>
      </c>
      <c r="L22" s="126" t="s">
        <v>502</v>
      </c>
      <c r="M22" s="126"/>
      <c r="N22" s="126"/>
      <c r="O22" s="126"/>
      <c r="P22" s="126"/>
      <c r="Q22" s="126"/>
      <c r="R22" s="126"/>
      <c r="S22" s="126"/>
      <c r="T22" s="126"/>
      <c r="U22" s="126"/>
      <c r="V22" s="125" t="s">
        <v>740</v>
      </c>
      <c r="W22" s="126"/>
      <c r="X22" s="126"/>
      <c r="Y22" s="125" t="n">
        <v>2</v>
      </c>
      <c r="Z22" s="125" t="n">
        <v>5000</v>
      </c>
      <c r="AA22" s="125" t="n">
        <v>10</v>
      </c>
      <c r="AB22" s="128" t="n">
        <v>5.875</v>
      </c>
      <c r="AC22" s="125"/>
      <c r="AD22" s="128"/>
      <c r="AE22" s="125"/>
      <c r="AF22" s="128"/>
      <c r="AG22" s="125"/>
      <c r="AH22" s="128"/>
      <c r="AI22" s="125"/>
      <c r="AJ22" s="128"/>
      <c r="AK22" s="125" t="n">
        <v>58.75</v>
      </c>
      <c r="AL22" s="126" t="s">
        <v>744</v>
      </c>
    </row>
    <row r="23" customFormat="false" ht="16.4" hidden="false" customHeight="false" outlineLevel="0" collapsed="false">
      <c r="A23" s="125" t="n">
        <v>59</v>
      </c>
      <c r="B23" s="125" t="n">
        <v>3</v>
      </c>
      <c r="C23" s="125" t="s">
        <v>745</v>
      </c>
      <c r="D23" s="126" t="s">
        <v>500</v>
      </c>
      <c r="E23" s="126" t="n">
        <v>50009243</v>
      </c>
      <c r="F23" s="125" t="n">
        <v>367</v>
      </c>
      <c r="G23" s="127" t="n">
        <v>45679</v>
      </c>
      <c r="H23" s="125" t="n">
        <v>4</v>
      </c>
      <c r="I23" s="125" t="n">
        <v>4</v>
      </c>
      <c r="J23" s="125" t="n">
        <v>20000</v>
      </c>
      <c r="K23" s="126" t="s">
        <v>502</v>
      </c>
      <c r="L23" s="126" t="s">
        <v>502</v>
      </c>
      <c r="M23" s="126"/>
      <c r="N23" s="126"/>
      <c r="O23" s="126"/>
      <c r="P23" s="126"/>
      <c r="Q23" s="126"/>
      <c r="R23" s="126"/>
      <c r="S23" s="126"/>
      <c r="T23" s="126"/>
      <c r="U23" s="126"/>
      <c r="V23" s="125" t="s">
        <v>740</v>
      </c>
      <c r="W23" s="126"/>
      <c r="X23" s="126"/>
      <c r="Y23" s="125" t="n">
        <v>1</v>
      </c>
      <c r="Z23" s="125" t="n">
        <v>5000</v>
      </c>
      <c r="AA23" s="125" t="n">
        <v>4</v>
      </c>
      <c r="AB23" s="128" t="n">
        <v>5.875</v>
      </c>
      <c r="AC23" s="125" t="n">
        <v>1</v>
      </c>
      <c r="AD23" s="128" t="n">
        <v>36.875</v>
      </c>
      <c r="AE23" s="125"/>
      <c r="AF23" s="128"/>
      <c r="AG23" s="125"/>
      <c r="AH23" s="128"/>
      <c r="AI23" s="125"/>
      <c r="AJ23" s="128"/>
      <c r="AK23" s="125" t="n">
        <v>60.375</v>
      </c>
      <c r="AL23" s="126" t="s">
        <v>746</v>
      </c>
    </row>
    <row r="24" customFormat="false" ht="16.4" hidden="false" customHeight="false" outlineLevel="0" collapsed="false">
      <c r="A24" s="125" t="n">
        <v>60</v>
      </c>
      <c r="B24" s="125" t="n">
        <v>1</v>
      </c>
      <c r="C24" s="125" t="s">
        <v>747</v>
      </c>
      <c r="D24" s="126" t="s">
        <v>575</v>
      </c>
      <c r="E24" s="126" t="n">
        <v>3095</v>
      </c>
      <c r="F24" s="125" t="n">
        <v>368</v>
      </c>
      <c r="G24" s="127" t="n">
        <v>45680</v>
      </c>
      <c r="H24" s="125" t="n">
        <v>3</v>
      </c>
      <c r="I24" s="125" t="n">
        <v>3</v>
      </c>
      <c r="J24" s="125" t="n">
        <v>50700</v>
      </c>
      <c r="K24" s="126" t="s">
        <v>577</v>
      </c>
      <c r="L24" s="126"/>
      <c r="M24" s="126"/>
      <c r="N24" s="126"/>
      <c r="O24" s="126"/>
      <c r="P24" s="126"/>
      <c r="Q24" s="126"/>
      <c r="R24" s="126"/>
      <c r="S24" s="126"/>
      <c r="T24" s="126"/>
      <c r="U24" s="126"/>
      <c r="V24" s="125" t="s">
        <v>577</v>
      </c>
      <c r="W24" s="126"/>
      <c r="X24" s="126"/>
      <c r="Y24" s="125" t="n">
        <v>1</v>
      </c>
      <c r="Z24" s="125" t="n">
        <v>16900</v>
      </c>
      <c r="AA24" s="125" t="n">
        <v>3</v>
      </c>
      <c r="AB24" s="128" t="n">
        <v>11.66</v>
      </c>
      <c r="AC24" s="125"/>
      <c r="AD24" s="128"/>
      <c r="AE24" s="125"/>
      <c r="AF24" s="128"/>
      <c r="AG24" s="125"/>
      <c r="AH24" s="128"/>
      <c r="AI24" s="125"/>
      <c r="AJ24" s="128"/>
      <c r="AK24" s="125" t="n">
        <v>34.98</v>
      </c>
      <c r="AL24" s="126" t="s">
        <v>748</v>
      </c>
    </row>
    <row r="25" customFormat="false" ht="16.4" hidden="false" customHeight="false" outlineLevel="0" collapsed="false">
      <c r="A25" s="125" t="n">
        <v>61</v>
      </c>
      <c r="B25" s="125" t="n">
        <v>1</v>
      </c>
      <c r="C25" s="125" t="s">
        <v>749</v>
      </c>
      <c r="D25" s="126" t="s">
        <v>582</v>
      </c>
      <c r="E25" s="126" t="n">
        <v>1988</v>
      </c>
      <c r="F25" s="125" t="n">
        <v>369</v>
      </c>
      <c r="G25" s="127" t="n">
        <v>45681</v>
      </c>
      <c r="H25" s="125" t="n">
        <v>8</v>
      </c>
      <c r="I25" s="125" t="n">
        <v>8</v>
      </c>
      <c r="J25" s="125" t="n">
        <v>80000</v>
      </c>
      <c r="K25" s="126" t="s">
        <v>452</v>
      </c>
      <c r="L25" s="126" t="s">
        <v>452</v>
      </c>
      <c r="M25" s="126"/>
      <c r="N25" s="126"/>
      <c r="O25" s="126"/>
      <c r="P25" s="126"/>
      <c r="Q25" s="126"/>
      <c r="R25" s="126"/>
      <c r="S25" s="126"/>
      <c r="T25" s="126"/>
      <c r="U25" s="126"/>
      <c r="V25" s="125" t="s">
        <v>740</v>
      </c>
      <c r="W25" s="126"/>
      <c r="X25" s="126"/>
      <c r="Y25" s="125" t="n">
        <v>2</v>
      </c>
      <c r="Z25" s="125" t="n">
        <v>10000</v>
      </c>
      <c r="AA25" s="125" t="n">
        <v>4</v>
      </c>
      <c r="AB25" s="128" t="n">
        <v>12.875</v>
      </c>
      <c r="AC25" s="125" t="n">
        <v>1</v>
      </c>
      <c r="AD25" s="128" t="n">
        <v>8.875</v>
      </c>
      <c r="AE25" s="125"/>
      <c r="AF25" s="128"/>
      <c r="AG25" s="125"/>
      <c r="AH25" s="128"/>
      <c r="AI25" s="125"/>
      <c r="AJ25" s="128"/>
      <c r="AK25" s="125" t="n">
        <v>60.375</v>
      </c>
      <c r="AL25" s="126" t="s">
        <v>750</v>
      </c>
    </row>
    <row r="26" customFormat="false" ht="16.4" hidden="false" customHeight="false" outlineLevel="0" collapsed="false">
      <c r="A26" s="125" t="n">
        <v>61</v>
      </c>
      <c r="B26" s="125" t="n">
        <v>2</v>
      </c>
      <c r="C26" s="125" t="s">
        <v>751</v>
      </c>
      <c r="D26" s="126" t="s">
        <v>582</v>
      </c>
      <c r="E26" s="126" t="n">
        <v>1988</v>
      </c>
      <c r="F26" s="125" t="n">
        <v>369</v>
      </c>
      <c r="G26" s="127" t="n">
        <v>45682</v>
      </c>
      <c r="H26" s="125" t="n">
        <v>14</v>
      </c>
      <c r="I26" s="125" t="n">
        <v>14</v>
      </c>
      <c r="J26" s="125" t="n">
        <v>140000</v>
      </c>
      <c r="K26" s="126" t="s">
        <v>452</v>
      </c>
      <c r="L26" s="126" t="s">
        <v>452</v>
      </c>
      <c r="M26" s="126"/>
      <c r="N26" s="126"/>
      <c r="O26" s="126"/>
      <c r="P26" s="126"/>
      <c r="Q26" s="126"/>
      <c r="R26" s="126"/>
      <c r="S26" s="126"/>
      <c r="T26" s="126"/>
      <c r="U26" s="126"/>
      <c r="V26" s="125" t="s">
        <v>740</v>
      </c>
      <c r="W26" s="126"/>
      <c r="X26" s="126"/>
      <c r="Y26" s="125" t="n">
        <v>2</v>
      </c>
      <c r="Z26" s="125" t="n">
        <v>10000</v>
      </c>
      <c r="AA26" s="125" t="n">
        <v>3</v>
      </c>
      <c r="AB26" s="128" t="n">
        <v>12.875</v>
      </c>
      <c r="AC26" s="125" t="n">
        <v>4</v>
      </c>
      <c r="AD26" s="128" t="n">
        <v>5</v>
      </c>
      <c r="AE26" s="125"/>
      <c r="AF26" s="128"/>
      <c r="AG26" s="125"/>
      <c r="AH26" s="128"/>
      <c r="AI26" s="125"/>
      <c r="AJ26" s="128"/>
      <c r="AK26" s="125" t="n">
        <v>58.625</v>
      </c>
      <c r="AL26" s="126" t="s">
        <v>752</v>
      </c>
    </row>
    <row r="27" customFormat="false" ht="16.4" hidden="false" customHeight="false" outlineLevel="0" collapsed="false">
      <c r="A27" s="125" t="n">
        <v>62</v>
      </c>
      <c r="B27" s="125" t="n">
        <v>1</v>
      </c>
      <c r="C27" s="125" t="s">
        <v>753</v>
      </c>
      <c r="D27" s="126" t="s">
        <v>582</v>
      </c>
      <c r="E27" s="126" t="n">
        <v>1989</v>
      </c>
      <c r="F27" s="125" t="n">
        <v>370</v>
      </c>
      <c r="G27" s="127" t="n">
        <v>45683</v>
      </c>
      <c r="H27" s="125" t="n">
        <v>8</v>
      </c>
      <c r="I27" s="125" t="n">
        <v>8</v>
      </c>
      <c r="J27" s="125" t="n">
        <v>80000</v>
      </c>
      <c r="K27" s="126" t="s">
        <v>495</v>
      </c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5" t="s">
        <v>754</v>
      </c>
      <c r="W27" s="126"/>
      <c r="X27" s="126"/>
      <c r="Y27" s="125" t="n">
        <v>2</v>
      </c>
      <c r="Z27" s="125" t="n">
        <v>10000</v>
      </c>
      <c r="AA27" s="125" t="n">
        <v>4</v>
      </c>
      <c r="AB27" s="128" t="n">
        <v>12.875</v>
      </c>
      <c r="AC27" s="125" t="n">
        <v>1</v>
      </c>
      <c r="AD27" s="128" t="n">
        <v>8.875</v>
      </c>
      <c r="AE27" s="125"/>
      <c r="AF27" s="128"/>
      <c r="AG27" s="125"/>
      <c r="AH27" s="128"/>
      <c r="AI27" s="125"/>
      <c r="AJ27" s="128"/>
      <c r="AK27" s="125" t="n">
        <v>60.375</v>
      </c>
      <c r="AL27" s="126" t="s">
        <v>750</v>
      </c>
    </row>
    <row r="28" customFormat="false" ht="16.4" hidden="false" customHeight="false" outlineLevel="0" collapsed="false">
      <c r="A28" s="125" t="n">
        <v>62</v>
      </c>
      <c r="B28" s="125" t="n">
        <v>2</v>
      </c>
      <c r="C28" s="125" t="s">
        <v>755</v>
      </c>
      <c r="D28" s="126" t="s">
        <v>582</v>
      </c>
      <c r="E28" s="126" t="n">
        <v>1989</v>
      </c>
      <c r="F28" s="125" t="n">
        <v>370</v>
      </c>
      <c r="G28" s="127" t="n">
        <v>45684</v>
      </c>
      <c r="H28" s="125" t="n">
        <v>2</v>
      </c>
      <c r="I28" s="125" t="n">
        <v>2</v>
      </c>
      <c r="J28" s="125" t="n">
        <v>20000</v>
      </c>
      <c r="K28" s="126" t="s">
        <v>495</v>
      </c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25" t="s">
        <v>754</v>
      </c>
      <c r="W28" s="126"/>
      <c r="X28" s="126"/>
      <c r="Y28" s="125" t="n">
        <v>1</v>
      </c>
      <c r="Z28" s="125" t="n">
        <v>10000</v>
      </c>
      <c r="AA28" s="125" t="n">
        <v>2</v>
      </c>
      <c r="AB28" s="128" t="n">
        <v>12.875</v>
      </c>
      <c r="AC28" s="125" t="n">
        <v>1</v>
      </c>
      <c r="AD28" s="128" t="n">
        <v>34.625</v>
      </c>
      <c r="AE28" s="125"/>
      <c r="AF28" s="128"/>
      <c r="AG28" s="125"/>
      <c r="AH28" s="128"/>
      <c r="AI28" s="125"/>
      <c r="AJ28" s="128"/>
      <c r="AK28" s="125" t="n">
        <v>60.375</v>
      </c>
      <c r="AL28" s="126" t="s">
        <v>756</v>
      </c>
    </row>
    <row r="29" customFormat="false" ht="16.4" hidden="false" customHeight="false" outlineLevel="0" collapsed="false">
      <c r="A29" s="125" t="n">
        <v>63</v>
      </c>
      <c r="B29" s="125" t="n">
        <v>1</v>
      </c>
      <c r="C29" s="125" t="s">
        <v>757</v>
      </c>
      <c r="D29" s="126" t="s">
        <v>758</v>
      </c>
      <c r="E29" s="126" t="s">
        <v>414</v>
      </c>
      <c r="F29" s="125" t="n">
        <v>371</v>
      </c>
      <c r="G29" s="127" t="n">
        <v>45685</v>
      </c>
      <c r="H29" s="125" t="n">
        <v>15</v>
      </c>
      <c r="I29" s="125" t="n">
        <v>15</v>
      </c>
      <c r="J29" s="125" t="n">
        <v>150000</v>
      </c>
      <c r="K29" s="126" t="s">
        <v>495</v>
      </c>
      <c r="L29" s="126" t="s">
        <v>495</v>
      </c>
      <c r="M29" s="126"/>
      <c r="N29" s="126"/>
      <c r="O29" s="126"/>
      <c r="P29" s="126"/>
      <c r="Q29" s="126"/>
      <c r="R29" s="126"/>
      <c r="S29" s="126"/>
      <c r="T29" s="126"/>
      <c r="U29" s="126"/>
      <c r="V29" s="125" t="s">
        <v>754</v>
      </c>
      <c r="W29" s="126"/>
      <c r="X29" s="126"/>
      <c r="Y29" s="125" t="n">
        <v>3</v>
      </c>
      <c r="Z29" s="125" t="n">
        <v>10000</v>
      </c>
      <c r="AA29" s="125" t="n">
        <v>4</v>
      </c>
      <c r="AB29" s="128" t="n">
        <v>12.75</v>
      </c>
      <c r="AC29" s="125" t="n">
        <v>1</v>
      </c>
      <c r="AD29" s="128" t="n">
        <v>9</v>
      </c>
      <c r="AE29" s="125"/>
      <c r="AF29" s="128"/>
      <c r="AG29" s="125"/>
      <c r="AH29" s="128"/>
      <c r="AI29" s="125"/>
      <c r="AJ29" s="128"/>
      <c r="AK29" s="125" t="n">
        <v>60</v>
      </c>
      <c r="AL29" s="126"/>
    </row>
    <row r="30" customFormat="false" ht="16.4" hidden="false" customHeight="false" outlineLevel="0" collapsed="false">
      <c r="A30" s="125" t="n">
        <v>64</v>
      </c>
      <c r="B30" s="125" t="n">
        <v>1</v>
      </c>
      <c r="C30" s="125" t="s">
        <v>759</v>
      </c>
      <c r="D30" s="126" t="s">
        <v>726</v>
      </c>
      <c r="E30" s="126" t="n">
        <v>179203</v>
      </c>
      <c r="F30" s="125" t="n">
        <v>372</v>
      </c>
      <c r="G30" s="127" t="n">
        <v>45686</v>
      </c>
      <c r="H30" s="125" t="n">
        <v>8</v>
      </c>
      <c r="I30" s="125" t="n">
        <v>8</v>
      </c>
      <c r="J30" s="125" t="n">
        <v>80000</v>
      </c>
      <c r="K30" s="126" t="s">
        <v>464</v>
      </c>
      <c r="L30" s="126" t="s">
        <v>464</v>
      </c>
      <c r="M30" s="126" t="s">
        <v>464</v>
      </c>
      <c r="N30" s="126" t="s">
        <v>464</v>
      </c>
      <c r="O30" s="126"/>
      <c r="P30" s="126"/>
      <c r="Q30" s="126"/>
      <c r="R30" s="126"/>
      <c r="S30" s="126"/>
      <c r="T30" s="126"/>
      <c r="U30" s="126"/>
      <c r="V30" s="125" t="s">
        <v>760</v>
      </c>
      <c r="W30" s="126"/>
      <c r="X30" s="126"/>
      <c r="Y30" s="125" t="n">
        <v>1</v>
      </c>
      <c r="Z30" s="125" t="n">
        <v>10000</v>
      </c>
      <c r="AA30" s="125" t="n">
        <v>3</v>
      </c>
      <c r="AB30" s="128" t="n">
        <v>7.75</v>
      </c>
      <c r="AC30" s="125" t="n">
        <v>2</v>
      </c>
      <c r="AD30" s="128" t="n">
        <v>8.75</v>
      </c>
      <c r="AE30" s="125" t="n">
        <v>2</v>
      </c>
      <c r="AF30" s="128" t="n">
        <v>7</v>
      </c>
      <c r="AG30" s="125" t="n">
        <v>1</v>
      </c>
      <c r="AH30" s="128" t="n">
        <v>5.25</v>
      </c>
      <c r="AI30" s="125"/>
      <c r="AJ30" s="128"/>
      <c r="AK30" s="125" t="n">
        <v>60</v>
      </c>
      <c r="AL30" s="126"/>
    </row>
    <row r="31" customFormat="false" ht="16.4" hidden="false" customHeight="false" outlineLevel="0" collapsed="false">
      <c r="A31" s="125" t="n">
        <v>65</v>
      </c>
      <c r="B31" s="125" t="n">
        <v>1</v>
      </c>
      <c r="C31" s="125" t="s">
        <v>761</v>
      </c>
      <c r="D31" s="126" t="s">
        <v>617</v>
      </c>
      <c r="E31" s="126" t="n">
        <v>14381</v>
      </c>
      <c r="F31" s="125" t="n">
        <v>373</v>
      </c>
      <c r="G31" s="127" t="n">
        <v>45720</v>
      </c>
      <c r="H31" s="125" t="n">
        <v>6</v>
      </c>
      <c r="I31" s="125" t="n">
        <v>6</v>
      </c>
      <c r="J31" s="125" t="n">
        <v>60000</v>
      </c>
      <c r="K31" s="126" t="s">
        <v>484</v>
      </c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5" t="s">
        <v>762</v>
      </c>
      <c r="W31" s="126"/>
      <c r="X31" s="126"/>
      <c r="Y31" s="125" t="n">
        <v>1</v>
      </c>
      <c r="Z31" s="125" t="n">
        <v>10000</v>
      </c>
      <c r="AA31" s="125" t="n">
        <v>6</v>
      </c>
      <c r="AB31" s="128" t="n">
        <v>10</v>
      </c>
      <c r="AC31" s="125"/>
      <c r="AD31" s="128"/>
      <c r="AE31" s="125"/>
      <c r="AF31" s="128"/>
      <c r="AG31" s="125"/>
      <c r="AH31" s="128"/>
      <c r="AI31" s="125"/>
      <c r="AJ31" s="128"/>
      <c r="AK31" s="125" t="n">
        <v>60</v>
      </c>
      <c r="AL31" s="126"/>
    </row>
    <row r="32" customFormat="false" ht="16.4" hidden="false" customHeight="false" outlineLevel="0" collapsed="false">
      <c r="A32" s="125" t="n">
        <v>66</v>
      </c>
      <c r="B32" s="125" t="n">
        <v>1</v>
      </c>
      <c r="C32" s="125" t="s">
        <v>763</v>
      </c>
      <c r="D32" s="126" t="s">
        <v>575</v>
      </c>
      <c r="E32" s="126" t="n">
        <v>3106</v>
      </c>
      <c r="F32" s="125" t="n">
        <v>374</v>
      </c>
      <c r="G32" s="127" t="n">
        <v>45721</v>
      </c>
      <c r="H32" s="125" t="n">
        <v>8</v>
      </c>
      <c r="I32" s="125" t="n">
        <v>8</v>
      </c>
      <c r="J32" s="125" t="n">
        <v>80000</v>
      </c>
      <c r="K32" s="126" t="s">
        <v>624</v>
      </c>
      <c r="L32" s="126" t="s">
        <v>517</v>
      </c>
      <c r="M32" s="126"/>
      <c r="N32" s="126"/>
      <c r="O32" s="126"/>
      <c r="P32" s="126"/>
      <c r="Q32" s="126"/>
      <c r="R32" s="126"/>
      <c r="S32" s="126"/>
      <c r="T32" s="126"/>
      <c r="U32" s="126"/>
      <c r="V32" s="125" t="s">
        <v>764</v>
      </c>
      <c r="W32" s="126"/>
      <c r="X32" s="126" t="s">
        <v>765</v>
      </c>
      <c r="Y32" s="125" t="n">
        <v>2</v>
      </c>
      <c r="Z32" s="125" t="n">
        <v>10000</v>
      </c>
      <c r="AA32" s="125" t="n">
        <v>4</v>
      </c>
      <c r="AB32" s="128" t="n">
        <v>15</v>
      </c>
      <c r="AC32" s="125"/>
      <c r="AD32" s="128"/>
      <c r="AE32" s="125"/>
      <c r="AF32" s="128"/>
      <c r="AG32" s="125"/>
      <c r="AH32" s="128"/>
      <c r="AI32" s="125"/>
      <c r="AJ32" s="128"/>
      <c r="AK32" s="125" t="n">
        <v>60</v>
      </c>
      <c r="AL32" s="126" t="s">
        <v>766</v>
      </c>
    </row>
    <row r="33" customFormat="false" ht="16.4" hidden="false" customHeight="false" outlineLevel="0" collapsed="false">
      <c r="A33" s="125" t="n">
        <v>67</v>
      </c>
      <c r="B33" s="125" t="n">
        <v>1</v>
      </c>
      <c r="C33" s="125" t="s">
        <v>767</v>
      </c>
      <c r="D33" s="126" t="s">
        <v>575</v>
      </c>
      <c r="E33" s="126" t="n">
        <v>3106</v>
      </c>
      <c r="F33" s="125" t="n">
        <v>374</v>
      </c>
      <c r="G33" s="127" t="n">
        <v>45721</v>
      </c>
      <c r="H33" s="125" t="n">
        <v>4</v>
      </c>
      <c r="I33" s="125" t="n">
        <v>4</v>
      </c>
      <c r="J33" s="125" t="n">
        <v>40000</v>
      </c>
      <c r="K33" s="126" t="s">
        <v>517</v>
      </c>
      <c r="L33" s="126"/>
      <c r="M33" s="126"/>
      <c r="N33" s="126"/>
      <c r="O33" s="126"/>
      <c r="P33" s="126"/>
      <c r="Q33" s="126"/>
      <c r="R33" s="126"/>
      <c r="S33" s="126"/>
      <c r="T33" s="126"/>
      <c r="U33" s="126"/>
      <c r="V33" s="125" t="s">
        <v>768</v>
      </c>
      <c r="W33" s="126"/>
      <c r="X33" s="126" t="s">
        <v>769</v>
      </c>
      <c r="Y33" s="125" t="n">
        <v>1</v>
      </c>
      <c r="Z33" s="125" t="n">
        <v>10000</v>
      </c>
      <c r="AA33" s="125" t="n">
        <v>4</v>
      </c>
      <c r="AB33" s="128" t="n">
        <v>15</v>
      </c>
      <c r="AC33" s="125"/>
      <c r="AD33" s="128"/>
      <c r="AE33" s="125"/>
      <c r="AF33" s="128"/>
      <c r="AG33" s="125"/>
      <c r="AH33" s="128"/>
      <c r="AI33" s="125"/>
      <c r="AJ33" s="128"/>
      <c r="AK33" s="125" t="n">
        <v>60</v>
      </c>
      <c r="AL33" s="126"/>
    </row>
    <row r="34" customFormat="false" ht="16.4" hidden="false" customHeight="false" outlineLevel="0" collapsed="false">
      <c r="A34" s="125" t="n">
        <v>68</v>
      </c>
      <c r="B34" s="125" t="n">
        <v>1</v>
      </c>
      <c r="C34" s="125" t="s">
        <v>770</v>
      </c>
      <c r="D34" s="126" t="s">
        <v>582</v>
      </c>
      <c r="E34" s="126" t="s">
        <v>415</v>
      </c>
      <c r="F34" s="125" t="n">
        <v>375</v>
      </c>
      <c r="G34" s="127" t="n">
        <v>45721</v>
      </c>
      <c r="H34" s="125" t="n">
        <v>1</v>
      </c>
      <c r="I34" s="125" t="n">
        <v>1</v>
      </c>
      <c r="J34" s="125" t="n">
        <v>600</v>
      </c>
      <c r="K34" s="126" t="s">
        <v>635</v>
      </c>
      <c r="L34" s="126"/>
      <c r="M34" s="126"/>
      <c r="N34" s="126"/>
      <c r="O34" s="126"/>
      <c r="P34" s="126"/>
      <c r="Q34" s="126"/>
      <c r="R34" s="126"/>
      <c r="S34" s="126"/>
      <c r="T34" s="126"/>
      <c r="U34" s="126"/>
      <c r="V34" s="125" t="s">
        <v>635</v>
      </c>
      <c r="W34" s="126"/>
      <c r="X34" s="126" t="s">
        <v>771</v>
      </c>
      <c r="Y34" s="125" t="n">
        <v>1</v>
      </c>
      <c r="Z34" s="125" t="n">
        <v>600</v>
      </c>
      <c r="AA34" s="125" t="n">
        <v>2</v>
      </c>
      <c r="AB34" s="128" t="n">
        <v>12.875</v>
      </c>
      <c r="AC34" s="125" t="n">
        <v>1</v>
      </c>
      <c r="AD34" s="128" t="n">
        <v>9.25</v>
      </c>
      <c r="AE34" s="125"/>
      <c r="AF34" s="128"/>
      <c r="AG34" s="125"/>
      <c r="AH34" s="128"/>
      <c r="AI34" s="125"/>
      <c r="AJ34" s="128"/>
      <c r="AK34" s="125" t="n">
        <v>35</v>
      </c>
      <c r="AL34" s="126" t="s">
        <v>772</v>
      </c>
    </row>
    <row r="35" customFormat="false" ht="16.4" hidden="false" customHeight="false" outlineLevel="0" collapsed="false">
      <c r="A35" s="125" t="n">
        <v>69</v>
      </c>
      <c r="B35" s="125" t="n">
        <v>1</v>
      </c>
      <c r="C35" s="125" t="s">
        <v>773</v>
      </c>
      <c r="D35" s="126" t="s">
        <v>462</v>
      </c>
      <c r="E35" s="126" t="s">
        <v>416</v>
      </c>
      <c r="F35" s="125" t="n">
        <v>376</v>
      </c>
      <c r="G35" s="127" t="n">
        <v>45722</v>
      </c>
      <c r="H35" s="125" t="n">
        <v>15</v>
      </c>
      <c r="I35" s="125" t="n">
        <v>15</v>
      </c>
      <c r="J35" s="125" t="n">
        <v>75000</v>
      </c>
      <c r="K35" s="126" t="s">
        <v>509</v>
      </c>
      <c r="L35" s="126" t="s">
        <v>509</v>
      </c>
      <c r="M35" s="126" t="s">
        <v>509</v>
      </c>
      <c r="N35" s="126" t="s">
        <v>509</v>
      </c>
      <c r="O35" s="126" t="s">
        <v>484</v>
      </c>
      <c r="P35" s="126" t="s">
        <v>484</v>
      </c>
      <c r="Q35" s="126" t="s">
        <v>484</v>
      </c>
      <c r="R35" s="126" t="s">
        <v>484</v>
      </c>
      <c r="S35" s="126" t="s">
        <v>484</v>
      </c>
      <c r="T35" s="126"/>
      <c r="U35" s="126"/>
      <c r="V35" s="125" t="s">
        <v>740</v>
      </c>
      <c r="W35" s="126"/>
      <c r="X35" s="126" t="s">
        <v>774</v>
      </c>
      <c r="Y35" s="125" t="n">
        <v>1</v>
      </c>
      <c r="Z35" s="125" t="n">
        <v>5000</v>
      </c>
      <c r="AA35" s="125" t="n">
        <v>12</v>
      </c>
      <c r="AB35" s="128" t="n">
        <v>3.875</v>
      </c>
      <c r="AC35" s="125" t="n">
        <v>1</v>
      </c>
      <c r="AD35" s="128" t="n">
        <v>8.875</v>
      </c>
      <c r="AE35" s="125" t="n">
        <v>1</v>
      </c>
      <c r="AF35" s="128" t="n">
        <v>2.375</v>
      </c>
      <c r="AG35" s="125" t="n">
        <v>1</v>
      </c>
      <c r="AH35" s="128" t="n">
        <v>2.25</v>
      </c>
      <c r="AI35" s="125"/>
      <c r="AJ35" s="128"/>
      <c r="AK35" s="125" t="n">
        <v>60</v>
      </c>
      <c r="AL35" s="126" t="s">
        <v>775</v>
      </c>
    </row>
    <row r="36" customFormat="false" ht="16.4" hidden="false" customHeight="false" outlineLevel="0" collapsed="false">
      <c r="A36" s="125" t="n">
        <v>70</v>
      </c>
      <c r="B36" s="125" t="n">
        <v>1</v>
      </c>
      <c r="C36" s="125" t="s">
        <v>776</v>
      </c>
      <c r="D36" s="126" t="s">
        <v>462</v>
      </c>
      <c r="E36" s="126" t="s">
        <v>416</v>
      </c>
      <c r="F36" s="125" t="n">
        <v>376</v>
      </c>
      <c r="G36" s="127" t="n">
        <v>45722</v>
      </c>
      <c r="H36" s="125" t="n">
        <v>6</v>
      </c>
      <c r="I36" s="125" t="n">
        <v>6</v>
      </c>
      <c r="J36" s="125" t="n">
        <v>30000</v>
      </c>
      <c r="K36" s="126" t="s">
        <v>484</v>
      </c>
      <c r="L36" s="126"/>
      <c r="M36" s="126"/>
      <c r="N36" s="126"/>
      <c r="O36" s="126"/>
      <c r="P36" s="126"/>
      <c r="Q36" s="126"/>
      <c r="R36" s="126"/>
      <c r="S36" s="126"/>
      <c r="T36" s="126"/>
      <c r="U36" s="126"/>
      <c r="V36" s="125" t="s">
        <v>762</v>
      </c>
      <c r="W36" s="126"/>
      <c r="X36" s="126" t="s">
        <v>777</v>
      </c>
      <c r="Y36" s="125" t="n">
        <v>1</v>
      </c>
      <c r="Z36" s="125" t="n">
        <v>5000</v>
      </c>
      <c r="AA36" s="125" t="n">
        <v>2</v>
      </c>
      <c r="AB36" s="128" t="n">
        <v>4.75</v>
      </c>
      <c r="AC36" s="125" t="n">
        <v>1</v>
      </c>
      <c r="AD36" s="128" t="n">
        <v>3.75</v>
      </c>
      <c r="AE36" s="125" t="n">
        <v>1</v>
      </c>
      <c r="AF36" s="128" t="n">
        <v>4.25</v>
      </c>
      <c r="AG36" s="125" t="n">
        <v>2</v>
      </c>
      <c r="AH36" s="128" t="n">
        <v>3.625</v>
      </c>
      <c r="AI36" s="125"/>
      <c r="AJ36" s="128"/>
      <c r="AK36" s="125" t="n">
        <v>24.75</v>
      </c>
      <c r="AL36" s="126" t="s">
        <v>778</v>
      </c>
    </row>
    <row r="37" customFormat="false" ht="16.4" hidden="false" customHeight="false" outlineLevel="0" collapsed="false">
      <c r="A37" s="125" t="n">
        <v>70</v>
      </c>
      <c r="B37" s="125" t="n">
        <v>2</v>
      </c>
      <c r="C37" s="125" t="s">
        <v>779</v>
      </c>
      <c r="D37" s="126" t="s">
        <v>462</v>
      </c>
      <c r="E37" s="126" t="s">
        <v>416</v>
      </c>
      <c r="F37" s="125" t="n">
        <v>376</v>
      </c>
      <c r="G37" s="127" t="n">
        <v>45722</v>
      </c>
      <c r="H37" s="125" t="n">
        <v>8</v>
      </c>
      <c r="I37" s="125" t="n">
        <v>8</v>
      </c>
      <c r="J37" s="125" t="n">
        <v>40000</v>
      </c>
      <c r="K37" s="126" t="s">
        <v>484</v>
      </c>
      <c r="L37" s="126"/>
      <c r="M37" s="126"/>
      <c r="N37" s="126"/>
      <c r="O37" s="126"/>
      <c r="P37" s="126"/>
      <c r="Q37" s="126"/>
      <c r="R37" s="126"/>
      <c r="S37" s="126"/>
      <c r="T37" s="126"/>
      <c r="U37" s="126"/>
      <c r="V37" s="125" t="s">
        <v>762</v>
      </c>
      <c r="W37" s="126"/>
      <c r="X37" s="126" t="s">
        <v>777</v>
      </c>
      <c r="Y37" s="125" t="n">
        <v>1</v>
      </c>
      <c r="Z37" s="125" t="n">
        <v>5000</v>
      </c>
      <c r="AA37" s="125" t="n">
        <v>2</v>
      </c>
      <c r="AB37" s="128" t="n">
        <v>4.75</v>
      </c>
      <c r="AC37" s="125" t="n">
        <v>1</v>
      </c>
      <c r="AD37" s="128" t="n">
        <v>3.75</v>
      </c>
      <c r="AE37" s="125" t="n">
        <v>1</v>
      </c>
      <c r="AF37" s="128" t="n">
        <v>4.25</v>
      </c>
      <c r="AG37" s="125" t="n">
        <v>3</v>
      </c>
      <c r="AH37" s="128" t="n">
        <v>3.625</v>
      </c>
      <c r="AI37" s="125" t="n">
        <v>1</v>
      </c>
      <c r="AJ37" s="128" t="n">
        <v>6.875</v>
      </c>
      <c r="AK37" s="125" t="n">
        <v>35.25</v>
      </c>
      <c r="AL37" s="126" t="s">
        <v>780</v>
      </c>
    </row>
    <row r="38" customFormat="false" ht="16.4" hidden="false" customHeight="false" outlineLevel="0" collapsed="false">
      <c r="A38" s="125" t="n">
        <v>71</v>
      </c>
      <c r="B38" s="125" t="n">
        <v>1</v>
      </c>
      <c r="C38" s="125" t="s">
        <v>781</v>
      </c>
      <c r="D38" s="126" t="s">
        <v>671</v>
      </c>
      <c r="E38" s="126" t="n">
        <v>10178</v>
      </c>
      <c r="F38" s="125" t="n">
        <v>377</v>
      </c>
      <c r="G38" s="127" t="n">
        <v>45722</v>
      </c>
      <c r="H38" s="125" t="n">
        <v>12</v>
      </c>
      <c r="I38" s="125" t="n">
        <v>12</v>
      </c>
      <c r="J38" s="125" t="n">
        <v>120000</v>
      </c>
      <c r="K38" s="126" t="s">
        <v>517</v>
      </c>
      <c r="L38" s="126"/>
      <c r="M38" s="126"/>
      <c r="N38" s="126"/>
      <c r="O38" s="126"/>
      <c r="P38" s="126"/>
      <c r="Q38" s="126"/>
      <c r="R38" s="126"/>
      <c r="S38" s="126"/>
      <c r="T38" s="126"/>
      <c r="U38" s="126"/>
      <c r="V38" s="125" t="s">
        <v>768</v>
      </c>
      <c r="W38" s="126"/>
      <c r="X38" s="126" t="s">
        <v>782</v>
      </c>
      <c r="Y38" s="125" t="n">
        <v>2</v>
      </c>
      <c r="Z38" s="125" t="n">
        <v>10000</v>
      </c>
      <c r="AA38" s="125" t="n">
        <v>6</v>
      </c>
      <c r="AB38" s="128" t="n">
        <v>10</v>
      </c>
      <c r="AC38" s="125"/>
      <c r="AD38" s="128"/>
      <c r="AE38" s="125"/>
      <c r="AF38" s="128"/>
      <c r="AG38" s="125"/>
      <c r="AH38" s="128"/>
      <c r="AI38" s="125"/>
      <c r="AJ38" s="128"/>
      <c r="AK38" s="125" t="n">
        <v>60</v>
      </c>
      <c r="AL38" s="126"/>
    </row>
    <row r="39" customFormat="false" ht="16.4" hidden="false" customHeight="false" outlineLevel="0" collapsed="false">
      <c r="A39" s="125" t="n">
        <v>72</v>
      </c>
      <c r="B39" s="125" t="n">
        <v>1</v>
      </c>
      <c r="C39" s="125" t="s">
        <v>783</v>
      </c>
      <c r="D39" s="126" t="s">
        <v>582</v>
      </c>
      <c r="E39" s="126" t="n">
        <v>1991</v>
      </c>
      <c r="F39" s="125" t="n">
        <v>378</v>
      </c>
      <c r="G39" s="127" t="n">
        <v>45722</v>
      </c>
      <c r="H39" s="125" t="n">
        <v>4</v>
      </c>
      <c r="I39" s="125" t="n">
        <v>4</v>
      </c>
      <c r="J39" s="125" t="n">
        <v>40000</v>
      </c>
      <c r="K39" s="126" t="s">
        <v>495</v>
      </c>
      <c r="L39" s="126"/>
      <c r="M39" s="126"/>
      <c r="N39" s="126"/>
      <c r="O39" s="126"/>
      <c r="P39" s="126"/>
      <c r="Q39" s="126"/>
      <c r="R39" s="126"/>
      <c r="S39" s="126"/>
      <c r="T39" s="126"/>
      <c r="U39" s="126"/>
      <c r="V39" s="125" t="s">
        <v>754</v>
      </c>
      <c r="W39" s="126"/>
      <c r="X39" s="126"/>
      <c r="Y39" s="125" t="n">
        <v>1</v>
      </c>
      <c r="Z39" s="125" t="n">
        <v>10000</v>
      </c>
      <c r="AA39" s="125" t="n">
        <v>4</v>
      </c>
      <c r="AB39" s="128" t="n">
        <v>12.875</v>
      </c>
      <c r="AC39" s="125" t="n">
        <v>1</v>
      </c>
      <c r="AD39" s="128" t="n">
        <v>8.875</v>
      </c>
      <c r="AE39" s="125"/>
      <c r="AF39" s="128"/>
      <c r="AG39" s="125"/>
      <c r="AH39" s="128"/>
      <c r="AI39" s="125"/>
      <c r="AJ39" s="128"/>
      <c r="AK39" s="125" t="n">
        <v>60.375</v>
      </c>
      <c r="AL39" s="126" t="s">
        <v>784</v>
      </c>
    </row>
    <row r="40" customFormat="false" ht="16.4" hidden="false" customHeight="false" outlineLevel="0" collapsed="false">
      <c r="A40" s="125" t="n">
        <v>72</v>
      </c>
      <c r="B40" s="125" t="n">
        <v>2</v>
      </c>
      <c r="C40" s="125" t="s">
        <v>785</v>
      </c>
      <c r="D40" s="126" t="s">
        <v>582</v>
      </c>
      <c r="E40" s="126" t="n">
        <v>1991</v>
      </c>
      <c r="F40" s="125" t="n">
        <v>378</v>
      </c>
      <c r="G40" s="127" t="n">
        <v>45722</v>
      </c>
      <c r="H40" s="125" t="n">
        <v>4</v>
      </c>
      <c r="I40" s="125" t="n">
        <v>4</v>
      </c>
      <c r="J40" s="125" t="n">
        <v>40000</v>
      </c>
      <c r="K40" s="126" t="s">
        <v>495</v>
      </c>
      <c r="L40" s="126"/>
      <c r="M40" s="126"/>
      <c r="N40" s="126"/>
      <c r="O40" s="126"/>
      <c r="P40" s="126"/>
      <c r="Q40" s="126"/>
      <c r="R40" s="126"/>
      <c r="S40" s="126"/>
      <c r="T40" s="126"/>
      <c r="U40" s="126"/>
      <c r="V40" s="125" t="s">
        <v>754</v>
      </c>
      <c r="W40" s="126"/>
      <c r="X40" s="126"/>
      <c r="Y40" s="125" t="n">
        <v>1</v>
      </c>
      <c r="Z40" s="125" t="n">
        <v>10000</v>
      </c>
      <c r="AA40" s="125" t="n">
        <v>4</v>
      </c>
      <c r="AB40" s="128" t="n">
        <v>12.875</v>
      </c>
      <c r="AC40" s="125" t="n">
        <v>1</v>
      </c>
      <c r="AD40" s="128" t="n">
        <v>8.875</v>
      </c>
      <c r="AE40" s="125"/>
      <c r="AF40" s="128"/>
      <c r="AG40" s="125"/>
      <c r="AH40" s="128"/>
      <c r="AI40" s="125"/>
      <c r="AJ40" s="128"/>
      <c r="AK40" s="125" t="n">
        <v>60.375</v>
      </c>
      <c r="AL40" s="126" t="s">
        <v>784</v>
      </c>
    </row>
    <row r="41" customFormat="false" ht="16.4" hidden="false" customHeight="false" outlineLevel="0" collapsed="false">
      <c r="A41" s="125" t="n">
        <v>72</v>
      </c>
      <c r="B41" s="125" t="n">
        <v>3</v>
      </c>
      <c r="C41" s="125" t="s">
        <v>786</v>
      </c>
      <c r="D41" s="126" t="s">
        <v>582</v>
      </c>
      <c r="E41" s="126" t="n">
        <v>1991</v>
      </c>
      <c r="F41" s="125" t="n">
        <v>378</v>
      </c>
      <c r="G41" s="127" t="n">
        <v>45722</v>
      </c>
      <c r="H41" s="125" t="n">
        <v>1</v>
      </c>
      <c r="I41" s="125" t="n">
        <v>1</v>
      </c>
      <c r="J41" s="125" t="n">
        <v>10000</v>
      </c>
      <c r="K41" s="126" t="s">
        <v>495</v>
      </c>
      <c r="L41" s="126"/>
      <c r="M41" s="126"/>
      <c r="N41" s="126"/>
      <c r="O41" s="126"/>
      <c r="P41" s="126"/>
      <c r="Q41" s="126"/>
      <c r="R41" s="126"/>
      <c r="S41" s="126"/>
      <c r="T41" s="126"/>
      <c r="U41" s="126"/>
      <c r="V41" s="125" t="s">
        <v>754</v>
      </c>
      <c r="W41" s="126"/>
      <c r="X41" s="126" t="s">
        <v>787</v>
      </c>
      <c r="Y41" s="125" t="n">
        <v>1</v>
      </c>
      <c r="Z41" s="125" t="n">
        <v>10000</v>
      </c>
      <c r="AA41" s="125" t="n">
        <v>1</v>
      </c>
      <c r="AB41" s="128" t="n">
        <v>12.875</v>
      </c>
      <c r="AC41" s="125" t="n">
        <v>1</v>
      </c>
      <c r="AD41" s="128" t="n">
        <v>12.875</v>
      </c>
      <c r="AE41" s="125" t="n">
        <v>1</v>
      </c>
      <c r="AF41" s="128" t="n">
        <v>8.875</v>
      </c>
      <c r="AG41" s="125"/>
      <c r="AH41" s="128"/>
      <c r="AI41" s="125"/>
      <c r="AJ41" s="128"/>
      <c r="AK41" s="125" t="n">
        <v>34.625</v>
      </c>
      <c r="AL41" s="126" t="s">
        <v>788</v>
      </c>
    </row>
    <row r="42" customFormat="false" ht="16.4" hidden="false" customHeight="false" outlineLevel="0" collapsed="false">
      <c r="A42" s="129" t="n">
        <f aca="false">IF(AND(F42=F41,K42=K41),A41,A41+1)</f>
        <v>73</v>
      </c>
      <c r="B42" s="129" t="n">
        <f aca="false">IF(AND(A42=A41,F42=F41),B41+1,1)</f>
        <v>1</v>
      </c>
      <c r="C42" s="129" t="str">
        <f aca="false">A42&amp;"-"&amp;B42</f>
        <v>73-1</v>
      </c>
      <c r="D42" s="130" t="str">
        <f aca="false">IFERROR(_xlfn.xlookup(F42,'PO Client'!A:A,'PO Client'!E:E),"")</f>
        <v>Mijo</v>
      </c>
      <c r="E42" s="130" t="n">
        <f aca="false">IFERROR(_xlfn.xlookup('Liste BT'!F42,'PO Client'!A:A,'PO Client'!H:H),"")</f>
        <v>14392</v>
      </c>
      <c r="F42" s="131" t="n">
        <f aca="false">F41+1</f>
        <v>379</v>
      </c>
      <c r="G42" s="132" t="n">
        <v>45726</v>
      </c>
      <c r="H42" s="129" t="n">
        <f aca="false">SUMIF('PO item'!D:D,VALUE(F42),'PO item'!O:O)</f>
        <v>9</v>
      </c>
      <c r="I42" s="129" t="n">
        <f aca="false">(AA42+AC42+AE42+AG42+AI42)*Y42</f>
        <v>9</v>
      </c>
      <c r="J42" s="129" t="n">
        <f aca="false">SUMIF('PO item'!D:D,VALUE(F42),'PO item'!Q:Q)</f>
        <v>90000</v>
      </c>
      <c r="K42" s="130" t="str">
        <f aca="false">IFERROR(_xlfn.xlookup(F42&amp;"-1",'PO item'!E:E,'PO item'!G:G),"")</f>
        <v>S15</v>
      </c>
      <c r="L42" s="130" t="str">
        <f aca="false">IFERROR(_xlfn.xlookup(F42&amp;"-2",'PO item'!E:E,'PO item'!G:G),"")</f>
        <v>S15</v>
      </c>
      <c r="M42" s="130" t="str">
        <f aca="false">IFERROR(_xlfn.xlookup(F42&amp;"-3",'PO item'!E:E,'PO item'!G:G),"")</f>
        <v>S15</v>
      </c>
      <c r="N42" s="130" t="str">
        <f aca="false">IFERROR(_xlfn.xlookup(F42&amp;"-4",'PO item'!E:E,'PO item'!G:G),"")</f>
        <v/>
      </c>
      <c r="O42" s="130" t="str">
        <f aca="false">IFERROR(_xlfn.xlookup(F42&amp;"-5",'PO item'!E:E,'PO item'!G:G),"")</f>
        <v/>
      </c>
      <c r="P42" s="130" t="str">
        <f aca="false">IFERROR(_xlfn.xlookup(F42&amp;"-6",'PO item'!E:E,'PO item'!G:G),"")</f>
        <v/>
      </c>
      <c r="Q42" s="130" t="str">
        <f aca="false">IFERROR(_xlfn.xlookup(F42&amp;"-7",'PO item'!E:E,'PO item'!G:G),"")</f>
        <v/>
      </c>
      <c r="R42" s="130" t="str">
        <f aca="false">IFERROR(_xlfn.xlookup(F42&amp;"-8",'PO item'!E:E,'PO item'!G:G),"")</f>
        <v/>
      </c>
      <c r="S42" s="130" t="str">
        <f aca="false">IFERROR(_xlfn.xlookup(F42&amp;"-9",'PO item'!E:E,'PO item'!G:G),"")</f>
        <v/>
      </c>
      <c r="T42" s="130" t="str">
        <f aca="false">IFERROR(_xlfn.xlookup(F42&amp;"-10",'PO item'!E:E,'PO item'!G:G),"")</f>
        <v/>
      </c>
      <c r="U42" s="133"/>
      <c r="V42" s="131" t="s">
        <v>762</v>
      </c>
      <c r="W42" s="134" t="s">
        <v>789</v>
      </c>
      <c r="X42" s="134" t="s">
        <v>789</v>
      </c>
      <c r="Y42" s="129" t="n">
        <f aca="false">IFERROR(_xlfn.xlookup($F42&amp;"-"&amp;B42,'PO item'!$E:$E,'PO item'!$M:$M),0)</f>
        <v>1</v>
      </c>
      <c r="Z42" s="129" t="n">
        <f aca="false">IFERROR(_xlfn.xlookup(F42&amp;"-"&amp;B42,'PO item'!E:E,'PO item'!L:L),"")</f>
        <v>10000</v>
      </c>
      <c r="AA42" s="129" t="n">
        <f aca="false">IFERROR(_xlfn.xlookup($F42&amp;"-1",'PO item'!$E:$E,'PO item'!$N:$N),0)</f>
        <v>5</v>
      </c>
      <c r="AB42" s="135" t="n">
        <f aca="false">IFERROR(_xlfn.xlookup($F42&amp;"-1",'PO item'!$E:$E,'PO item'!$K:$K),0)</f>
        <v>6</v>
      </c>
      <c r="AC42" s="129" t="n">
        <f aca="false">IFERROR(_xlfn.xlookup($F42&amp;"-2",'PO item'!$E:$E,'PO item'!$N:$N),0)</f>
        <v>2</v>
      </c>
      <c r="AD42" s="135" t="n">
        <f aca="false">IFERROR(_xlfn.xlookup($F42&amp;"-2",'PO item'!$E:$E,'PO item'!$K:$K),0)</f>
        <v>7</v>
      </c>
      <c r="AE42" s="129" t="n">
        <f aca="false">IFERROR(_xlfn.xlookup($F42&amp;"-3",'PO item'!$E:$E,'PO item'!$N:$N),0)</f>
        <v>2</v>
      </c>
      <c r="AF42" s="135" t="n">
        <f aca="false">IFERROR(_xlfn.xlookup($F42&amp;"-3",'PO item'!$E:$E,'PO item'!$K:$K),0)</f>
        <v>8</v>
      </c>
      <c r="AG42" s="129"/>
      <c r="AH42" s="135"/>
      <c r="AI42" s="129"/>
      <c r="AJ42" s="135"/>
      <c r="AK42" s="136" t="n">
        <f aca="false">AB42*AA42+AD42*AC42+AF42*AE42+AH42*AG42+AJ42*AI42</f>
        <v>60</v>
      </c>
      <c r="AL42" s="134"/>
    </row>
    <row r="43" customFormat="false" ht="16.4" hidden="false" customHeight="false" outlineLevel="0" collapsed="false">
      <c r="A43" s="129" t="n">
        <f aca="false">IF(AND(F43=F42,K43=K42),A42,A42+1)</f>
        <v>74</v>
      </c>
      <c r="B43" s="129" t="n">
        <f aca="false">IF(AND(A43=A42,F43=F42),B42+1,1)</f>
        <v>1</v>
      </c>
      <c r="C43" s="129" t="str">
        <f aca="false">A43&amp;"-"&amp;B43</f>
        <v>74-1</v>
      </c>
      <c r="D43" s="130" t="str">
        <f aca="false">IFERROR(_xlfn.xlookup(F43,'PO Client'!A:A,'PO Client'!E:E),"")</f>
        <v>SYL</v>
      </c>
      <c r="E43" s="130" t="str">
        <f aca="false">IFERROR(_xlfn.xlookup('Liste BT'!F43,'PO Client'!A:A,'PO Client'!H:H),"")</f>
        <v>Échantillon S35</v>
      </c>
      <c r="F43" s="131" t="n">
        <f aca="false">F42+1</f>
        <v>380</v>
      </c>
      <c r="G43" s="132" t="n">
        <v>45727</v>
      </c>
      <c r="H43" s="129" t="n">
        <f aca="false">SUMIF('PO item'!D:D,VALUE(F43),'PO item'!O:O)</f>
        <v>1</v>
      </c>
      <c r="I43" s="129" t="n">
        <v>1</v>
      </c>
      <c r="J43" s="129" t="n">
        <f aca="false">SUMIF('PO item'!D:D,VALUE(F43),'PO item'!Q:Q)</f>
        <v>1000</v>
      </c>
      <c r="K43" s="130" t="str">
        <f aca="false">IFERROR(_xlfn.xlookup(F43&amp;"-1",'PO item'!E:E,'PO item'!G:G),"")</f>
        <v>S35</v>
      </c>
      <c r="L43" s="130" t="str">
        <f aca="false">IFERROR(_xlfn.xlookup(F43&amp;"-2",'PO item'!E:E,'PO item'!G:G),"")</f>
        <v/>
      </c>
      <c r="M43" s="130" t="str">
        <f aca="false">IFERROR(_xlfn.xlookup(F43&amp;"-3",'PO item'!E:E,'PO item'!G:G),"")</f>
        <v/>
      </c>
      <c r="N43" s="130" t="str">
        <f aca="false">IFERROR(_xlfn.xlookup(F43&amp;"-4",'PO item'!E:E,'PO item'!G:G),"")</f>
        <v/>
      </c>
      <c r="O43" s="130" t="str">
        <f aca="false">IFERROR(_xlfn.xlookup(F43&amp;"-5",'PO item'!E:E,'PO item'!G:G),"")</f>
        <v/>
      </c>
      <c r="P43" s="130" t="str">
        <f aca="false">IFERROR(_xlfn.xlookup(F43&amp;"-6",'PO item'!E:E,'PO item'!G:G),"")</f>
        <v/>
      </c>
      <c r="Q43" s="130" t="str">
        <f aca="false">IFERROR(_xlfn.xlookup(F43&amp;"-7",'PO item'!E:E,'PO item'!G:G),"")</f>
        <v/>
      </c>
      <c r="R43" s="130" t="str">
        <f aca="false">IFERROR(_xlfn.xlookup(F43&amp;"-8",'PO item'!E:E,'PO item'!G:G),"")</f>
        <v/>
      </c>
      <c r="S43" s="130" t="str">
        <f aca="false">IFERROR(_xlfn.xlookup(F43&amp;"-9",'PO item'!E:E,'PO item'!G:G),"")</f>
        <v/>
      </c>
      <c r="T43" s="130" t="str">
        <f aca="false">IFERROR(_xlfn.xlookup(F43&amp;"-10",'PO item'!E:E,'PO item'!G:G),"")</f>
        <v/>
      </c>
      <c r="U43" s="133"/>
      <c r="V43" s="131" t="s">
        <v>790</v>
      </c>
      <c r="W43" s="134" t="s">
        <v>791</v>
      </c>
      <c r="X43" s="134" t="s">
        <v>792</v>
      </c>
      <c r="Y43" s="129" t="n">
        <f aca="false">IFERROR(_xlfn.xlookup($F43&amp;"-"&amp;B43,'PO item'!$E:$E,'PO item'!$M:$M),0)</f>
        <v>1</v>
      </c>
      <c r="Z43" s="129" t="n">
        <f aca="false">IFERROR(_xlfn.xlookup(F43&amp;"-"&amp;B43,'PO item'!E:E,'PO item'!L:L),"")</f>
        <v>1000</v>
      </c>
      <c r="AA43" s="129" t="n">
        <f aca="false">IFERROR(_xlfn.xlookup($F43&amp;"-1",'PO item'!$E:$E,'PO item'!$N:$N),0)</f>
        <v>1</v>
      </c>
      <c r="AB43" s="135" t="n">
        <f aca="false">IFERROR(_xlfn.xlookup($F43&amp;"-1",'PO item'!$E:$E,'PO item'!$K:$K),0)</f>
        <v>13</v>
      </c>
      <c r="AC43" s="129" t="n">
        <v>1</v>
      </c>
      <c r="AD43" s="135" t="n">
        <f aca="false">25.5-13</f>
        <v>12.5</v>
      </c>
      <c r="AE43" s="129" t="n">
        <f aca="false">IFERROR(_xlfn.xlookup($F43&amp;"-3",'PO item'!$E:$E,'PO item'!$N:$N),0)</f>
        <v>0</v>
      </c>
      <c r="AF43" s="135" t="n">
        <f aca="false">IFERROR(_xlfn.xlookup($F43&amp;"-3",'PO item'!$E:$E,'PO item'!$K:$K),0)</f>
        <v>0</v>
      </c>
      <c r="AG43" s="129"/>
      <c r="AH43" s="135"/>
      <c r="AI43" s="129"/>
      <c r="AJ43" s="135"/>
      <c r="AK43" s="136" t="n">
        <f aca="false">AB43*AA43+AD43*AC43+AF43*AE43+AH43*AG43+AJ43*AI43</f>
        <v>25.5</v>
      </c>
      <c r="AL43" s="134" t="s">
        <v>793</v>
      </c>
    </row>
    <row r="44" customFormat="false" ht="16.4" hidden="false" customHeight="false" outlineLevel="0" collapsed="false">
      <c r="A44" s="129" t="n">
        <f aca="false">IF(AND(F44=F43,K44=K43),A43,A43+1)</f>
        <v>75</v>
      </c>
      <c r="B44" s="129" t="n">
        <f aca="false">IF(AND(A44=A43,F44=F43),B43+1,1)</f>
        <v>1</v>
      </c>
      <c r="C44" s="129" t="str">
        <f aca="false">A44&amp;"-"&amp;B44</f>
        <v>75-1</v>
      </c>
      <c r="D44" s="130" t="str">
        <f aca="false">IFERROR(_xlfn.xlookup(F44,'PO Client'!A:A,'PO Client'!E:E),"")</f>
        <v>3G</v>
      </c>
      <c r="E44" s="130" t="n">
        <f aca="false">IFERROR(_xlfn.xlookup('Liste BT'!F44,'PO Client'!A:A,'PO Client'!H:H),"")</f>
        <v>3126</v>
      </c>
      <c r="F44" s="131" t="n">
        <f aca="false">F43+1</f>
        <v>381</v>
      </c>
      <c r="G44" s="132" t="n">
        <v>45727</v>
      </c>
      <c r="H44" s="129" t="n">
        <f aca="false">SUMIF('PO item'!D:D,VALUE(F44),'PO item'!O:O)</f>
        <v>5</v>
      </c>
      <c r="I44" s="129" t="n">
        <f aca="false">(AA44+AC44+AE44+AG44+AI44)*Y44</f>
        <v>5</v>
      </c>
      <c r="J44" s="129" t="n">
        <f aca="false">SUMIF('PO item'!D:D,VALUE(F44),'PO item'!Q:Q)</f>
        <v>50000</v>
      </c>
      <c r="K44" s="130" t="str">
        <f aca="false">IFERROR(_xlfn.xlookup(F44&amp;"-1",'PO item'!E:E,'PO item'!G:G),"")</f>
        <v>S15</v>
      </c>
      <c r="L44" s="130" t="str">
        <f aca="false">IFERROR(_xlfn.xlookup(F44&amp;"-2",'PO item'!E:E,'PO item'!G:G),"")</f>
        <v/>
      </c>
      <c r="M44" s="130" t="str">
        <f aca="false">IFERROR(_xlfn.xlookup(F44&amp;"-3",'PO item'!E:E,'PO item'!G:G),"")</f>
        <v/>
      </c>
      <c r="N44" s="130" t="str">
        <f aca="false">IFERROR(_xlfn.xlookup(F44&amp;"-4",'PO item'!E:E,'PO item'!G:G),"")</f>
        <v/>
      </c>
      <c r="O44" s="130" t="str">
        <f aca="false">IFERROR(_xlfn.xlookup(F44&amp;"-5",'PO item'!E:E,'PO item'!G:G),"")</f>
        <v/>
      </c>
      <c r="P44" s="130" t="str">
        <f aca="false">IFERROR(_xlfn.xlookup(F44&amp;"-6",'PO item'!E:E,'PO item'!G:G),"")</f>
        <v/>
      </c>
      <c r="Q44" s="130" t="str">
        <f aca="false">IFERROR(_xlfn.xlookup(F44&amp;"-7",'PO item'!E:E,'PO item'!G:G),"")</f>
        <v/>
      </c>
      <c r="R44" s="130" t="str">
        <f aca="false">IFERROR(_xlfn.xlookup(F44&amp;"-8",'PO item'!E:E,'PO item'!G:G),"")</f>
        <v/>
      </c>
      <c r="S44" s="130" t="str">
        <f aca="false">IFERROR(_xlfn.xlookup(F44&amp;"-9",'PO item'!E:E,'PO item'!G:G),"")</f>
        <v/>
      </c>
      <c r="T44" s="130" t="str">
        <f aca="false">IFERROR(_xlfn.xlookup(F44&amp;"-10",'PO item'!E:E,'PO item'!G:G),"")</f>
        <v/>
      </c>
      <c r="U44" s="133"/>
      <c r="V44" s="131" t="s">
        <v>762</v>
      </c>
      <c r="W44" s="134" t="s">
        <v>789</v>
      </c>
      <c r="X44" s="134" t="s">
        <v>794</v>
      </c>
      <c r="Y44" s="129" t="n">
        <f aca="false">IFERROR(_xlfn.xlookup($F44&amp;"-"&amp;B44,'PO item'!$E:$E,'PO item'!$M:$M),0)</f>
        <v>1</v>
      </c>
      <c r="Z44" s="129" t="n">
        <f aca="false">IFERROR(_xlfn.xlookup(F44&amp;"-"&amp;B44,'PO item'!E:E,'PO item'!L:L),"")</f>
        <v>10000</v>
      </c>
      <c r="AA44" s="129" t="n">
        <f aca="false">IFERROR(_xlfn.xlookup($F44&amp;"-1",'PO item'!$E:$E,'PO item'!$N:$N),0)</f>
        <v>5</v>
      </c>
      <c r="AB44" s="135" t="n">
        <f aca="false">IFERROR(_xlfn.xlookup($F44&amp;"-1",'PO item'!$E:$E,'PO item'!$K:$K),0)</f>
        <v>12</v>
      </c>
      <c r="AC44" s="129"/>
      <c r="AD44" s="135"/>
      <c r="AE44" s="129"/>
      <c r="AF44" s="135"/>
      <c r="AG44" s="129"/>
      <c r="AH44" s="135"/>
      <c r="AI44" s="129"/>
      <c r="AJ44" s="135"/>
      <c r="AK44" s="136" t="n">
        <f aca="false">AB44*AA44+AD44*AC44+AF44*AE44+AH44*AG44+AJ44*AI44</f>
        <v>60</v>
      </c>
      <c r="AL44" s="134"/>
    </row>
    <row r="45" customFormat="false" ht="16.4" hidden="false" customHeight="false" outlineLevel="0" collapsed="false">
      <c r="A45" s="129" t="n">
        <f aca="false">IF(AND(F45=F44,K45=K44),A44,A44+1)</f>
        <v>76</v>
      </c>
      <c r="B45" s="129" t="n">
        <f aca="false">IF(AND(A45=A44,F45=F44),B44+1,1)</f>
        <v>1</v>
      </c>
      <c r="C45" s="129" t="str">
        <f aca="false">A45&amp;"-"&amp;B45</f>
        <v>76-1</v>
      </c>
      <c r="D45" s="130" t="str">
        <f aca="false">IFERROR(_xlfn.xlookup(F45,'PO Client'!A:A,'PO Client'!E:E),"")</f>
        <v>Labelink Mtrl</v>
      </c>
      <c r="E45" s="130" t="n">
        <f aca="false">IFERROR(_xlfn.xlookup('Liste BT'!F45,'PO Client'!A:A,'PO Client'!H:H),"")</f>
        <v>146122</v>
      </c>
      <c r="F45" s="131" t="n">
        <f aca="false">F44+1</f>
        <v>382</v>
      </c>
      <c r="G45" s="132" t="n">
        <v>45728</v>
      </c>
      <c r="H45" s="129" t="n">
        <f aca="false">SUMIF('PO item'!D:D,VALUE(F45),'PO item'!O:O)</f>
        <v>7</v>
      </c>
      <c r="I45" s="129" t="n">
        <f aca="false">(AA45+AC45+AE45+AG45+AI45)*Y45</f>
        <v>7</v>
      </c>
      <c r="J45" s="129" t="n">
        <f aca="false">SUMIF('PO item'!D:D,VALUE(F45),'PO item'!Q:Q)</f>
        <v>70000</v>
      </c>
      <c r="K45" s="130" t="str">
        <f aca="false">IFERROR(_xlfn.xlookup(F45&amp;"-1",'PO item'!E:E,'PO item'!G:G),"")</f>
        <v>S21</v>
      </c>
      <c r="L45" s="130" t="str">
        <f aca="false">IFERROR(_xlfn.xlookup(F45&amp;"-2",'PO item'!E:E,'PO item'!G:G),"")</f>
        <v>S21</v>
      </c>
      <c r="M45" s="130" t="str">
        <f aca="false">IFERROR(_xlfn.xlookup(F45&amp;"-3",'PO item'!E:E,'PO item'!G:G),"")</f>
        <v>S21</v>
      </c>
      <c r="N45" s="130" t="str">
        <f aca="false">IFERROR(_xlfn.xlookup(F45&amp;"-4",'PO item'!E:E,'PO item'!G:G),"")</f>
        <v/>
      </c>
      <c r="O45" s="130" t="str">
        <f aca="false">IFERROR(_xlfn.xlookup(F45&amp;"-5",'PO item'!E:E,'PO item'!G:G),"")</f>
        <v/>
      </c>
      <c r="P45" s="130" t="str">
        <f aca="false">IFERROR(_xlfn.xlookup(F45&amp;"-6",'PO item'!E:E,'PO item'!G:G),"")</f>
        <v/>
      </c>
      <c r="Q45" s="130" t="str">
        <f aca="false">IFERROR(_xlfn.xlookup(F45&amp;"-7",'PO item'!E:E,'PO item'!G:G),"")</f>
        <v/>
      </c>
      <c r="R45" s="130" t="str">
        <f aca="false">IFERROR(_xlfn.xlookup(F45&amp;"-8",'PO item'!E:E,'PO item'!G:G),"")</f>
        <v/>
      </c>
      <c r="S45" s="130" t="str">
        <f aca="false">IFERROR(_xlfn.xlookup(F45&amp;"-9",'PO item'!E:E,'PO item'!G:G),"")</f>
        <v/>
      </c>
      <c r="T45" s="130" t="str">
        <f aca="false">IFERROR(_xlfn.xlookup(F45&amp;"-10",'PO item'!E:E,'PO item'!G:G),"")</f>
        <v/>
      </c>
      <c r="U45" s="133"/>
      <c r="V45" s="131" t="s">
        <v>760</v>
      </c>
      <c r="W45" s="134" t="s">
        <v>795</v>
      </c>
      <c r="X45" s="134" t="s">
        <v>782</v>
      </c>
      <c r="Y45" s="129" t="n">
        <f aca="false">IFERROR(_xlfn.xlookup($F45&amp;"-"&amp;B45,'PO item'!$E:$E,'PO item'!$M:$M),0)</f>
        <v>1</v>
      </c>
      <c r="Z45" s="129" t="n">
        <f aca="false">IFERROR(_xlfn.xlookup(F45&amp;"-"&amp;B45,'PO item'!E:E,'PO item'!L:L),"")</f>
        <v>10000</v>
      </c>
      <c r="AA45" s="129" t="n">
        <f aca="false">IFERROR(_xlfn.xlookup($F45&amp;"-1",'PO item'!$E:$E,'PO item'!$N:$N),0)</f>
        <v>4</v>
      </c>
      <c r="AB45" s="135" t="n">
        <f aca="false">IFERROR(_xlfn.xlookup($F45&amp;"-1",'PO item'!$E:$E,'PO item'!$K:$K),0)</f>
        <v>8.125</v>
      </c>
      <c r="AC45" s="129" t="n">
        <f aca="false">IFERROR(_xlfn.xlookup($F45&amp;"-2",'PO item'!$E:$E,'PO item'!$N:$N),0)</f>
        <v>2</v>
      </c>
      <c r="AD45" s="135" t="n">
        <f aca="false">IFERROR(_xlfn.xlookup($F45&amp;"-2",'PO item'!$E:$E,'PO item'!$K:$K),0)</f>
        <v>8</v>
      </c>
      <c r="AE45" s="129" t="n">
        <f aca="false">IFERROR(_xlfn.xlookup($F45&amp;"-3",'PO item'!$E:$E,'PO item'!$N:$N),0)</f>
        <v>1</v>
      </c>
      <c r="AF45" s="135" t="n">
        <f aca="false">IFERROR(_xlfn.xlookup($F45&amp;"-3",'PO item'!$E:$E,'PO item'!$K:$K),0)</f>
        <v>11.5</v>
      </c>
      <c r="AG45" s="129"/>
      <c r="AH45" s="135"/>
      <c r="AI45" s="129"/>
      <c r="AJ45" s="135"/>
      <c r="AK45" s="136" t="n">
        <f aca="false">AB45*AA45+AD45*AC45+AF45*AE45+AH45*AG45+AJ45*AI45</f>
        <v>60</v>
      </c>
      <c r="AL45" s="134"/>
    </row>
    <row r="46" customFormat="false" ht="16.4" hidden="false" customHeight="false" outlineLevel="0" collapsed="false">
      <c r="A46" s="129" t="n">
        <f aca="false">IF(AND(F46=F45,K46=K45),A45,A45+1)</f>
        <v>77</v>
      </c>
      <c r="B46" s="129" t="n">
        <f aca="false">IF(AND(A46=A45,F46=F45),B45+1,1)</f>
        <v>1</v>
      </c>
      <c r="C46" s="129" t="str">
        <f aca="false">A46&amp;"-"&amp;B46</f>
        <v>77-1</v>
      </c>
      <c r="D46" s="130" t="str">
        <f aca="false">IFERROR(_xlfn.xlookup(F46,'PO Client'!A:A,'PO Client'!E:E),"")</f>
        <v>Luso-Flex</v>
      </c>
      <c r="E46" s="130" t="n">
        <f aca="false">IFERROR(_xlfn.xlookup('Liste BT'!F46,'PO Client'!A:A,'PO Client'!H:H),"")</f>
        <v>1992</v>
      </c>
      <c r="F46" s="131" t="n">
        <f aca="false">F45+1</f>
        <v>383</v>
      </c>
      <c r="G46" s="132" t="n">
        <v>45728</v>
      </c>
      <c r="H46" s="129" t="n">
        <f aca="false">SUMIF('PO item'!D:D,VALUE(F46),'PO item'!O:O)</f>
        <v>12</v>
      </c>
      <c r="I46" s="129" t="n">
        <v>12</v>
      </c>
      <c r="J46" s="129" t="n">
        <f aca="false">SUMIF('PO item'!D:D,VALUE(F46),'PO item'!Q:Q)</f>
        <v>120000</v>
      </c>
      <c r="K46" s="130" t="str">
        <f aca="false">IFERROR(_xlfn.xlookup(F46&amp;"-1",'PO item'!E:E,'PO item'!G:G),"")</f>
        <v>T11</v>
      </c>
      <c r="L46" s="137" t="str">
        <f aca="false">IFERROR(_xlfn.xlookup(F46&amp;"-2",'PO item'!E:E,'PO item'!G:G),"")</f>
        <v/>
      </c>
      <c r="M46" s="137" t="str">
        <f aca="false">IFERROR(_xlfn.xlookup(F46&amp;"-3",'PO item'!E:E,'PO item'!G:G),"")</f>
        <v/>
      </c>
      <c r="N46" s="137" t="str">
        <f aca="false">IFERROR(_xlfn.xlookup(F46&amp;"-4",'PO item'!E:E,'PO item'!G:G),"")</f>
        <v/>
      </c>
      <c r="O46" s="137" t="str">
        <f aca="false">IFERROR(_xlfn.xlookup(F46&amp;"-5",'PO item'!E:E,'PO item'!G:G),"")</f>
        <v/>
      </c>
      <c r="P46" s="137" t="str">
        <f aca="false">IFERROR(_xlfn.xlookup(F46&amp;"-6",'PO item'!E:E,'PO item'!G:G),"")</f>
        <v/>
      </c>
      <c r="Q46" s="137" t="str">
        <f aca="false">IFERROR(_xlfn.xlookup(F46&amp;"-7",'PO item'!E:E,'PO item'!G:G),"")</f>
        <v/>
      </c>
      <c r="R46" s="137" t="str">
        <f aca="false">IFERROR(_xlfn.xlookup(F46&amp;"-8",'PO item'!E:E,'PO item'!G:G),"")</f>
        <v/>
      </c>
      <c r="S46" s="137" t="str">
        <f aca="false">IFERROR(_xlfn.xlookup(F46&amp;"-9",'PO item'!E:E,'PO item'!G:G),"")</f>
        <v/>
      </c>
      <c r="T46" s="137" t="str">
        <f aca="false">IFERROR(_xlfn.xlookup(F46&amp;"-10",'PO item'!E:E,'PO item'!G:G),"")</f>
        <v/>
      </c>
      <c r="U46" s="133"/>
      <c r="V46" s="131" t="s">
        <v>754</v>
      </c>
      <c r="W46" s="134" t="s">
        <v>796</v>
      </c>
      <c r="X46" s="134" t="s">
        <v>782</v>
      </c>
      <c r="Y46" s="129" t="n">
        <f aca="false">IFERROR(_xlfn.xlookup($F46&amp;"-"&amp;B46,'PO item'!$E:$E,'PO item'!$M:$M),0)</f>
        <v>3</v>
      </c>
      <c r="Z46" s="129" t="n">
        <f aca="false">IFERROR(_xlfn.xlookup(F46&amp;"-"&amp;B46,'PO item'!E:E,'PO item'!L:L),"")</f>
        <v>10000</v>
      </c>
      <c r="AA46" s="129" t="n">
        <f aca="false">IFERROR(_xlfn.xlookup($F46&amp;"-1",'PO item'!$E:$E,'PO item'!$N:$N),0)</f>
        <v>4</v>
      </c>
      <c r="AB46" s="135" t="n">
        <f aca="false">IFERROR(_xlfn.xlookup($F46&amp;"-1",'PO item'!$E:$E,'PO item'!$K:$K),0)</f>
        <v>12.875</v>
      </c>
      <c r="AC46" s="129" t="n">
        <v>1</v>
      </c>
      <c r="AD46" s="135" t="n">
        <v>8.875</v>
      </c>
      <c r="AE46" s="129"/>
      <c r="AF46" s="135"/>
      <c r="AG46" s="129"/>
      <c r="AH46" s="135"/>
      <c r="AI46" s="129"/>
      <c r="AJ46" s="135"/>
      <c r="AK46" s="136" t="n">
        <f aca="false">AB46*AA46+AD46*AC46+AF46*AE46+AH46*AG46+AJ46*AI46</f>
        <v>60.375</v>
      </c>
      <c r="AL46" s="134" t="s">
        <v>797</v>
      </c>
    </row>
    <row r="47" customFormat="false" ht="16.4" hidden="false" customHeight="false" outlineLevel="0" collapsed="false">
      <c r="A47" s="129" t="n">
        <f aca="false">IF(AND(F47=F46,K47=K46),A46,A46+1)</f>
        <v>78</v>
      </c>
      <c r="B47" s="129" t="n">
        <f aca="false">IF(AND(A47=A46,F47=F46),B46+1,1)</f>
        <v>1</v>
      </c>
      <c r="C47" s="129" t="str">
        <f aca="false">A47&amp;"-"&amp;B47</f>
        <v>78-1</v>
      </c>
      <c r="D47" s="130" t="str">
        <f aca="false">IFERROR(_xlfn.xlookup(F47,'PO Client'!A:A,'PO Client'!E:E),"")</f>
        <v>Inter Label</v>
      </c>
      <c r="E47" s="130" t="s">
        <v>798</v>
      </c>
      <c r="F47" s="131" t="n">
        <f aca="false">F46+1</f>
        <v>384</v>
      </c>
      <c r="G47" s="132" t="n">
        <v>45728</v>
      </c>
      <c r="H47" s="129" t="n">
        <v>2</v>
      </c>
      <c r="I47" s="129" t="n">
        <v>2</v>
      </c>
      <c r="J47" s="129" t="n">
        <v>5000</v>
      </c>
      <c r="K47" s="130" t="str">
        <f aca="false">IFERROR(_xlfn.xlookup(F47&amp;"-1",'PO item'!E:E,'PO item'!G:G),"")</f>
        <v>S21</v>
      </c>
      <c r="L47" s="137" t="str">
        <f aca="false">IFERROR(_xlfn.xlookup(F47&amp;"-2",'PO item'!E:E,'PO item'!G:G),"")</f>
        <v>B15</v>
      </c>
      <c r="M47" s="137" t="str">
        <f aca="false">IFERROR(_xlfn.xlookup(F47&amp;"-3",'PO item'!E:E,'PO item'!G:G),"")</f>
        <v>D11</v>
      </c>
      <c r="N47" s="137" t="str">
        <f aca="false">IFERROR(_xlfn.xlookup(F47&amp;"-4",'PO item'!E:E,'PO item'!G:G),"")</f>
        <v/>
      </c>
      <c r="O47" s="137" t="str">
        <f aca="false">IFERROR(_xlfn.xlookup(F47&amp;"-5",'PO item'!E:E,'PO item'!G:G),"")</f>
        <v/>
      </c>
      <c r="P47" s="137" t="str">
        <f aca="false">IFERROR(_xlfn.xlookup(F47&amp;"-6",'PO item'!E:E,'PO item'!G:G),"")</f>
        <v/>
      </c>
      <c r="Q47" s="137" t="str">
        <f aca="false">IFERROR(_xlfn.xlookup(F47&amp;"-7",'PO item'!E:E,'PO item'!G:G),"")</f>
        <v/>
      </c>
      <c r="R47" s="137" t="str">
        <f aca="false">IFERROR(_xlfn.xlookup(F47&amp;"-8",'PO item'!E:E,'PO item'!G:G),"")</f>
        <v/>
      </c>
      <c r="S47" s="137" t="str">
        <f aca="false">IFERROR(_xlfn.xlookup(F47&amp;"-9",'PO item'!E:E,'PO item'!G:G),"")</f>
        <v/>
      </c>
      <c r="T47" s="137" t="str">
        <f aca="false">IFERROR(_xlfn.xlookup(F47&amp;"-10",'PO item'!E:E,'PO item'!G:G),"")</f>
        <v/>
      </c>
      <c r="U47" s="133"/>
      <c r="V47" s="131" t="s">
        <v>760</v>
      </c>
      <c r="W47" s="134" t="s">
        <v>799</v>
      </c>
      <c r="X47" s="134" t="s">
        <v>800</v>
      </c>
      <c r="Y47" s="129" t="n">
        <f aca="false">IFERROR(_xlfn.xlookup($F47&amp;"-"&amp;B47,'PO item'!$E:$E,'PO item'!$M:$M),0)</f>
        <v>1</v>
      </c>
      <c r="Z47" s="129" t="n">
        <f aca="false">IFERROR(_xlfn.xlookup(F47&amp;"-"&amp;B47,'PO item'!E:E,'PO item'!L:L),"")</f>
        <v>2500</v>
      </c>
      <c r="AA47" s="129" t="n">
        <f aca="false">IFERROR(_xlfn.xlookup($F47&amp;"-1",'PO item'!$E:$E,'PO item'!$N:$N),0)</f>
        <v>1</v>
      </c>
      <c r="AB47" s="135" t="n">
        <f aca="false">IFERROR(_xlfn.xlookup($F47&amp;"-1",'PO item'!$E:$E,'PO item'!$K:$K),0)</f>
        <v>12.875</v>
      </c>
      <c r="AC47" s="129" t="n">
        <v>1</v>
      </c>
      <c r="AD47" s="135" t="n">
        <v>13</v>
      </c>
      <c r="AE47" s="129" t="n">
        <v>1</v>
      </c>
      <c r="AF47" s="135" t="n">
        <f aca="false">33.75-AD47-AB47</f>
        <v>7.875</v>
      </c>
      <c r="AG47" s="129"/>
      <c r="AH47" s="135"/>
      <c r="AI47" s="129"/>
      <c r="AJ47" s="135"/>
      <c r="AK47" s="136" t="n">
        <f aca="false">AB47*AA47+AD47*AC47+AF47*AE47+AH47*AG47+AJ47*AI47</f>
        <v>33.75</v>
      </c>
      <c r="AL47" s="134" t="s">
        <v>801</v>
      </c>
    </row>
    <row r="48" customFormat="false" ht="16.4" hidden="false" customHeight="false" outlineLevel="0" collapsed="false">
      <c r="A48" s="129" t="n">
        <f aca="false">IF(AND(F48=F47,K48=K47),A47,A47+1)</f>
        <v>79</v>
      </c>
      <c r="B48" s="129" t="n">
        <f aca="false">IF(AND(A48=A47,F48=F47),B47+1,1)</f>
        <v>1</v>
      </c>
      <c r="C48" s="129" t="str">
        <f aca="false">A48&amp;"-"&amp;B48</f>
        <v>79-1</v>
      </c>
      <c r="D48" s="130" t="str">
        <f aca="false">IFERROR(_xlfn.xlookup(F48,'PO Client'!A:A,'PO Client'!E:E),"")</f>
        <v>Inter Label</v>
      </c>
      <c r="E48" s="130" t="s">
        <v>802</v>
      </c>
      <c r="F48" s="131" t="n">
        <v>384</v>
      </c>
      <c r="G48" s="132" t="n">
        <v>45728</v>
      </c>
      <c r="H48" s="129" t="n">
        <v>1</v>
      </c>
      <c r="I48" s="129" t="n">
        <v>1</v>
      </c>
      <c r="J48" s="129" t="n">
        <v>2500</v>
      </c>
      <c r="K48" s="130" t="s">
        <v>624</v>
      </c>
      <c r="L48" s="137"/>
      <c r="M48" s="137"/>
      <c r="N48" s="137" t="str">
        <f aca="false">IFERROR(_xlfn.xlookup(F48&amp;"-4",'PO item'!E:E,'PO item'!G:G),"")</f>
        <v/>
      </c>
      <c r="O48" s="137" t="str">
        <f aca="false">IFERROR(_xlfn.xlookup(F48&amp;"-5",'PO item'!E:E,'PO item'!G:G),"")</f>
        <v/>
      </c>
      <c r="P48" s="137" t="str">
        <f aca="false">IFERROR(_xlfn.xlookup(F48&amp;"-6",'PO item'!E:E,'PO item'!G:G),"")</f>
        <v/>
      </c>
      <c r="Q48" s="137" t="str">
        <f aca="false">IFERROR(_xlfn.xlookup(F48&amp;"-7",'PO item'!E:E,'PO item'!G:G),"")</f>
        <v/>
      </c>
      <c r="R48" s="137" t="str">
        <f aca="false">IFERROR(_xlfn.xlookup(F48&amp;"-8",'PO item'!E:E,'PO item'!G:G),"")</f>
        <v/>
      </c>
      <c r="S48" s="137" t="str">
        <f aca="false">IFERROR(_xlfn.xlookup(F48&amp;"-9",'PO item'!E:E,'PO item'!G:G),"")</f>
        <v/>
      </c>
      <c r="T48" s="137" t="str">
        <f aca="false">IFERROR(_xlfn.xlookup(F48&amp;"-10",'PO item'!E:E,'PO item'!G:G),"")</f>
        <v/>
      </c>
      <c r="U48" s="133"/>
      <c r="V48" s="131" t="s">
        <v>764</v>
      </c>
      <c r="W48" s="134" t="s">
        <v>803</v>
      </c>
      <c r="X48" s="134" t="s">
        <v>804</v>
      </c>
      <c r="Y48" s="129" t="n">
        <f aca="false">IFERROR(_xlfn.xlookup($F48&amp;"-"&amp;B48,'PO item'!$E:$E,'PO item'!$M:$M),0)</f>
        <v>1</v>
      </c>
      <c r="Z48" s="129" t="n">
        <f aca="false">IFERROR(_xlfn.xlookup(F48&amp;"-"&amp;B48,'PO item'!E:E,'PO item'!L:L),"")</f>
        <v>2500</v>
      </c>
      <c r="AA48" s="129" t="n">
        <f aca="false">IFERROR(_xlfn.xlookup($F48&amp;"-1",'PO item'!$E:$E,'PO item'!$N:$N),0)</f>
        <v>1</v>
      </c>
      <c r="AB48" s="135" t="n">
        <v>11.75</v>
      </c>
      <c r="AC48" s="129" t="n">
        <v>1</v>
      </c>
      <c r="AD48" s="135" t="n">
        <f aca="false">60.236-11.75</f>
        <v>48.486</v>
      </c>
      <c r="AE48" s="129"/>
      <c r="AF48" s="135"/>
      <c r="AG48" s="129"/>
      <c r="AH48" s="135"/>
      <c r="AI48" s="129"/>
      <c r="AJ48" s="135"/>
      <c r="AK48" s="136" t="n">
        <f aca="false">AB48*AA48+AD48*AC48+AF48*AE48+AH48*AG48+AJ48*AI48</f>
        <v>60.236</v>
      </c>
      <c r="AL48" s="134" t="s">
        <v>805</v>
      </c>
    </row>
    <row r="49" customFormat="false" ht="16.4" hidden="false" customHeight="false" outlineLevel="0" collapsed="false">
      <c r="A49" s="129" t="n">
        <f aca="false">IF(AND(F49=F48,K49=K48),A48,A48+1)</f>
        <v>80</v>
      </c>
      <c r="B49" s="129" t="n">
        <f aca="false">IF(AND(A49=A48,F49=F48),B48+1,1)</f>
        <v>1</v>
      </c>
      <c r="C49" s="129" t="str">
        <f aca="false">A49&amp;"-"&amp;B49</f>
        <v>80-1</v>
      </c>
      <c r="D49" s="130" t="str">
        <f aca="false">IFERROR(_xlfn.xlookup(F49,'PO Client'!A:A,'PO Client'!E:E),"")</f>
        <v>Inter Label</v>
      </c>
      <c r="E49" s="130" t="s">
        <v>806</v>
      </c>
      <c r="F49" s="131" t="n">
        <v>384</v>
      </c>
      <c r="G49" s="132" t="n">
        <v>45728</v>
      </c>
      <c r="H49" s="129" t="n">
        <v>2</v>
      </c>
      <c r="I49" s="129" t="n">
        <v>2</v>
      </c>
      <c r="J49" s="129" t="n">
        <v>5000</v>
      </c>
      <c r="K49" s="130" t="s">
        <v>509</v>
      </c>
      <c r="L49" s="137"/>
      <c r="M49" s="137"/>
      <c r="N49" s="137" t="str">
        <f aca="false">IFERROR(_xlfn.xlookup(F49&amp;"-4",'PO item'!E:E,'PO item'!G:G),"")</f>
        <v/>
      </c>
      <c r="O49" s="137" t="str">
        <f aca="false">IFERROR(_xlfn.xlookup(F49&amp;"-5",'PO item'!E:E,'PO item'!G:G),"")</f>
        <v/>
      </c>
      <c r="P49" s="137" t="str">
        <f aca="false">IFERROR(_xlfn.xlookup(F49&amp;"-6",'PO item'!E:E,'PO item'!G:G),"")</f>
        <v/>
      </c>
      <c r="Q49" s="137" t="str">
        <f aca="false">IFERROR(_xlfn.xlookup(F49&amp;"-7",'PO item'!E:E,'PO item'!G:G),"")</f>
        <v/>
      </c>
      <c r="R49" s="137" t="str">
        <f aca="false">IFERROR(_xlfn.xlookup(F49&amp;"-8",'PO item'!E:E,'PO item'!G:G),"")</f>
        <v/>
      </c>
      <c r="S49" s="137" t="str">
        <f aca="false">IFERROR(_xlfn.xlookup(F49&amp;"-9",'PO item'!E:E,'PO item'!G:G),"")</f>
        <v/>
      </c>
      <c r="T49" s="137" t="str">
        <f aca="false">IFERROR(_xlfn.xlookup(F49&amp;"-10",'PO item'!E:E,'PO item'!G:G),"")</f>
        <v/>
      </c>
      <c r="U49" s="133"/>
      <c r="V49" s="131" t="s">
        <v>740</v>
      </c>
      <c r="W49" s="134" t="s">
        <v>807</v>
      </c>
      <c r="X49" s="134" t="s">
        <v>808</v>
      </c>
      <c r="Y49" s="129" t="n">
        <f aca="false">IFERROR(_xlfn.xlookup($F49&amp;"-"&amp;B49,'PO item'!$E:$E,'PO item'!$M:$M),0)</f>
        <v>1</v>
      </c>
      <c r="Z49" s="129" t="n">
        <f aca="false">IFERROR(_xlfn.xlookup(F49&amp;"-"&amp;B49,'PO item'!E:E,'PO item'!L:L),"")</f>
        <v>2500</v>
      </c>
      <c r="AA49" s="129" t="n">
        <f aca="false">IFERROR(_xlfn.xlookup($F49&amp;"-1",'PO item'!$E:$E,'PO item'!$N:$N),0)</f>
        <v>1</v>
      </c>
      <c r="AB49" s="135" t="n">
        <f aca="false">IFERROR(_xlfn.xlookup($F49&amp;"-1",'PO item'!$E:$E,'PO item'!$K:$K),0)</f>
        <v>12.875</v>
      </c>
      <c r="AC49" s="129" t="n">
        <v>1</v>
      </c>
      <c r="AD49" s="135" t="n">
        <v>13</v>
      </c>
      <c r="AE49" s="129" t="n">
        <v>1</v>
      </c>
      <c r="AF49" s="135" t="n">
        <f aca="false">32.625-AD49-AB49</f>
        <v>6.75</v>
      </c>
      <c r="AG49" s="129"/>
      <c r="AH49" s="135"/>
      <c r="AI49" s="129"/>
      <c r="AJ49" s="135"/>
      <c r="AK49" s="136" t="n">
        <f aca="false">AB49*AA49+AD49*AC49+AF49*AE49+AH49*AG49+AJ49*AI49</f>
        <v>32.625</v>
      </c>
      <c r="AL49" s="134" t="s">
        <v>809</v>
      </c>
    </row>
    <row r="50" customFormat="false" ht="16.4" hidden="false" customHeight="false" outlineLevel="0" collapsed="false">
      <c r="A50" s="129" t="n">
        <v>81</v>
      </c>
      <c r="B50" s="129" t="n">
        <f aca="false">IF(AND(A50=A49,F50=F49),B49+1,1)</f>
        <v>1</v>
      </c>
      <c r="C50" s="129" t="str">
        <f aca="false">A50&amp;"-"&amp;B50</f>
        <v>81-1</v>
      </c>
      <c r="D50" s="130" t="str">
        <f aca="false">IFERROR(_xlfn.xlookup(F50,'PO Client'!A:A,'PO Client'!E:E),"")</f>
        <v>Étiquesse</v>
      </c>
      <c r="E50" s="130" t="str">
        <f aca="false">IFERROR(_xlfn.xlookup('Liste BT'!F50,'PO Client'!A:A,'PO Client'!H:H),"")</f>
        <v>Échantillons</v>
      </c>
      <c r="F50" s="131" t="n">
        <f aca="false">F49+1</f>
        <v>385</v>
      </c>
      <c r="G50" s="132" t="n">
        <v>45729</v>
      </c>
      <c r="H50" s="129" t="n">
        <v>0</v>
      </c>
      <c r="I50" s="129" t="n">
        <v>0</v>
      </c>
      <c r="J50" s="129" t="n">
        <v>2500</v>
      </c>
      <c r="K50" s="130" t="str">
        <f aca="false">IFERROR(_xlfn.xlookup(F50&amp;"-1",'PO item'!E:E,'PO item'!G:G),"")</f>
        <v>D11</v>
      </c>
      <c r="L50" s="137" t="str">
        <f aca="false">IFERROR(_xlfn.xlookup(F50&amp;"-2",'PO item'!E:E,'PO item'!G:G),"")</f>
        <v>T11</v>
      </c>
      <c r="M50" s="137" t="str">
        <f aca="false">IFERROR(_xlfn.xlookup(F50&amp;"-3",'PO item'!E:E,'PO item'!G:G),"")</f>
        <v>S21</v>
      </c>
      <c r="N50" s="137" t="str">
        <f aca="false">IFERROR(_xlfn.xlookup(F50&amp;"-4",'PO item'!E:E,'PO item'!G:G),"")</f>
        <v/>
      </c>
      <c r="O50" s="137" t="str">
        <f aca="false">IFERROR(_xlfn.xlookup(F50&amp;"-5",'PO item'!E:E,'PO item'!G:G),"")</f>
        <v/>
      </c>
      <c r="P50" s="137" t="str">
        <f aca="false">IFERROR(_xlfn.xlookup(F50&amp;"-6",'PO item'!E:E,'PO item'!G:G),"")</f>
        <v/>
      </c>
      <c r="Q50" s="137" t="str">
        <f aca="false">IFERROR(_xlfn.xlookup(F50&amp;"-7",'PO item'!E:E,'PO item'!G:G),"")</f>
        <v/>
      </c>
      <c r="R50" s="137" t="str">
        <f aca="false">IFERROR(_xlfn.xlookup(F50&amp;"-8",'PO item'!E:E,'PO item'!G:G),"")</f>
        <v/>
      </c>
      <c r="S50" s="137" t="str">
        <f aca="false">IFERROR(_xlfn.xlookup(F50&amp;"-9",'PO item'!E:E,'PO item'!G:G),"")</f>
        <v/>
      </c>
      <c r="T50" s="137" t="str">
        <f aca="false">IFERROR(_xlfn.xlookup(F50&amp;"-10",'PO item'!E:E,'PO item'!G:G),"")</f>
        <v/>
      </c>
      <c r="U50" s="133"/>
      <c r="V50" s="131" t="s">
        <v>740</v>
      </c>
      <c r="W50" s="134" t="s">
        <v>807</v>
      </c>
      <c r="X50" s="134" t="s">
        <v>810</v>
      </c>
      <c r="Y50" s="129" t="n">
        <f aca="false">IFERROR(_xlfn.xlookup($F50&amp;"-"&amp;B50,'PO item'!$E:$E,'PO item'!$M:$M),0)</f>
        <v>1</v>
      </c>
      <c r="Z50" s="129" t="n">
        <v>2500</v>
      </c>
      <c r="AA50" s="129" t="n">
        <f aca="false">IFERROR(_xlfn.xlookup($F50&amp;"-1",'PO item'!$E:$E,'PO item'!$N:$N),0)</f>
        <v>1</v>
      </c>
      <c r="AB50" s="135" t="n">
        <f aca="false">IFERROR(_xlfn.xlookup($F50&amp;"-1",'PO item'!$E:$E,'PO item'!$K:$K),0)</f>
        <v>13</v>
      </c>
      <c r="AC50" s="129"/>
      <c r="AD50" s="135"/>
      <c r="AE50" s="129"/>
      <c r="AF50" s="135"/>
      <c r="AG50" s="129"/>
      <c r="AH50" s="135"/>
      <c r="AI50" s="129"/>
      <c r="AJ50" s="135"/>
      <c r="AK50" s="136" t="n">
        <f aca="false">AB50*AA50+AD50*AC50+AF50*AE50+AH50*AG50+AJ50*AI50</f>
        <v>13</v>
      </c>
      <c r="AL50" s="134"/>
    </row>
    <row r="51" customFormat="false" ht="16.4" hidden="false" customHeight="false" outlineLevel="0" collapsed="false">
      <c r="A51" s="129" t="n">
        <v>82</v>
      </c>
      <c r="B51" s="129" t="n">
        <f aca="false">IF(AND(A51=A50,F51=F50),B50+1,1)</f>
        <v>1</v>
      </c>
      <c r="C51" s="129" t="str">
        <f aca="false">A51&amp;"-"&amp;B51</f>
        <v>82-1</v>
      </c>
      <c r="D51" s="130" t="str">
        <f aca="false">IFERROR(_xlfn.xlookup(F51,'PO Client'!A:A,'PO Client'!E:E),"")</f>
        <v>Étiquesse</v>
      </c>
      <c r="E51" s="130" t="str">
        <f aca="false">IFERROR(_xlfn.xlookup('Liste BT'!F51,'PO Client'!A:A,'PO Client'!H:H),"")</f>
        <v>Échantillons</v>
      </c>
      <c r="F51" s="131" t="n">
        <v>385</v>
      </c>
      <c r="G51" s="132" t="n">
        <v>45729</v>
      </c>
      <c r="H51" s="129" t="n">
        <v>1</v>
      </c>
      <c r="I51" s="129" t="n">
        <v>1</v>
      </c>
      <c r="J51" s="129" t="n">
        <v>2500</v>
      </c>
      <c r="K51" s="130" t="s">
        <v>495</v>
      </c>
      <c r="L51" s="137"/>
      <c r="M51" s="137"/>
      <c r="N51" s="137" t="str">
        <f aca="false">IFERROR(_xlfn.xlookup(F51&amp;"-4",'PO item'!E:E,'PO item'!G:G),"")</f>
        <v/>
      </c>
      <c r="O51" s="137" t="str">
        <f aca="false">IFERROR(_xlfn.xlookup(F51&amp;"-5",'PO item'!E:E,'PO item'!G:G),"")</f>
        <v/>
      </c>
      <c r="P51" s="137" t="str">
        <f aca="false">IFERROR(_xlfn.xlookup(F51&amp;"-6",'PO item'!E:E,'PO item'!G:G),"")</f>
        <v/>
      </c>
      <c r="Q51" s="137" t="str">
        <f aca="false">IFERROR(_xlfn.xlookup(F51&amp;"-7",'PO item'!E:E,'PO item'!G:G),"")</f>
        <v/>
      </c>
      <c r="R51" s="137" t="str">
        <f aca="false">IFERROR(_xlfn.xlookup(F51&amp;"-8",'PO item'!E:E,'PO item'!G:G),"")</f>
        <v/>
      </c>
      <c r="S51" s="137" t="str">
        <f aca="false">IFERROR(_xlfn.xlookup(F51&amp;"-9",'PO item'!E:E,'PO item'!G:G),"")</f>
        <v/>
      </c>
      <c r="T51" s="137" t="str">
        <f aca="false">IFERROR(_xlfn.xlookup(F51&amp;"-10",'PO item'!E:E,'PO item'!G:G),"")</f>
        <v/>
      </c>
      <c r="U51" s="133"/>
      <c r="V51" s="131" t="s">
        <v>754</v>
      </c>
      <c r="W51" s="134" t="s">
        <v>811</v>
      </c>
      <c r="X51" s="134" t="s">
        <v>812</v>
      </c>
      <c r="Y51" s="129" t="n">
        <f aca="false">IFERROR(_xlfn.xlookup($F51&amp;"-"&amp;B51,'PO item'!$E:$E,'PO item'!$M:$M),0)</f>
        <v>1</v>
      </c>
      <c r="Z51" s="129" t="n">
        <v>2500</v>
      </c>
      <c r="AA51" s="129" t="n">
        <v>1</v>
      </c>
      <c r="AB51" s="135" t="n">
        <v>13</v>
      </c>
      <c r="AC51" s="129" t="n">
        <v>1</v>
      </c>
      <c r="AD51" s="135" t="n">
        <f aca="false">23.75-13</f>
        <v>10.75</v>
      </c>
      <c r="AE51" s="129"/>
      <c r="AF51" s="135"/>
      <c r="AG51" s="129"/>
      <c r="AH51" s="135"/>
      <c r="AI51" s="129"/>
      <c r="AJ51" s="135"/>
      <c r="AK51" s="136" t="n">
        <f aca="false">AB51*AA51+AD51*AC51+AF51*AE51+AH51*AG51+AJ51*AI51</f>
        <v>23.75</v>
      </c>
      <c r="AL51" s="134" t="s">
        <v>813</v>
      </c>
    </row>
    <row r="52" customFormat="false" ht="16.4" hidden="false" customHeight="false" outlineLevel="0" collapsed="false">
      <c r="A52" s="129" t="n">
        <v>83</v>
      </c>
      <c r="B52" s="129" t="n">
        <f aca="false">IF(AND(A52=A51,F52=F51),B51+1,1)</f>
        <v>1</v>
      </c>
      <c r="C52" s="129" t="str">
        <f aca="false">A52&amp;"-"&amp;B52</f>
        <v>83-1</v>
      </c>
      <c r="D52" s="130" t="str">
        <f aca="false">IFERROR(_xlfn.xlookup(F52,'PO Client'!A:A,'PO Client'!E:E),"")</f>
        <v>Étiquesse</v>
      </c>
      <c r="E52" s="130" t="str">
        <f aca="false">IFERROR(_xlfn.xlookup('Liste BT'!F52,'PO Client'!A:A,'PO Client'!H:H),"")</f>
        <v>Échantillons</v>
      </c>
      <c r="F52" s="131" t="n">
        <v>385</v>
      </c>
      <c r="G52" s="132" t="n">
        <v>45729</v>
      </c>
      <c r="H52" s="129" t="n">
        <v>0</v>
      </c>
      <c r="I52" s="129" t="n">
        <v>0</v>
      </c>
      <c r="J52" s="129" t="n">
        <v>2500</v>
      </c>
      <c r="K52" s="130" t="s">
        <v>464</v>
      </c>
      <c r="L52" s="137"/>
      <c r="M52" s="137"/>
      <c r="N52" s="137" t="str">
        <f aca="false">IFERROR(_xlfn.xlookup(F52&amp;"-4",'PO item'!E:E,'PO item'!G:G),"")</f>
        <v/>
      </c>
      <c r="O52" s="137" t="str">
        <f aca="false">IFERROR(_xlfn.xlookup(F52&amp;"-5",'PO item'!E:E,'PO item'!G:G),"")</f>
        <v/>
      </c>
      <c r="P52" s="137" t="str">
        <f aca="false">IFERROR(_xlfn.xlookup(F52&amp;"-6",'PO item'!E:E,'PO item'!G:G),"")</f>
        <v/>
      </c>
      <c r="Q52" s="137" t="str">
        <f aca="false">IFERROR(_xlfn.xlookup(F52&amp;"-7",'PO item'!E:E,'PO item'!G:G),"")</f>
        <v/>
      </c>
      <c r="R52" s="137" t="str">
        <f aca="false">IFERROR(_xlfn.xlookup(F52&amp;"-8",'PO item'!E:E,'PO item'!G:G),"")</f>
        <v/>
      </c>
      <c r="S52" s="137" t="str">
        <f aca="false">IFERROR(_xlfn.xlookup(F52&amp;"-9",'PO item'!E:E,'PO item'!G:G),"")</f>
        <v/>
      </c>
      <c r="T52" s="137" t="str">
        <f aca="false">IFERROR(_xlfn.xlookup(F52&amp;"-10",'PO item'!E:E,'PO item'!G:G),"")</f>
        <v/>
      </c>
      <c r="U52" s="133"/>
      <c r="V52" s="131" t="s">
        <v>760</v>
      </c>
      <c r="W52" s="134" t="s">
        <v>799</v>
      </c>
      <c r="X52" s="134" t="s">
        <v>814</v>
      </c>
      <c r="Y52" s="129" t="n">
        <f aca="false">IFERROR(_xlfn.xlookup($F52&amp;"-"&amp;B52,'PO item'!$E:$E,'PO item'!$M:$M),0)</f>
        <v>1</v>
      </c>
      <c r="Z52" s="129" t="n">
        <v>2500</v>
      </c>
      <c r="AA52" s="129" t="n">
        <v>1</v>
      </c>
      <c r="AB52" s="135" t="n">
        <v>13</v>
      </c>
      <c r="AC52" s="129"/>
      <c r="AD52" s="135"/>
      <c r="AE52" s="129"/>
      <c r="AF52" s="135"/>
      <c r="AG52" s="129"/>
      <c r="AH52" s="135"/>
      <c r="AI52" s="129"/>
      <c r="AJ52" s="135"/>
      <c r="AK52" s="136" t="n">
        <f aca="false">AB52*AA52+AD52*AC52+AF52*AE52+AH52*AG52+AJ52*AI52</f>
        <v>13</v>
      </c>
      <c r="AL52" s="134"/>
    </row>
    <row r="53" customFormat="false" ht="16.4" hidden="false" customHeight="false" outlineLevel="0" collapsed="false">
      <c r="A53" s="129" t="n">
        <v>84</v>
      </c>
      <c r="B53" s="129" t="n">
        <f aca="false">IF(AND(A53=A52,F53=F52),B52+1,1)</f>
        <v>1</v>
      </c>
      <c r="C53" s="129" t="str">
        <f aca="false">A53&amp;"-"&amp;B53</f>
        <v>84-1</v>
      </c>
      <c r="D53" s="130" t="s">
        <v>671</v>
      </c>
      <c r="E53" s="130" t="s">
        <v>92</v>
      </c>
      <c r="F53" s="131" t="n">
        <v>0</v>
      </c>
      <c r="G53" s="132" t="n">
        <v>45730</v>
      </c>
      <c r="H53" s="129" t="n">
        <v>2</v>
      </c>
      <c r="I53" s="129" t="n">
        <v>2</v>
      </c>
      <c r="J53" s="129" t="n">
        <v>1800</v>
      </c>
      <c r="K53" s="130" t="s">
        <v>680</v>
      </c>
      <c r="L53" s="137" t="str">
        <f aca="false">IFERROR(_xlfn.xlookup(F53&amp;"-2",'PO item'!E:E,'PO item'!G:G),"")</f>
        <v/>
      </c>
      <c r="M53" s="137" t="str">
        <f aca="false">IFERROR(_xlfn.xlookup(F53&amp;"-3",'PO item'!E:E,'PO item'!G:G),"")</f>
        <v/>
      </c>
      <c r="N53" s="137" t="str">
        <f aca="false">IFERROR(_xlfn.xlookup(F53&amp;"-4",'PO item'!E:E,'PO item'!G:G),"")</f>
        <v/>
      </c>
      <c r="O53" s="137" t="str">
        <f aca="false">IFERROR(_xlfn.xlookup(F53&amp;"-5",'PO item'!E:E,'PO item'!G:G),"")</f>
        <v/>
      </c>
      <c r="P53" s="137" t="str">
        <f aca="false">IFERROR(_xlfn.xlookup(F53&amp;"-6",'PO item'!E:E,'PO item'!G:G),"")</f>
        <v/>
      </c>
      <c r="Q53" s="137" t="str">
        <f aca="false">IFERROR(_xlfn.xlookup(F53&amp;"-7",'PO item'!E:E,'PO item'!G:G),"")</f>
        <v/>
      </c>
      <c r="R53" s="137" t="str">
        <f aca="false">IFERROR(_xlfn.xlookup(F53&amp;"-8",'PO item'!E:E,'PO item'!G:G),"")</f>
        <v/>
      </c>
      <c r="S53" s="137" t="str">
        <f aca="false">IFERROR(_xlfn.xlookup(F53&amp;"-9",'PO item'!E:E,'PO item'!G:G),"")</f>
        <v/>
      </c>
      <c r="T53" s="137" t="str">
        <f aca="false">IFERROR(_xlfn.xlookup(F53&amp;"-10",'PO item'!E:E,'PO item'!G:G),"")</f>
        <v/>
      </c>
      <c r="U53" s="133"/>
      <c r="V53" s="131" t="s">
        <v>790</v>
      </c>
      <c r="W53" s="134" t="s">
        <v>791</v>
      </c>
      <c r="X53" s="134" t="s">
        <v>815</v>
      </c>
      <c r="Y53" s="129" t="n">
        <v>1</v>
      </c>
      <c r="Z53" s="129" t="n">
        <v>900</v>
      </c>
      <c r="AA53" s="129" t="n">
        <v>2</v>
      </c>
      <c r="AB53" s="135" t="n">
        <v>10</v>
      </c>
      <c r="AC53" s="129" t="n">
        <v>1</v>
      </c>
      <c r="AD53" s="135" t="n">
        <f aca="false">34.125-20</f>
        <v>14.125</v>
      </c>
      <c r="AE53" s="129"/>
      <c r="AF53" s="135"/>
      <c r="AG53" s="129"/>
      <c r="AH53" s="135"/>
      <c r="AI53" s="129"/>
      <c r="AJ53" s="135"/>
      <c r="AK53" s="136" t="n">
        <f aca="false">AB53*AA53+AD53*AC53+AF53*AE53+AH53*AG53+AJ53*AI53</f>
        <v>34.125</v>
      </c>
      <c r="AL53" s="134" t="s">
        <v>816</v>
      </c>
    </row>
    <row r="54" customFormat="false" ht="16.4" hidden="false" customHeight="false" outlineLevel="0" collapsed="false">
      <c r="A54" s="129" t="n">
        <f aca="false">IF(AND(F54=F53,K54=K53),A53,A53+1)</f>
        <v>85</v>
      </c>
      <c r="B54" s="129" t="n">
        <f aca="false">IF(AND(A54=A53,F54=F53),B53+1,1)</f>
        <v>1</v>
      </c>
      <c r="C54" s="129" t="str">
        <f aca="false">A54&amp;"-"&amp;B54</f>
        <v>85-1</v>
      </c>
      <c r="D54" s="130" t="str">
        <f aca="false">IFERROR(_xlfn.xlookup(F54,'PO Client'!A:A,'PO Client'!E:E),"")</f>
        <v>Nationale livraison</v>
      </c>
      <c r="E54" s="130" t="str">
        <f aca="false">IFERROR(_xlfn.xlookup('Liste BT'!F54,'PO Client'!A:A,'PO Client'!H:H),"")</f>
        <v>MK250314-3</v>
      </c>
      <c r="F54" s="131" t="n">
        <v>386</v>
      </c>
      <c r="G54" s="132" t="n">
        <v>45730</v>
      </c>
      <c r="H54" s="129" t="n">
        <v>6</v>
      </c>
      <c r="I54" s="129" t="n">
        <f aca="false">(AA54+AC54+AE54+AG54+AI54)*Y54</f>
        <v>6</v>
      </c>
      <c r="J54" s="129" t="n">
        <v>60000</v>
      </c>
      <c r="K54" s="130" t="str">
        <f aca="false">IFERROR(_xlfn.xlookup(F54&amp;"-1",'PO item'!E:E,'PO item'!G:G),"")</f>
        <v>T11</v>
      </c>
      <c r="L54" s="137" t="str">
        <f aca="false">IFERROR(_xlfn.xlookup(F54&amp;"-2",'PO item'!E:E,'PO item'!G:G),"")</f>
        <v>T11</v>
      </c>
      <c r="M54" s="137" t="str">
        <f aca="false">IFERROR(_xlfn.xlookup(F54&amp;"-3",'PO item'!E:E,'PO item'!G:G),"")</f>
        <v>T11</v>
      </c>
      <c r="N54" s="137" t="str">
        <f aca="false">IFERROR(_xlfn.xlookup(F54&amp;"-4",'PO item'!E:E,'PO item'!G:G),"")</f>
        <v>T11</v>
      </c>
      <c r="O54" s="137" t="str">
        <f aca="false">IFERROR(_xlfn.xlookup(F54&amp;"-5",'PO item'!E:E,'PO item'!G:G),"")</f>
        <v>T11</v>
      </c>
      <c r="P54" s="137" t="str">
        <f aca="false">IFERROR(_xlfn.xlookup(F54&amp;"-6",'PO item'!E:E,'PO item'!G:G),"")</f>
        <v/>
      </c>
      <c r="Q54" s="137" t="str">
        <f aca="false">IFERROR(_xlfn.xlookup(F54&amp;"-7",'PO item'!E:E,'PO item'!G:G),"")</f>
        <v/>
      </c>
      <c r="R54" s="137" t="str">
        <f aca="false">IFERROR(_xlfn.xlookup(F54&amp;"-8",'PO item'!E:E,'PO item'!G:G),"")</f>
        <v/>
      </c>
      <c r="S54" s="137" t="str">
        <f aca="false">IFERROR(_xlfn.xlookup(F54&amp;"-9",'PO item'!E:E,'PO item'!G:G),"")</f>
        <v/>
      </c>
      <c r="T54" s="137" t="str">
        <f aca="false">IFERROR(_xlfn.xlookup(F54&amp;"-10",'PO item'!E:E,'PO item'!G:G),"")</f>
        <v/>
      </c>
      <c r="U54" s="133"/>
      <c r="V54" s="131" t="s">
        <v>754</v>
      </c>
      <c r="W54" s="134" t="s">
        <v>796</v>
      </c>
      <c r="X54" s="134" t="s">
        <v>782</v>
      </c>
      <c r="Y54" s="129" t="n">
        <f aca="false">IFERROR(_xlfn.xlookup($F54&amp;"-"&amp;B54,'PO item'!$E:$E,'PO item'!$M:$M),0)</f>
        <v>1</v>
      </c>
      <c r="Z54" s="129" t="n">
        <f aca="false">IFERROR(_xlfn.xlookup(F54&amp;"-"&amp;B54,'PO item'!E:E,'PO item'!L:L),"")</f>
        <v>10000</v>
      </c>
      <c r="AA54" s="129" t="n">
        <f aca="false">IFERROR(_xlfn.xlookup($F54&amp;"-1",'PO item'!$E:$E,'PO item'!$N:$N),0)</f>
        <v>5</v>
      </c>
      <c r="AB54" s="135" t="n">
        <f aca="false">IFERROR(_xlfn.xlookup($F54&amp;"-1",'PO item'!$E:$E,'PO item'!$K:$K),0)</f>
        <v>10.625</v>
      </c>
      <c r="AC54" s="129" t="n">
        <f aca="false">IFERROR(_xlfn.xlookup($F54&amp;"-2",'PO item'!$E:$E,'PO item'!$N:$N),0)</f>
        <v>1</v>
      </c>
      <c r="AD54" s="135" t="n">
        <f aca="false">IFERROR(_xlfn.xlookup($F54&amp;"-2",'PO item'!$E:$E,'PO item'!$K:$K),0)</f>
        <v>6.875</v>
      </c>
      <c r="AE54" s="129"/>
      <c r="AF54" s="135"/>
      <c r="AG54" s="129"/>
      <c r="AH54" s="135"/>
      <c r="AI54" s="129"/>
      <c r="AJ54" s="135"/>
      <c r="AK54" s="136" t="n">
        <f aca="false">AB54*AA54+AD54*AC54+AF54*AE54+AH54*AG54+AJ54*AI54</f>
        <v>60</v>
      </c>
      <c r="AL54" s="134"/>
    </row>
    <row r="55" customFormat="false" ht="16.4" hidden="false" customHeight="false" outlineLevel="0" collapsed="false">
      <c r="A55" s="129" t="n">
        <f aca="false">IF(AND(F55=F54,K55=K54),A54,A54+1)</f>
        <v>85</v>
      </c>
      <c r="B55" s="129" t="n">
        <f aca="false">IF(AND(A55=A54,F55=F54),B54+1,1)</f>
        <v>2</v>
      </c>
      <c r="C55" s="129" t="str">
        <f aca="false">A55&amp;"-"&amp;B55</f>
        <v>85-2</v>
      </c>
      <c r="D55" s="130" t="str">
        <f aca="false">IFERROR(_xlfn.xlookup(F55,'PO Client'!A:A,'PO Client'!E:E),"")</f>
        <v>Nationale livraison</v>
      </c>
      <c r="E55" s="130" t="str">
        <f aca="false">IFERROR(_xlfn.xlookup('Liste BT'!F55,'PO Client'!A:A,'PO Client'!H:H),"")</f>
        <v>MK250314-3</v>
      </c>
      <c r="F55" s="131" t="n">
        <v>386</v>
      </c>
      <c r="G55" s="132" t="n">
        <v>45730</v>
      </c>
      <c r="H55" s="129" t="n">
        <v>7</v>
      </c>
      <c r="I55" s="129" t="n">
        <f aca="false">(AA55+AC55+AE55+AG55+AI55)*Y55</f>
        <v>7</v>
      </c>
      <c r="J55" s="129" t="n">
        <v>70000</v>
      </c>
      <c r="K55" s="130" t="str">
        <f aca="false">IFERROR(_xlfn.xlookup(F55&amp;"-1",'PO item'!E:E,'PO item'!G:G),"")</f>
        <v>T11</v>
      </c>
      <c r="L55" s="137" t="str">
        <f aca="false">IFERROR(_xlfn.xlookup(F55&amp;"-2",'PO item'!E:E,'PO item'!G:G),"")</f>
        <v>T11</v>
      </c>
      <c r="M55" s="137" t="str">
        <f aca="false">IFERROR(_xlfn.xlookup(F55&amp;"-3",'PO item'!E:E,'PO item'!G:G),"")</f>
        <v>T11</v>
      </c>
      <c r="N55" s="137" t="str">
        <f aca="false">IFERROR(_xlfn.xlookup(F55&amp;"-4",'PO item'!E:E,'PO item'!G:G),"")</f>
        <v>T11</v>
      </c>
      <c r="O55" s="137" t="str">
        <f aca="false">IFERROR(_xlfn.xlookup(F55&amp;"-5",'PO item'!E:E,'PO item'!G:G),"")</f>
        <v>T11</v>
      </c>
      <c r="P55" s="137" t="str">
        <f aca="false">IFERROR(_xlfn.xlookup(F55&amp;"-6",'PO item'!E:E,'PO item'!G:G),"")</f>
        <v/>
      </c>
      <c r="Q55" s="137" t="str">
        <f aca="false">IFERROR(_xlfn.xlookup(F55&amp;"-7",'PO item'!E:E,'PO item'!G:G),"")</f>
        <v/>
      </c>
      <c r="R55" s="137" t="str">
        <f aca="false">IFERROR(_xlfn.xlookup(F55&amp;"-8",'PO item'!E:E,'PO item'!G:G),"")</f>
        <v/>
      </c>
      <c r="S55" s="137" t="str">
        <f aca="false">IFERROR(_xlfn.xlookup(F55&amp;"-9",'PO item'!E:E,'PO item'!G:G),"")</f>
        <v/>
      </c>
      <c r="T55" s="137" t="str">
        <f aca="false">IFERROR(_xlfn.xlookup(F55&amp;"-10",'PO item'!E:E,'PO item'!G:G),"")</f>
        <v/>
      </c>
      <c r="U55" s="133"/>
      <c r="V55" s="131" t="s">
        <v>754</v>
      </c>
      <c r="W55" s="134" t="s">
        <v>796</v>
      </c>
      <c r="X55" s="134" t="s">
        <v>782</v>
      </c>
      <c r="Y55" s="129" t="n">
        <f aca="false">IFERROR(_xlfn.xlookup($F55&amp;"-"&amp;B55,'PO item'!$E:$E,'PO item'!$M:$M),0)</f>
        <v>1</v>
      </c>
      <c r="Z55" s="129" t="n">
        <f aca="false">IFERROR(_xlfn.xlookup(F55&amp;"-"&amp;B55,'PO item'!E:E,'PO item'!L:L),"")</f>
        <v>10000</v>
      </c>
      <c r="AA55" s="129" t="n">
        <v>2</v>
      </c>
      <c r="AB55" s="135" t="n">
        <v>10.625</v>
      </c>
      <c r="AC55" s="129" t="n">
        <v>4</v>
      </c>
      <c r="AD55" s="135" t="n">
        <v>8.625</v>
      </c>
      <c r="AE55" s="129" t="n">
        <v>1</v>
      </c>
      <c r="AF55" s="135" t="n">
        <v>4.25</v>
      </c>
      <c r="AG55" s="129"/>
      <c r="AH55" s="135"/>
      <c r="AI55" s="129"/>
      <c r="AJ55" s="135"/>
      <c r="AK55" s="136" t="n">
        <f aca="false">AB55*AA55+AD55*AC55+AF55*AE55+AH55*AG55+AJ55*AI55</f>
        <v>60</v>
      </c>
      <c r="AL55" s="134"/>
    </row>
    <row r="56" customFormat="false" ht="16.4" hidden="false" customHeight="false" outlineLevel="0" collapsed="false">
      <c r="A56" s="129" t="n">
        <f aca="false">IF(AND(F56=F55,K56=K55),A55,A55+1)</f>
        <v>86</v>
      </c>
      <c r="B56" s="129" t="n">
        <f aca="false">IF(AND(A56=A55,F56=F55),B55+1,1)</f>
        <v>1</v>
      </c>
      <c r="C56" s="129" t="str">
        <f aca="false">A56&amp;"-"&amp;B56</f>
        <v>86-1</v>
      </c>
      <c r="D56" s="130" t="str">
        <f aca="false">IFERROR(_xlfn.xlookup(F56,'PO Client'!A:A,'PO Client'!E:E),"")</f>
        <v>Damaflex livraison</v>
      </c>
      <c r="E56" s="130" t="n">
        <f aca="false">IFERROR(_xlfn.xlookup('Liste BT'!F56,'PO Client'!A:A,'PO Client'!H:H),"")</f>
        <v>179205</v>
      </c>
      <c r="F56" s="131" t="n">
        <f aca="false">F55+1</f>
        <v>387</v>
      </c>
      <c r="G56" s="132" t="n">
        <v>45733</v>
      </c>
      <c r="H56" s="129" t="n">
        <f aca="false">SUMIF('PO item'!D:D,VALUE(F56),'PO item'!O:O)</f>
        <v>6</v>
      </c>
      <c r="I56" s="129" t="n">
        <f aca="false">(AA56+AC56+AE56+AG56+AI56)*Y56</f>
        <v>6</v>
      </c>
      <c r="J56" s="129" t="n">
        <f aca="false">SUMIF('PO item'!D:D,VALUE(F56),'PO item'!Q:Q)</f>
        <v>60000</v>
      </c>
      <c r="K56" s="130" t="str">
        <f aca="false">IFERROR(_xlfn.xlookup(F56&amp;"-1",'PO item'!E:E,'PO item'!G:G),"")</f>
        <v>B25</v>
      </c>
      <c r="L56" s="137" t="str">
        <f aca="false">IFERROR(_xlfn.xlookup(F56&amp;"-2",'PO item'!E:E,'PO item'!G:G),"")</f>
        <v>B25</v>
      </c>
      <c r="M56" s="137" t="str">
        <f aca="false">IFERROR(_xlfn.xlookup(F56&amp;"-3",'PO item'!E:E,'PO item'!G:G),"")</f>
        <v/>
      </c>
      <c r="N56" s="137" t="str">
        <f aca="false">IFERROR(_xlfn.xlookup(F56&amp;"-4",'PO item'!E:E,'PO item'!G:G),"")</f>
        <v/>
      </c>
      <c r="O56" s="137" t="str">
        <f aca="false">IFERROR(_xlfn.xlookup(F56&amp;"-5",'PO item'!E:E,'PO item'!G:G),"")</f>
        <v/>
      </c>
      <c r="P56" s="137" t="str">
        <f aca="false">IFERROR(_xlfn.xlookup(F56&amp;"-6",'PO item'!E:E,'PO item'!G:G),"")</f>
        <v/>
      </c>
      <c r="Q56" s="137" t="str">
        <f aca="false">IFERROR(_xlfn.xlookup(F56&amp;"-7",'PO item'!E:E,'PO item'!G:G),"")</f>
        <v/>
      </c>
      <c r="R56" s="137" t="str">
        <f aca="false">IFERROR(_xlfn.xlookup(F56&amp;"-8",'PO item'!E:E,'PO item'!G:G),"")</f>
        <v/>
      </c>
      <c r="S56" s="137" t="str">
        <f aca="false">IFERROR(_xlfn.xlookup(F56&amp;"-9",'PO item'!E:E,'PO item'!G:G),"")</f>
        <v/>
      </c>
      <c r="T56" s="137" t="str">
        <f aca="false">IFERROR(_xlfn.xlookup(F56&amp;"-10",'PO item'!E:E,'PO item'!G:G),"")</f>
        <v/>
      </c>
      <c r="U56" s="133"/>
      <c r="V56" s="131" t="s">
        <v>768</v>
      </c>
      <c r="W56" s="134" t="s">
        <v>817</v>
      </c>
      <c r="X56" s="134" t="s">
        <v>769</v>
      </c>
      <c r="Y56" s="129" t="n">
        <f aca="false">IFERROR(_xlfn.xlookup($F56&amp;"-"&amp;B56,'PO item'!$E:$E,'PO item'!$M:$M),0)</f>
        <v>1</v>
      </c>
      <c r="Z56" s="129" t="n">
        <f aca="false">IFERROR(_xlfn.xlookup(F56&amp;"-"&amp;B56,'PO item'!E:E,'PO item'!L:L),"")</f>
        <v>10000</v>
      </c>
      <c r="AA56" s="129" t="n">
        <f aca="false">IFERROR(_xlfn.xlookup($F56&amp;"-1",'PO item'!$E:$E,'PO item'!$N:$N),0)</f>
        <v>5</v>
      </c>
      <c r="AB56" s="135" t="n">
        <f aca="false">IFERROR(_xlfn.xlookup($F56&amp;"-1",'PO item'!$E:$E,'PO item'!$K:$K),0)</f>
        <v>10.25</v>
      </c>
      <c r="AC56" s="129" t="n">
        <f aca="false">IFERROR(_xlfn.xlookup($F56&amp;"-2",'PO item'!$E:$E,'PO item'!$N:$N),0)</f>
        <v>1</v>
      </c>
      <c r="AD56" s="135" t="n">
        <f aca="false">IFERROR(_xlfn.xlookup($F56&amp;"-2",'PO item'!$E:$E,'PO item'!$K:$K),0)</f>
        <v>8.75</v>
      </c>
      <c r="AE56" s="129"/>
      <c r="AF56" s="135"/>
      <c r="AG56" s="129"/>
      <c r="AH56" s="135"/>
      <c r="AI56" s="129"/>
      <c r="AJ56" s="135"/>
      <c r="AK56" s="136" t="n">
        <f aca="false">AB56*AA56+AD56*AC56+AF56*AE56+AH56*AG56+AJ56*AI56</f>
        <v>60</v>
      </c>
      <c r="AL56" s="134" t="s">
        <v>818</v>
      </c>
    </row>
    <row r="57" customFormat="false" ht="16.4" hidden="false" customHeight="false" outlineLevel="0" collapsed="false">
      <c r="A57" s="129" t="n">
        <f aca="false">IF(AND(F57=F56,K57=K56),A56,A56+1)</f>
        <v>87</v>
      </c>
      <c r="B57" s="129" t="n">
        <f aca="false">IF(AND(A57=A56,F57=F56),B56+1,1)</f>
        <v>1</v>
      </c>
      <c r="C57" s="129" t="str">
        <f aca="false">A57&amp;"-"&amp;B57</f>
        <v>87-1</v>
      </c>
      <c r="D57" s="130" t="str">
        <f aca="false">IFERROR(_xlfn.xlookup(F57,'PO Client'!A:A,'PO Client'!E:E),"")</f>
        <v>Labelink Mtrl</v>
      </c>
      <c r="E57" s="130" t="n">
        <f aca="false">IFERROR(_xlfn.xlookup('Liste BT'!F57,'PO Client'!A:A,'PO Client'!H:H),"")</f>
        <v>146349</v>
      </c>
      <c r="F57" s="131" t="n">
        <f aca="false">F56+1</f>
        <v>388</v>
      </c>
      <c r="G57" s="132" t="n">
        <v>45733</v>
      </c>
      <c r="H57" s="129" t="n">
        <f aca="false">SUMIF('PO item'!D:D,VALUE(F57),'PO item'!O:O)</f>
        <v>12</v>
      </c>
      <c r="I57" s="129" t="n">
        <f aca="false">(AA57+AC57+AE57+AG57+AI57)*Y57</f>
        <v>12</v>
      </c>
      <c r="J57" s="129" t="n">
        <f aca="false">SUMIF('PO item'!D:D,VALUE(F57),'PO item'!Q:Q)</f>
        <v>120000</v>
      </c>
      <c r="K57" s="130" t="str">
        <f aca="false">IFERROR(_xlfn.xlookup(F57&amp;"-1",'PO item'!E:E,'PO item'!G:G),"")</f>
        <v>S31</v>
      </c>
      <c r="L57" s="137" t="str">
        <f aca="false">IFERROR(_xlfn.xlookup(F57&amp;"-2",'PO item'!E:E,'PO item'!G:G),"")</f>
        <v>S31</v>
      </c>
      <c r="M57" s="137" t="str">
        <f aca="false">IFERROR(_xlfn.xlookup(F57&amp;"-3",'PO item'!E:E,'PO item'!G:G),"")</f>
        <v>S31</v>
      </c>
      <c r="N57" s="137" t="str">
        <f aca="false">IFERROR(_xlfn.xlookup(F57&amp;"-4",'PO item'!E:E,'PO item'!G:G),"")</f>
        <v>S31</v>
      </c>
      <c r="O57" s="137" t="str">
        <f aca="false">IFERROR(_xlfn.xlookup(F57&amp;"-5",'PO item'!E:E,'PO item'!G:G),"")</f>
        <v>S31</v>
      </c>
      <c r="P57" s="137" t="str">
        <f aca="false">IFERROR(_xlfn.xlookup(F57&amp;"-6",'PO item'!E:E,'PO item'!G:G),"")</f>
        <v>S31</v>
      </c>
      <c r="Q57" s="137" t="str">
        <f aca="false">IFERROR(_xlfn.xlookup(F57&amp;"-7",'PO item'!E:E,'PO item'!G:G),"")</f>
        <v/>
      </c>
      <c r="R57" s="137" t="str">
        <f aca="false">IFERROR(_xlfn.xlookup(F57&amp;"-8",'PO item'!E:E,'PO item'!G:G),"")</f>
        <v/>
      </c>
      <c r="S57" s="137" t="str">
        <f aca="false">IFERROR(_xlfn.xlookup(F57&amp;"-9",'PO item'!E:E,'PO item'!G:G),"")</f>
        <v/>
      </c>
      <c r="T57" s="137" t="str">
        <f aca="false">IFERROR(_xlfn.xlookup(F57&amp;"-10",'PO item'!E:E,'PO item'!G:G),"")</f>
        <v/>
      </c>
      <c r="U57" s="133"/>
      <c r="V57" s="131" t="s">
        <v>819</v>
      </c>
      <c r="W57" s="134" t="s">
        <v>820</v>
      </c>
      <c r="X57" s="134" t="s">
        <v>782</v>
      </c>
      <c r="Y57" s="129" t="n">
        <v>3</v>
      </c>
      <c r="Z57" s="129" t="n">
        <f aca="false">IFERROR(_xlfn.xlookup(F57&amp;"-"&amp;B57,'PO item'!E:E,'PO item'!L:L),"")</f>
        <v>10000</v>
      </c>
      <c r="AA57" s="129" t="n">
        <v>3</v>
      </c>
      <c r="AB57" s="135" t="n">
        <f aca="false">IFERROR(_xlfn.xlookup($F57&amp;"-1",'PO item'!$E:$E,'PO item'!$K:$K),0)</f>
        <v>12.375</v>
      </c>
      <c r="AC57" s="129" t="n">
        <v>1</v>
      </c>
      <c r="AD57" s="135" t="n">
        <f aca="false">IFERROR(_xlfn.xlookup($F57&amp;"-2",'PO item'!$E:$E,'PO item'!$K:$K),0)</f>
        <v>4.875</v>
      </c>
      <c r="AE57" s="129"/>
      <c r="AF57" s="135"/>
      <c r="AG57" s="129"/>
      <c r="AH57" s="135"/>
      <c r="AI57" s="129"/>
      <c r="AJ57" s="135"/>
      <c r="AK57" s="136" t="n">
        <f aca="false">AB57*AA57+AD57*AC57+AF57*AE57+AH57*AG57+AJ57*AI57</f>
        <v>42</v>
      </c>
      <c r="AL57" s="134"/>
    </row>
    <row r="58" customFormat="false" ht="16.4" hidden="false" customHeight="false" outlineLevel="0" collapsed="false">
      <c r="A58" s="129" t="n">
        <f aca="false">IF(AND(F58=F57,K58=K57),A57,A57+1)</f>
        <v>88</v>
      </c>
      <c r="B58" s="129" t="n">
        <f aca="false">IF(AND(A58=A57,F58=F57),B57+1,1)</f>
        <v>1</v>
      </c>
      <c r="C58" s="129" t="str">
        <f aca="false">A58&amp;"-"&amp;B58</f>
        <v>88-1</v>
      </c>
      <c r="D58" s="130" t="str">
        <f aca="false">IFERROR(_xlfn.xlookup(F58,'PO Client'!A:A,'PO Client'!E:E),"")</f>
        <v>Mijo</v>
      </c>
      <c r="E58" s="130" t="n">
        <f aca="false">IFERROR(_xlfn.xlookup('Liste BT'!F58,'PO Client'!A:A,'PO Client'!H:H),"")</f>
        <v>14395</v>
      </c>
      <c r="F58" s="131" t="n">
        <f aca="false">F57+1</f>
        <v>389</v>
      </c>
      <c r="G58" s="132" t="n">
        <v>45733</v>
      </c>
      <c r="H58" s="129" t="n">
        <f aca="false">SUMIF('PO item'!D:D,VALUE(F58),'PO item'!O:O)</f>
        <v>7</v>
      </c>
      <c r="I58" s="129" t="n">
        <f aca="false">(AA58+AC58+AE58+AG58+AI58)*Y58</f>
        <v>7</v>
      </c>
      <c r="J58" s="129" t="n">
        <f aca="false">SUMIF('PO item'!D:D,VALUE(F58),'PO item'!Q:Q)</f>
        <v>70000</v>
      </c>
      <c r="K58" s="130" t="str">
        <f aca="false">IFERROR(_xlfn.xlookup(F58&amp;"-1",'PO item'!E:E,'PO item'!G:G),"")</f>
        <v>S15</v>
      </c>
      <c r="L58" s="137" t="str">
        <f aca="false">IFERROR(_xlfn.xlookup(F58&amp;"-2",'PO item'!E:E,'PO item'!G:G),"")</f>
        <v>S15</v>
      </c>
      <c r="M58" s="137" t="str">
        <f aca="false">IFERROR(_xlfn.xlookup(F58&amp;"-3",'PO item'!E:E,'PO item'!G:G),"")</f>
        <v/>
      </c>
      <c r="N58" s="137" t="str">
        <f aca="false">IFERROR(_xlfn.xlookup(F58&amp;"-4",'PO item'!E:E,'PO item'!G:G),"")</f>
        <v/>
      </c>
      <c r="O58" s="137" t="str">
        <f aca="false">IFERROR(_xlfn.xlookup(F58&amp;"-5",'PO item'!E:E,'PO item'!G:G),"")</f>
        <v/>
      </c>
      <c r="P58" s="137" t="str">
        <f aca="false">IFERROR(_xlfn.xlookup(F58&amp;"-6",'PO item'!E:E,'PO item'!G:G),"")</f>
        <v/>
      </c>
      <c r="Q58" s="137" t="str">
        <f aca="false">IFERROR(_xlfn.xlookup(F58&amp;"-7",'PO item'!E:E,'PO item'!G:G),"")</f>
        <v/>
      </c>
      <c r="R58" s="137" t="str">
        <f aca="false">IFERROR(_xlfn.xlookup(F58&amp;"-8",'PO item'!E:E,'PO item'!G:G),"")</f>
        <v/>
      </c>
      <c r="S58" s="137" t="str">
        <f aca="false">IFERROR(_xlfn.xlookup(F58&amp;"-9",'PO item'!E:E,'PO item'!G:G),"")</f>
        <v/>
      </c>
      <c r="T58" s="137" t="str">
        <f aca="false">IFERROR(_xlfn.xlookup(F58&amp;"-10",'PO item'!E:E,'PO item'!G:G),"")</f>
        <v/>
      </c>
      <c r="U58" s="133"/>
      <c r="V58" s="131" t="s">
        <v>762</v>
      </c>
      <c r="W58" s="134" t="s">
        <v>789</v>
      </c>
      <c r="X58" s="134" t="s">
        <v>782</v>
      </c>
      <c r="Y58" s="129" t="n">
        <f aca="false">IFERROR(_xlfn.xlookup($F58&amp;"-"&amp;B58,'PO item'!$E:$E,'PO item'!$M:$M),0)</f>
        <v>1</v>
      </c>
      <c r="Z58" s="129" t="n">
        <f aca="false">IFERROR(_xlfn.xlookup(F58&amp;"-"&amp;B58,'PO item'!E:E,'PO item'!L:L),"")</f>
        <v>10000</v>
      </c>
      <c r="AA58" s="129" t="n">
        <f aca="false">IFERROR(_xlfn.xlookup($F58&amp;"-1",'PO item'!$E:$E,'PO item'!$N:$N),0)</f>
        <v>6</v>
      </c>
      <c r="AB58" s="135" t="n">
        <f aca="false">IFERROR(_xlfn.xlookup($F58&amp;"-1",'PO item'!$E:$E,'PO item'!$K:$K),0)</f>
        <v>8</v>
      </c>
      <c r="AC58" s="129" t="n">
        <f aca="false">IFERROR(_xlfn.xlookup($F58&amp;"-2",'PO item'!$E:$E,'PO item'!$N:$N),0)</f>
        <v>1</v>
      </c>
      <c r="AD58" s="135" t="n">
        <f aca="false">IFERROR(_xlfn.xlookup($F58&amp;"-2",'PO item'!$E:$E,'PO item'!$K:$K),0)</f>
        <v>12</v>
      </c>
      <c r="AE58" s="129"/>
      <c r="AF58" s="135"/>
      <c r="AG58" s="129"/>
      <c r="AH58" s="135"/>
      <c r="AI58" s="129"/>
      <c r="AJ58" s="135"/>
      <c r="AK58" s="136" t="n">
        <f aca="false">AB58*AA58+AD58*AC58+AF58*AE58+AH58*AG58+AJ58*AI58</f>
        <v>60</v>
      </c>
      <c r="AL58" s="134"/>
    </row>
    <row r="59" customFormat="false" ht="16.4" hidden="false" customHeight="false" outlineLevel="0" collapsed="false">
      <c r="A59" s="131"/>
      <c r="B59" s="129" t="n">
        <f aca="false">IF(AND(A59=A58,F59=F58),B58+1,1)</f>
        <v>1</v>
      </c>
      <c r="C59" s="129" t="str">
        <f aca="false">A59&amp;"-"&amp;B59</f>
        <v>-1</v>
      </c>
      <c r="D59" s="130" t="str">
        <f aca="false">IFERROR(_xlfn.xlookup(F59,'PO Client'!A:A,'PO Client'!E:E),"")</f>
        <v/>
      </c>
      <c r="E59" s="130" t="str">
        <f aca="false">IFERROR(_xlfn.xlookup('Liste BT'!F59,'PO Client'!A:A,'PO Client'!H:H),"")</f>
        <v/>
      </c>
      <c r="F59" s="129" t="n">
        <f aca="false">F58+1</f>
        <v>390</v>
      </c>
      <c r="G59" s="132"/>
      <c r="H59" s="129" t="n">
        <f aca="false">SUMIF('PO item'!D:D,VALUE(F59),'PO item'!O:O)</f>
        <v>0</v>
      </c>
      <c r="I59" s="129" t="n">
        <f aca="false">(AA59+AC59+AE59+AG59+AI59)*Y59</f>
        <v>0</v>
      </c>
      <c r="J59" s="129" t="n">
        <f aca="false">SUMIF('PO item'!D:D,VALUE(F59),'PO item'!Q:Q)</f>
        <v>0</v>
      </c>
      <c r="K59" s="130" t="n">
        <f aca="false">IFERROR(_xlfn.xlookup(F59&amp;"-1",'PO item'!E:E,'PO item'!G:G),"")</f>
        <v>0</v>
      </c>
      <c r="L59" s="137" t="str">
        <f aca="false">IFERROR(_xlfn.xlookup(F59&amp;"-2",'PO item'!E:E,'PO item'!G:G),"")</f>
        <v/>
      </c>
      <c r="M59" s="137" t="str">
        <f aca="false">IFERROR(_xlfn.xlookup(F59&amp;"-3",'PO item'!E:E,'PO item'!G:G),"")</f>
        <v/>
      </c>
      <c r="N59" s="137" t="str">
        <f aca="false">IFERROR(_xlfn.xlookup(F59&amp;"-4",'PO item'!E:E,'PO item'!G:G),"")</f>
        <v/>
      </c>
      <c r="O59" s="137" t="str">
        <f aca="false">IFERROR(_xlfn.xlookup(F59&amp;"-5",'PO item'!E:E,'PO item'!G:G),"")</f>
        <v/>
      </c>
      <c r="P59" s="137" t="str">
        <f aca="false">IFERROR(_xlfn.xlookup(F59&amp;"-6",'PO item'!E:E,'PO item'!G:G),"")</f>
        <v/>
      </c>
      <c r="Q59" s="137" t="str">
        <f aca="false">IFERROR(_xlfn.xlookup(F59&amp;"-7",'PO item'!E:E,'PO item'!G:G),"")</f>
        <v/>
      </c>
      <c r="R59" s="137" t="str">
        <f aca="false">IFERROR(_xlfn.xlookup(F59&amp;"-8",'PO item'!E:E,'PO item'!G:G),"")</f>
        <v/>
      </c>
      <c r="S59" s="137" t="str">
        <f aca="false">IFERROR(_xlfn.xlookup(F59&amp;"-9",'PO item'!E:E,'PO item'!G:G),"")</f>
        <v/>
      </c>
      <c r="T59" s="137" t="str">
        <f aca="false">IFERROR(_xlfn.xlookup(F59&amp;"-10",'PO item'!E:E,'PO item'!G:G),"")</f>
        <v/>
      </c>
      <c r="U59" s="133"/>
      <c r="V59" s="131"/>
      <c r="W59" s="134"/>
      <c r="X59" s="134"/>
      <c r="Y59" s="129" t="n">
        <f aca="false">IFERROR(_xlfn.xlookup($F59&amp;"-"&amp;B59,'PO item'!$E:$E,'PO item'!$M:$M),0)</f>
        <v>0</v>
      </c>
      <c r="Z59" s="129" t="n">
        <f aca="false">IFERROR(_xlfn.xlookup(F59&amp;"-"&amp;B59,'PO item'!E:E,'PO item'!L:L),"")</f>
        <v>0</v>
      </c>
      <c r="AA59" s="129" t="n">
        <f aca="false">IFERROR(_xlfn.xlookup($F59&amp;"-1",'PO item'!$E:$E,'PO item'!$N:$N),0)</f>
        <v>0</v>
      </c>
      <c r="AB59" s="135" t="n">
        <f aca="false">IFERROR(_xlfn.xlookup($F59&amp;"-1",'PO item'!$E:$E,'PO item'!$K:$K),0)</f>
        <v>0</v>
      </c>
      <c r="AC59" s="129" t="n">
        <f aca="false">IFERROR(_xlfn.xlookup($F59&amp;"-2",'PO item'!$E:$E,'PO item'!$N:$N),0)</f>
        <v>0</v>
      </c>
      <c r="AD59" s="135" t="n">
        <f aca="false">IFERROR(_xlfn.xlookup($F59&amp;"-2",'PO item'!$E:$E,'PO item'!$K:$K),0)</f>
        <v>0</v>
      </c>
      <c r="AE59" s="129" t="n">
        <f aca="false">IFERROR(_xlfn.xlookup($F59&amp;"-3",'PO item'!$E:$E,'PO item'!$N:$N),0)</f>
        <v>0</v>
      </c>
      <c r="AF59" s="135" t="n">
        <f aca="false">IFERROR(_xlfn.xlookup($F59&amp;"-3",'PO item'!$E:$E,'PO item'!$K:$K),0)</f>
        <v>0</v>
      </c>
      <c r="AG59" s="129" t="n">
        <f aca="false">IFERROR(_xlfn.xlookup($F59&amp;"-4",'PO item'!$E:$E,'PO item'!$N:$N),0)</f>
        <v>0</v>
      </c>
      <c r="AH59" s="135" t="n">
        <f aca="false">IFERROR(_xlfn.xlookup($F59&amp;"-4",'PO item'!$E:$E,'PO item'!$K:$K),0)</f>
        <v>0</v>
      </c>
      <c r="AI59" s="129" t="n">
        <f aca="false">IFERROR(_xlfn.xlookup($F59&amp;"-5",'PO item'!$E:$E,'PO item'!$N:$N),0)</f>
        <v>0</v>
      </c>
      <c r="AJ59" s="135" t="n">
        <f aca="false">IFERROR(_xlfn.xlookup($F59&amp;"-5",'PO item'!$E:$E,'PO item'!$K:$K),0)</f>
        <v>0</v>
      </c>
      <c r="AK59" s="136" t="n">
        <f aca="false">AB59*AA59+AD59*AC59+AF59*AE59+AH59*AG59+AJ59*AI59</f>
        <v>0</v>
      </c>
      <c r="AL59" s="134"/>
    </row>
    <row r="60" customFormat="false" ht="16.4" hidden="false" customHeight="false" outlineLevel="0" collapsed="false">
      <c r="A60" s="131"/>
      <c r="B60" s="129" t="n">
        <f aca="false">IF(AND(A60=A59,F60=F59),B59+1,1)</f>
        <v>1</v>
      </c>
      <c r="C60" s="129" t="str">
        <f aca="false">A60&amp;"-"&amp;B60</f>
        <v>-1</v>
      </c>
      <c r="D60" s="130" t="str">
        <f aca="false">IFERROR(_xlfn.xlookup(F60,'PO Client'!A:A,'PO Client'!E:E),"")</f>
        <v/>
      </c>
      <c r="E60" s="130" t="str">
        <f aca="false">IFERROR(_xlfn.xlookup('Liste BT'!F60,'PO Client'!A:A,'PO Client'!H:H),"")</f>
        <v/>
      </c>
      <c r="F60" s="129" t="n">
        <f aca="false">F59+1</f>
        <v>391</v>
      </c>
      <c r="G60" s="132"/>
      <c r="H60" s="129" t="n">
        <f aca="false">SUMIF('PO item'!D:D,VALUE(F60),'PO item'!O:O)</f>
        <v>0</v>
      </c>
      <c r="I60" s="129" t="n">
        <f aca="false">(AA60+AC60+AE60+AG60+AI60)*Y60</f>
        <v>0</v>
      </c>
      <c r="J60" s="129" t="n">
        <f aca="false">SUMIF('PO item'!D:D,VALUE(F60),'PO item'!Q:Q)</f>
        <v>0</v>
      </c>
      <c r="K60" s="130" t="str">
        <f aca="false">IFERROR(_xlfn.xlookup(F60&amp;"-1",'PO item'!E:E,'PO item'!G:G),"")</f>
        <v/>
      </c>
      <c r="L60" s="137" t="str">
        <f aca="false">IFERROR(_xlfn.xlookup(F60&amp;"-2",'PO item'!E:E,'PO item'!G:G),"")</f>
        <v/>
      </c>
      <c r="M60" s="137" t="str">
        <f aca="false">IFERROR(_xlfn.xlookup(F60&amp;"-3",'PO item'!E:E,'PO item'!G:G),"")</f>
        <v/>
      </c>
      <c r="N60" s="137" t="str">
        <f aca="false">IFERROR(_xlfn.xlookup(F60&amp;"-4",'PO item'!E:E,'PO item'!G:G),"")</f>
        <v/>
      </c>
      <c r="O60" s="137" t="str">
        <f aca="false">IFERROR(_xlfn.xlookup(F60&amp;"-5",'PO item'!E:E,'PO item'!G:G),"")</f>
        <v/>
      </c>
      <c r="P60" s="137" t="str">
        <f aca="false">IFERROR(_xlfn.xlookup(F60&amp;"-6",'PO item'!E:E,'PO item'!G:G),"")</f>
        <v/>
      </c>
      <c r="Q60" s="137" t="str">
        <f aca="false">IFERROR(_xlfn.xlookup(F60&amp;"-7",'PO item'!E:E,'PO item'!G:G),"")</f>
        <v/>
      </c>
      <c r="R60" s="137" t="str">
        <f aca="false">IFERROR(_xlfn.xlookup(F60&amp;"-8",'PO item'!E:E,'PO item'!G:G),"")</f>
        <v/>
      </c>
      <c r="S60" s="137" t="str">
        <f aca="false">IFERROR(_xlfn.xlookup(F60&amp;"-9",'PO item'!E:E,'PO item'!G:G),"")</f>
        <v/>
      </c>
      <c r="T60" s="137" t="str">
        <f aca="false">IFERROR(_xlfn.xlookup(F60&amp;"-10",'PO item'!E:E,'PO item'!G:G),"")</f>
        <v/>
      </c>
      <c r="U60" s="133"/>
      <c r="V60" s="131"/>
      <c r="W60" s="134"/>
      <c r="X60" s="134"/>
      <c r="Y60" s="129" t="n">
        <f aca="false">IFERROR(_xlfn.xlookup($F60&amp;"-"&amp;B60,'PO item'!$E:$E,'PO item'!$M:$M),0)</f>
        <v>0</v>
      </c>
      <c r="Z60" s="129" t="str">
        <f aca="false">IFERROR(_xlfn.xlookup(F60&amp;"-"&amp;B60,'PO item'!E:E,'PO item'!L:L),"")</f>
        <v/>
      </c>
      <c r="AA60" s="129" t="n">
        <f aca="false">IFERROR(_xlfn.xlookup($F60&amp;"-1",'PO item'!$E:$E,'PO item'!$N:$N),0)</f>
        <v>0</v>
      </c>
      <c r="AB60" s="135" t="n">
        <f aca="false">IFERROR(_xlfn.xlookup($F60&amp;"-1",'PO item'!$E:$E,'PO item'!$K:$K),0)</f>
        <v>0</v>
      </c>
      <c r="AC60" s="129" t="n">
        <f aca="false">IFERROR(_xlfn.xlookup($F60&amp;"-2",'PO item'!$E:$E,'PO item'!$N:$N),0)</f>
        <v>0</v>
      </c>
      <c r="AD60" s="135" t="n">
        <f aca="false">IFERROR(_xlfn.xlookup($F60&amp;"-2",'PO item'!$E:$E,'PO item'!$K:$K),0)</f>
        <v>0</v>
      </c>
      <c r="AE60" s="129" t="n">
        <f aca="false">IFERROR(_xlfn.xlookup($F60&amp;"-3",'PO item'!$E:$E,'PO item'!$N:$N),0)</f>
        <v>0</v>
      </c>
      <c r="AF60" s="135" t="n">
        <f aca="false">IFERROR(_xlfn.xlookup($F60&amp;"-3",'PO item'!$E:$E,'PO item'!$K:$K),0)</f>
        <v>0</v>
      </c>
      <c r="AG60" s="129" t="n">
        <f aca="false">IFERROR(_xlfn.xlookup($F60&amp;"-4",'PO item'!$E:$E,'PO item'!$N:$N),0)</f>
        <v>0</v>
      </c>
      <c r="AH60" s="135" t="n">
        <f aca="false">IFERROR(_xlfn.xlookup($F60&amp;"-4",'PO item'!$E:$E,'PO item'!$K:$K),0)</f>
        <v>0</v>
      </c>
      <c r="AI60" s="129" t="n">
        <f aca="false">IFERROR(_xlfn.xlookup($F60&amp;"-5",'PO item'!$E:$E,'PO item'!$N:$N),0)</f>
        <v>0</v>
      </c>
      <c r="AJ60" s="135" t="n">
        <f aca="false">IFERROR(_xlfn.xlookup($F60&amp;"-5",'PO item'!$E:$E,'PO item'!$K:$K),0)</f>
        <v>0</v>
      </c>
      <c r="AK60" s="136" t="n">
        <f aca="false">AB60*AA60+AD60*AC60+AF60*AE60+AH60*AG60+AJ60*AI60</f>
        <v>0</v>
      </c>
      <c r="AL60" s="134"/>
    </row>
    <row r="61" customFormat="false" ht="16.4" hidden="false" customHeight="false" outlineLevel="0" collapsed="false">
      <c r="A61" s="131"/>
      <c r="B61" s="129" t="n">
        <f aca="false">IF(AND(A61=A60,F61=F60),B60+1,1)</f>
        <v>1</v>
      </c>
      <c r="C61" s="129" t="str">
        <f aca="false">A61&amp;"-"&amp;B61</f>
        <v>-1</v>
      </c>
      <c r="D61" s="130" t="str">
        <f aca="false">IFERROR(_xlfn.xlookup(F61,'PO Client'!A:A,'PO Client'!E:E),"")</f>
        <v/>
      </c>
      <c r="E61" s="130" t="str">
        <f aca="false">IFERROR(_xlfn.xlookup('Liste BT'!F61,'PO Client'!A:A,'PO Client'!H:H),"")</f>
        <v/>
      </c>
      <c r="F61" s="129" t="n">
        <f aca="false">F60+1</f>
        <v>392</v>
      </c>
      <c r="G61" s="132"/>
      <c r="H61" s="129" t="n">
        <f aca="false">SUMIF('PO item'!D:D,VALUE(F61),'PO item'!O:O)</f>
        <v>0</v>
      </c>
      <c r="I61" s="129" t="n">
        <f aca="false">(AA61+AC61+AE61+AG61+AI61)*Y61</f>
        <v>0</v>
      </c>
      <c r="J61" s="129" t="n">
        <f aca="false">SUMIF('PO item'!D:D,VALUE(F61),'PO item'!Q:Q)</f>
        <v>0</v>
      </c>
      <c r="K61" s="130" t="str">
        <f aca="false">IFERROR(_xlfn.xlookup(F61&amp;"-1",'PO item'!E:E,'PO item'!G:G),"")</f>
        <v/>
      </c>
      <c r="L61" s="137" t="str">
        <f aca="false">IFERROR(_xlfn.xlookup(F61&amp;"-2",'PO item'!E:E,'PO item'!G:G),"")</f>
        <v/>
      </c>
      <c r="M61" s="137" t="str">
        <f aca="false">IFERROR(_xlfn.xlookup(F61&amp;"-3",'PO item'!E:E,'PO item'!G:G),"")</f>
        <v/>
      </c>
      <c r="N61" s="137" t="str">
        <f aca="false">IFERROR(_xlfn.xlookup(F61&amp;"-4",'PO item'!E:E,'PO item'!G:G),"")</f>
        <v/>
      </c>
      <c r="O61" s="137" t="str">
        <f aca="false">IFERROR(_xlfn.xlookup(F61&amp;"-5",'PO item'!E:E,'PO item'!G:G),"")</f>
        <v/>
      </c>
      <c r="P61" s="137" t="str">
        <f aca="false">IFERROR(_xlfn.xlookup(F61&amp;"-6",'PO item'!E:E,'PO item'!G:G),"")</f>
        <v/>
      </c>
      <c r="Q61" s="137" t="str">
        <f aca="false">IFERROR(_xlfn.xlookup(F61&amp;"-7",'PO item'!E:E,'PO item'!G:G),"")</f>
        <v/>
      </c>
      <c r="R61" s="137" t="str">
        <f aca="false">IFERROR(_xlfn.xlookup(F61&amp;"-8",'PO item'!E:E,'PO item'!G:G),"")</f>
        <v/>
      </c>
      <c r="S61" s="137" t="str">
        <f aca="false">IFERROR(_xlfn.xlookup(F61&amp;"-9",'PO item'!E:E,'PO item'!G:G),"")</f>
        <v/>
      </c>
      <c r="T61" s="137" t="str">
        <f aca="false">IFERROR(_xlfn.xlookup(F61&amp;"-10",'PO item'!E:E,'PO item'!G:G),"")</f>
        <v/>
      </c>
      <c r="U61" s="133"/>
      <c r="V61" s="131"/>
      <c r="W61" s="134"/>
      <c r="X61" s="134"/>
      <c r="Y61" s="129" t="n">
        <f aca="false">IFERROR(_xlfn.xlookup($F61&amp;"-"&amp;B61,'PO item'!$E:$E,'PO item'!$M:$M),0)</f>
        <v>0</v>
      </c>
      <c r="Z61" s="129" t="str">
        <f aca="false">IFERROR(_xlfn.xlookup(F61&amp;"-"&amp;B61,'PO item'!E:E,'PO item'!L:L),"")</f>
        <v/>
      </c>
      <c r="AA61" s="129" t="n">
        <f aca="false">IFERROR(_xlfn.xlookup($F61&amp;"-1",'PO item'!$E:$E,'PO item'!$N:$N),0)</f>
        <v>0</v>
      </c>
      <c r="AB61" s="135" t="n">
        <f aca="false">IFERROR(_xlfn.xlookup($F61&amp;"-1",'PO item'!$E:$E,'PO item'!$K:$K),0)</f>
        <v>0</v>
      </c>
      <c r="AC61" s="129" t="n">
        <f aca="false">IFERROR(_xlfn.xlookup($F61&amp;"-2",'PO item'!$E:$E,'PO item'!$N:$N),0)</f>
        <v>0</v>
      </c>
      <c r="AD61" s="135" t="n">
        <f aca="false">IFERROR(_xlfn.xlookup($F61&amp;"-2",'PO item'!$E:$E,'PO item'!$K:$K),0)</f>
        <v>0</v>
      </c>
      <c r="AE61" s="129" t="n">
        <f aca="false">IFERROR(_xlfn.xlookup($F61&amp;"-3",'PO item'!$E:$E,'PO item'!$N:$N),0)</f>
        <v>0</v>
      </c>
      <c r="AF61" s="135" t="n">
        <f aca="false">IFERROR(_xlfn.xlookup($F61&amp;"-3",'PO item'!$E:$E,'PO item'!$K:$K),0)</f>
        <v>0</v>
      </c>
      <c r="AG61" s="129" t="n">
        <f aca="false">IFERROR(_xlfn.xlookup($F61&amp;"-4",'PO item'!$E:$E,'PO item'!$N:$N),0)</f>
        <v>0</v>
      </c>
      <c r="AH61" s="135" t="n">
        <f aca="false">IFERROR(_xlfn.xlookup($F61&amp;"-4",'PO item'!$E:$E,'PO item'!$K:$K),0)</f>
        <v>0</v>
      </c>
      <c r="AI61" s="129" t="n">
        <f aca="false">IFERROR(_xlfn.xlookup($F61&amp;"-5",'PO item'!$E:$E,'PO item'!$N:$N),0)</f>
        <v>0</v>
      </c>
      <c r="AJ61" s="135" t="n">
        <f aca="false">IFERROR(_xlfn.xlookup($F61&amp;"-5",'PO item'!$E:$E,'PO item'!$K:$K),0)</f>
        <v>0</v>
      </c>
      <c r="AK61" s="136" t="n">
        <f aca="false">AB61*AA61+AD61*AC61+AF61*AE61+AH61*AG61+AJ61*AI61</f>
        <v>0</v>
      </c>
      <c r="AL61" s="134"/>
    </row>
    <row r="62" customFormat="false" ht="16.4" hidden="false" customHeight="false" outlineLevel="0" collapsed="false">
      <c r="A62" s="131"/>
      <c r="B62" s="129" t="n">
        <f aca="false">IF(AND(A62=A61,F62=F61),B61+1,1)</f>
        <v>1</v>
      </c>
      <c r="C62" s="129" t="str">
        <f aca="false">A62&amp;"-"&amp;B62</f>
        <v>-1</v>
      </c>
      <c r="D62" s="130" t="str">
        <f aca="false">IFERROR(_xlfn.xlookup(F62,'PO Client'!A:A,'PO Client'!E:E),"")</f>
        <v/>
      </c>
      <c r="E62" s="130" t="str">
        <f aca="false">IFERROR(_xlfn.xlookup('Liste BT'!F62,'PO Client'!A:A,'PO Client'!H:H),"")</f>
        <v/>
      </c>
      <c r="F62" s="129" t="n">
        <f aca="false">F61+1</f>
        <v>393</v>
      </c>
      <c r="G62" s="132"/>
      <c r="H62" s="129" t="n">
        <f aca="false">SUMIF('PO item'!D:D,VALUE(F62),'PO item'!O:O)</f>
        <v>0</v>
      </c>
      <c r="I62" s="129" t="n">
        <f aca="false">(AA62+AC62+AE62+AG62+AI62)*Y62</f>
        <v>0</v>
      </c>
      <c r="J62" s="129" t="n">
        <f aca="false">SUMIF('PO item'!D:D,VALUE(F62),'PO item'!Q:Q)</f>
        <v>0</v>
      </c>
      <c r="K62" s="130" t="str">
        <f aca="false">IFERROR(_xlfn.xlookup(F62&amp;"-1",'PO item'!E:E,'PO item'!G:G),"")</f>
        <v/>
      </c>
      <c r="L62" s="137" t="str">
        <f aca="false">IFERROR(_xlfn.xlookup(F62&amp;"-2",'PO item'!E:E,'PO item'!G:G),"")</f>
        <v/>
      </c>
      <c r="M62" s="137" t="str">
        <f aca="false">IFERROR(_xlfn.xlookup(F62&amp;"-3",'PO item'!E:E,'PO item'!G:G),"")</f>
        <v/>
      </c>
      <c r="N62" s="137" t="str">
        <f aca="false">IFERROR(_xlfn.xlookup(F62&amp;"-4",'PO item'!E:E,'PO item'!G:G),"")</f>
        <v/>
      </c>
      <c r="O62" s="137" t="str">
        <f aca="false">IFERROR(_xlfn.xlookup(F62&amp;"-5",'PO item'!E:E,'PO item'!G:G),"")</f>
        <v/>
      </c>
      <c r="P62" s="137" t="str">
        <f aca="false">IFERROR(_xlfn.xlookup(F62&amp;"-6",'PO item'!E:E,'PO item'!G:G),"")</f>
        <v/>
      </c>
      <c r="Q62" s="137" t="str">
        <f aca="false">IFERROR(_xlfn.xlookup(F62&amp;"-7",'PO item'!E:E,'PO item'!G:G),"")</f>
        <v/>
      </c>
      <c r="R62" s="137" t="str">
        <f aca="false">IFERROR(_xlfn.xlookup(F62&amp;"-8",'PO item'!E:E,'PO item'!G:G),"")</f>
        <v/>
      </c>
      <c r="S62" s="137" t="str">
        <f aca="false">IFERROR(_xlfn.xlookup(F62&amp;"-9",'PO item'!E:E,'PO item'!G:G),"")</f>
        <v/>
      </c>
      <c r="T62" s="137" t="str">
        <f aca="false">IFERROR(_xlfn.xlookup(F62&amp;"-10",'PO item'!E:E,'PO item'!G:G),"")</f>
        <v/>
      </c>
      <c r="U62" s="133"/>
      <c r="V62" s="131"/>
      <c r="W62" s="134"/>
      <c r="X62" s="134"/>
      <c r="Y62" s="129" t="n">
        <f aca="false">IFERROR(_xlfn.xlookup($F62&amp;"-"&amp;B62,'PO item'!$E:$E,'PO item'!$M:$M),0)</f>
        <v>0</v>
      </c>
      <c r="Z62" s="129" t="str">
        <f aca="false">IFERROR(_xlfn.xlookup(F62&amp;"-"&amp;B62,'PO item'!E:E,'PO item'!L:L),"")</f>
        <v/>
      </c>
      <c r="AA62" s="129" t="n">
        <f aca="false">IFERROR(_xlfn.xlookup($F62&amp;"-1",'PO item'!$E:$E,'PO item'!$N:$N),0)</f>
        <v>0</v>
      </c>
      <c r="AB62" s="135" t="n">
        <f aca="false">IFERROR(_xlfn.xlookup($F62&amp;"-1",'PO item'!$E:$E,'PO item'!$K:$K),0)</f>
        <v>0</v>
      </c>
      <c r="AC62" s="129" t="n">
        <f aca="false">IFERROR(_xlfn.xlookup($F62&amp;"-2",'PO item'!$E:$E,'PO item'!$N:$N),0)</f>
        <v>0</v>
      </c>
      <c r="AD62" s="135" t="n">
        <f aca="false">IFERROR(_xlfn.xlookup($F62&amp;"-2",'PO item'!$E:$E,'PO item'!$K:$K),0)</f>
        <v>0</v>
      </c>
      <c r="AE62" s="129" t="n">
        <f aca="false">IFERROR(_xlfn.xlookup($F62&amp;"-3",'PO item'!$E:$E,'PO item'!$N:$N),0)</f>
        <v>0</v>
      </c>
      <c r="AF62" s="135" t="n">
        <f aca="false">IFERROR(_xlfn.xlookup($F62&amp;"-3",'PO item'!$E:$E,'PO item'!$K:$K),0)</f>
        <v>0</v>
      </c>
      <c r="AG62" s="129" t="n">
        <f aca="false">IFERROR(_xlfn.xlookup($F62&amp;"-4",'PO item'!$E:$E,'PO item'!$N:$N),0)</f>
        <v>0</v>
      </c>
      <c r="AH62" s="135" t="n">
        <f aca="false">IFERROR(_xlfn.xlookup($F62&amp;"-4",'PO item'!$E:$E,'PO item'!$K:$K),0)</f>
        <v>0</v>
      </c>
      <c r="AI62" s="129" t="n">
        <f aca="false">IFERROR(_xlfn.xlookup($F62&amp;"-5",'PO item'!$E:$E,'PO item'!$N:$N),0)</f>
        <v>0</v>
      </c>
      <c r="AJ62" s="135" t="n">
        <f aca="false">IFERROR(_xlfn.xlookup($F62&amp;"-5",'PO item'!$E:$E,'PO item'!$K:$K),0)</f>
        <v>0</v>
      </c>
      <c r="AK62" s="136" t="n">
        <f aca="false">AB62*AA62+AD62*AC62+AF62*AE62+AH62*AG62+AJ62*AI62</f>
        <v>0</v>
      </c>
      <c r="AL62" s="134"/>
    </row>
    <row r="63" customFormat="false" ht="16.4" hidden="false" customHeight="false" outlineLevel="0" collapsed="false">
      <c r="A63" s="131"/>
      <c r="B63" s="129" t="n">
        <f aca="false">IF(AND(A63=A62,F63=F62),B62+1,1)</f>
        <v>1</v>
      </c>
      <c r="C63" s="129" t="str">
        <f aca="false">A63&amp;"-"&amp;B63</f>
        <v>-1</v>
      </c>
      <c r="D63" s="130" t="str">
        <f aca="false">IFERROR(_xlfn.xlookup(F63,'PO Client'!A:A,'PO Client'!E:E),"")</f>
        <v/>
      </c>
      <c r="E63" s="130" t="str">
        <f aca="false">IFERROR(_xlfn.xlookup('Liste BT'!F63,'PO Client'!A:A,'PO Client'!H:H),"")</f>
        <v/>
      </c>
      <c r="F63" s="129" t="n">
        <f aca="false">F62+1</f>
        <v>394</v>
      </c>
      <c r="G63" s="132"/>
      <c r="H63" s="129" t="n">
        <f aca="false">SUMIF('PO item'!D:D,VALUE(F63),'PO item'!O:O)</f>
        <v>0</v>
      </c>
      <c r="I63" s="129" t="n">
        <f aca="false">(AA63+AC63+AE63+AG63+AI63)*Y63</f>
        <v>0</v>
      </c>
      <c r="J63" s="129" t="n">
        <f aca="false">SUMIF('PO item'!D:D,VALUE(F63),'PO item'!Q:Q)</f>
        <v>0</v>
      </c>
      <c r="K63" s="130" t="str">
        <f aca="false">IFERROR(_xlfn.xlookup(F63&amp;"-1",'PO item'!E:E,'PO item'!G:G),"")</f>
        <v/>
      </c>
      <c r="L63" s="137" t="str">
        <f aca="false">IFERROR(_xlfn.xlookup(F63&amp;"-2",'PO item'!E:E,'PO item'!G:G),"")</f>
        <v/>
      </c>
      <c r="M63" s="137" t="str">
        <f aca="false">IFERROR(_xlfn.xlookup(F63&amp;"-3",'PO item'!E:E,'PO item'!G:G),"")</f>
        <v/>
      </c>
      <c r="N63" s="137" t="str">
        <f aca="false">IFERROR(_xlfn.xlookup(F63&amp;"-4",'PO item'!E:E,'PO item'!G:G),"")</f>
        <v/>
      </c>
      <c r="O63" s="137" t="str">
        <f aca="false">IFERROR(_xlfn.xlookup(F63&amp;"-5",'PO item'!E:E,'PO item'!G:G),"")</f>
        <v/>
      </c>
      <c r="P63" s="137" t="str">
        <f aca="false">IFERROR(_xlfn.xlookup(F63&amp;"-6",'PO item'!E:E,'PO item'!G:G),"")</f>
        <v/>
      </c>
      <c r="Q63" s="137" t="str">
        <f aca="false">IFERROR(_xlfn.xlookup(F63&amp;"-7",'PO item'!E:E,'PO item'!G:G),"")</f>
        <v/>
      </c>
      <c r="R63" s="137" t="str">
        <f aca="false">IFERROR(_xlfn.xlookup(F63&amp;"-8",'PO item'!E:E,'PO item'!G:G),"")</f>
        <v/>
      </c>
      <c r="S63" s="137" t="str">
        <f aca="false">IFERROR(_xlfn.xlookup(F63&amp;"-9",'PO item'!E:E,'PO item'!G:G),"")</f>
        <v/>
      </c>
      <c r="T63" s="137" t="str">
        <f aca="false">IFERROR(_xlfn.xlookup(F63&amp;"-10",'PO item'!E:E,'PO item'!G:G),"")</f>
        <v/>
      </c>
      <c r="U63" s="133"/>
      <c r="V63" s="131"/>
      <c r="W63" s="134"/>
      <c r="X63" s="134"/>
      <c r="Y63" s="129" t="n">
        <f aca="false">IFERROR(_xlfn.xlookup($F63&amp;"-"&amp;B63,'PO item'!$E:$E,'PO item'!$M:$M),0)</f>
        <v>0</v>
      </c>
      <c r="Z63" s="129" t="str">
        <f aca="false">IFERROR(_xlfn.xlookup(F63&amp;"-"&amp;B63,'PO item'!E:E,'PO item'!L:L),"")</f>
        <v/>
      </c>
      <c r="AA63" s="129" t="n">
        <f aca="false">IFERROR(_xlfn.xlookup($F63&amp;"-1",'PO item'!$E:$E,'PO item'!$N:$N),0)</f>
        <v>0</v>
      </c>
      <c r="AB63" s="135" t="n">
        <f aca="false">IFERROR(_xlfn.xlookup($F63&amp;"-1",'PO item'!$E:$E,'PO item'!$K:$K),0)</f>
        <v>0</v>
      </c>
      <c r="AC63" s="129" t="n">
        <f aca="false">IFERROR(_xlfn.xlookup($F63&amp;"-2",'PO item'!$E:$E,'PO item'!$N:$N),0)</f>
        <v>0</v>
      </c>
      <c r="AD63" s="135" t="n">
        <f aca="false">IFERROR(_xlfn.xlookup($F63&amp;"-2",'PO item'!$E:$E,'PO item'!$K:$K),0)</f>
        <v>0</v>
      </c>
      <c r="AE63" s="129" t="n">
        <f aca="false">IFERROR(_xlfn.xlookup($F63&amp;"-3",'PO item'!$E:$E,'PO item'!$N:$N),0)</f>
        <v>0</v>
      </c>
      <c r="AF63" s="135" t="n">
        <f aca="false">IFERROR(_xlfn.xlookup($F63&amp;"-3",'PO item'!$E:$E,'PO item'!$K:$K),0)</f>
        <v>0</v>
      </c>
      <c r="AG63" s="129" t="n">
        <f aca="false">IFERROR(_xlfn.xlookup($F63&amp;"-4",'PO item'!$E:$E,'PO item'!$N:$N),0)</f>
        <v>0</v>
      </c>
      <c r="AH63" s="135" t="n">
        <f aca="false">IFERROR(_xlfn.xlookup($F63&amp;"-4",'PO item'!$E:$E,'PO item'!$K:$K),0)</f>
        <v>0</v>
      </c>
      <c r="AI63" s="129" t="n">
        <f aca="false">IFERROR(_xlfn.xlookup($F63&amp;"-5",'PO item'!$E:$E,'PO item'!$N:$N),0)</f>
        <v>0</v>
      </c>
      <c r="AJ63" s="135" t="n">
        <f aca="false">IFERROR(_xlfn.xlookup($F63&amp;"-5",'PO item'!$E:$E,'PO item'!$K:$K),0)</f>
        <v>0</v>
      </c>
      <c r="AK63" s="136" t="n">
        <f aca="false">AB63*AA63+AD63*AC63+AF63*AE63+AH63*AG63+AJ63*AI63</f>
        <v>0</v>
      </c>
      <c r="AL63" s="134"/>
    </row>
    <row r="64" customFormat="false" ht="16.4" hidden="false" customHeight="false" outlineLevel="0" collapsed="false">
      <c r="A64" s="131"/>
      <c r="B64" s="129" t="n">
        <f aca="false">IF(AND(A64=A63,F64=F63),B63+1,1)</f>
        <v>1</v>
      </c>
      <c r="C64" s="129" t="str">
        <f aca="false">A64&amp;"-"&amp;B64</f>
        <v>-1</v>
      </c>
      <c r="D64" s="130" t="str">
        <f aca="false">IFERROR(_xlfn.xlookup(F64,'PO Client'!A:A,'PO Client'!E:E),"")</f>
        <v/>
      </c>
      <c r="E64" s="130" t="str">
        <f aca="false">IFERROR(_xlfn.xlookup('Liste BT'!F64,'PO Client'!A:A,'PO Client'!H:H),"")</f>
        <v/>
      </c>
      <c r="F64" s="129" t="n">
        <f aca="false">F63+1</f>
        <v>395</v>
      </c>
      <c r="G64" s="132"/>
      <c r="H64" s="129" t="n">
        <f aca="false">SUMIF('PO item'!D:D,VALUE(F64),'PO item'!O:O)</f>
        <v>0</v>
      </c>
      <c r="I64" s="129" t="n">
        <f aca="false">(AA64+AC64+AE64+AG64+AI64)*Y64</f>
        <v>0</v>
      </c>
      <c r="J64" s="129" t="n">
        <f aca="false">SUMIF('PO item'!D:D,VALUE(F64),'PO item'!Q:Q)</f>
        <v>0</v>
      </c>
      <c r="K64" s="130" t="str">
        <f aca="false">IFERROR(_xlfn.xlookup(F64&amp;"-1",'PO item'!E:E,'PO item'!G:G),"")</f>
        <v/>
      </c>
      <c r="L64" s="137" t="str">
        <f aca="false">IFERROR(_xlfn.xlookup(F64&amp;"-2",'PO item'!E:E,'PO item'!G:G),"")</f>
        <v/>
      </c>
      <c r="M64" s="137" t="str">
        <f aca="false">IFERROR(_xlfn.xlookup(F64&amp;"-3",'PO item'!E:E,'PO item'!G:G),"")</f>
        <v/>
      </c>
      <c r="N64" s="137" t="str">
        <f aca="false">IFERROR(_xlfn.xlookup(F64&amp;"-4",'PO item'!E:E,'PO item'!G:G),"")</f>
        <v/>
      </c>
      <c r="O64" s="137" t="str">
        <f aca="false">IFERROR(_xlfn.xlookup(F64&amp;"-5",'PO item'!E:E,'PO item'!G:G),"")</f>
        <v/>
      </c>
      <c r="P64" s="137" t="str">
        <f aca="false">IFERROR(_xlfn.xlookup(F64&amp;"-6",'PO item'!E:E,'PO item'!G:G),"")</f>
        <v/>
      </c>
      <c r="Q64" s="137" t="str">
        <f aca="false">IFERROR(_xlfn.xlookup(F64&amp;"-7",'PO item'!E:E,'PO item'!G:G),"")</f>
        <v/>
      </c>
      <c r="R64" s="137" t="str">
        <f aca="false">IFERROR(_xlfn.xlookup(F64&amp;"-8",'PO item'!E:E,'PO item'!G:G),"")</f>
        <v/>
      </c>
      <c r="S64" s="137" t="str">
        <f aca="false">IFERROR(_xlfn.xlookup(F64&amp;"-9",'PO item'!E:E,'PO item'!G:G),"")</f>
        <v/>
      </c>
      <c r="T64" s="137" t="str">
        <f aca="false">IFERROR(_xlfn.xlookup(F64&amp;"-10",'PO item'!E:E,'PO item'!G:G),"")</f>
        <v/>
      </c>
      <c r="U64" s="133"/>
      <c r="V64" s="131"/>
      <c r="W64" s="134"/>
      <c r="X64" s="134"/>
      <c r="Y64" s="129" t="n">
        <f aca="false">IFERROR(_xlfn.xlookup($F64&amp;"-"&amp;B64,'PO item'!$E:$E,'PO item'!$M:$M),0)</f>
        <v>0</v>
      </c>
      <c r="Z64" s="129" t="str">
        <f aca="false">IFERROR(_xlfn.xlookup(F64&amp;"-"&amp;B64,'PO item'!E:E,'PO item'!L:L),"")</f>
        <v/>
      </c>
      <c r="AA64" s="129" t="n">
        <f aca="false">IFERROR(_xlfn.xlookup($F64&amp;"-1",'PO item'!$E:$E,'PO item'!$N:$N),0)</f>
        <v>0</v>
      </c>
      <c r="AB64" s="135" t="n">
        <f aca="false">IFERROR(_xlfn.xlookup($F64&amp;"-1",'PO item'!$E:$E,'PO item'!$K:$K),0)</f>
        <v>0</v>
      </c>
      <c r="AC64" s="129" t="n">
        <f aca="false">IFERROR(_xlfn.xlookup($F64&amp;"-2",'PO item'!$E:$E,'PO item'!$N:$N),0)</f>
        <v>0</v>
      </c>
      <c r="AD64" s="135" t="n">
        <f aca="false">IFERROR(_xlfn.xlookup($F64&amp;"-2",'PO item'!$E:$E,'PO item'!$K:$K),0)</f>
        <v>0</v>
      </c>
      <c r="AE64" s="129" t="n">
        <f aca="false">IFERROR(_xlfn.xlookup($F64&amp;"-3",'PO item'!$E:$E,'PO item'!$N:$N),0)</f>
        <v>0</v>
      </c>
      <c r="AF64" s="135" t="n">
        <f aca="false">IFERROR(_xlfn.xlookup($F64&amp;"-3",'PO item'!$E:$E,'PO item'!$K:$K),0)</f>
        <v>0</v>
      </c>
      <c r="AG64" s="129" t="n">
        <f aca="false">IFERROR(_xlfn.xlookup($F64&amp;"-4",'PO item'!$E:$E,'PO item'!$N:$N),0)</f>
        <v>0</v>
      </c>
      <c r="AH64" s="135" t="n">
        <f aca="false">IFERROR(_xlfn.xlookup($F64&amp;"-4",'PO item'!$E:$E,'PO item'!$K:$K),0)</f>
        <v>0</v>
      </c>
      <c r="AI64" s="129" t="n">
        <f aca="false">IFERROR(_xlfn.xlookup($F64&amp;"-5",'PO item'!$E:$E,'PO item'!$N:$N),0)</f>
        <v>0</v>
      </c>
      <c r="AJ64" s="135" t="n">
        <f aca="false">IFERROR(_xlfn.xlookup($F64&amp;"-5",'PO item'!$E:$E,'PO item'!$K:$K),0)</f>
        <v>0</v>
      </c>
      <c r="AK64" s="136" t="n">
        <f aca="false">AB64*AA64+AD64*AC64+AF64*AE64+AH64*AG64+AJ64*AI64</f>
        <v>0</v>
      </c>
      <c r="AL64" s="134"/>
    </row>
    <row r="65" customFormat="false" ht="16.4" hidden="false" customHeight="false" outlineLevel="0" collapsed="false">
      <c r="A65" s="131"/>
      <c r="B65" s="129" t="n">
        <f aca="false">IF(AND(A65=A64,F65=F64),B64+1,1)</f>
        <v>1</v>
      </c>
      <c r="C65" s="129" t="str">
        <f aca="false">A65&amp;"-"&amp;B65</f>
        <v>-1</v>
      </c>
      <c r="D65" s="130" t="str">
        <f aca="false">IFERROR(_xlfn.xlookup(F65,'PO Client'!A:A,'PO Client'!E:E),"")</f>
        <v/>
      </c>
      <c r="E65" s="130" t="str">
        <f aca="false">IFERROR(_xlfn.xlookup('Liste BT'!F65,'PO Client'!A:A,'PO Client'!H:H),"")</f>
        <v/>
      </c>
      <c r="F65" s="129" t="n">
        <f aca="false">F64+1</f>
        <v>396</v>
      </c>
      <c r="G65" s="132"/>
      <c r="H65" s="129" t="n">
        <f aca="false">SUMIF('PO item'!D:D,VALUE(F65),'PO item'!O:O)</f>
        <v>0</v>
      </c>
      <c r="I65" s="129" t="n">
        <f aca="false">(AA65+AC65+AE65+AG65+AI65)*Y65</f>
        <v>0</v>
      </c>
      <c r="J65" s="129" t="n">
        <f aca="false">SUMIF('PO item'!D:D,VALUE(F65),'PO item'!Q:Q)</f>
        <v>0</v>
      </c>
      <c r="K65" s="130" t="str">
        <f aca="false">IFERROR(_xlfn.xlookup(F65&amp;"-1",'PO item'!E:E,'PO item'!G:G),"")</f>
        <v/>
      </c>
      <c r="L65" s="137" t="str">
        <f aca="false">IFERROR(_xlfn.xlookup(F65&amp;"-2",'PO item'!E:E,'PO item'!G:G),"")</f>
        <v/>
      </c>
      <c r="M65" s="137" t="str">
        <f aca="false">IFERROR(_xlfn.xlookup(F65&amp;"-3",'PO item'!E:E,'PO item'!G:G),"")</f>
        <v/>
      </c>
      <c r="N65" s="137" t="str">
        <f aca="false">IFERROR(_xlfn.xlookup(F65&amp;"-4",'PO item'!E:E,'PO item'!G:G),"")</f>
        <v/>
      </c>
      <c r="O65" s="137" t="str">
        <f aca="false">IFERROR(_xlfn.xlookup(F65&amp;"-5",'PO item'!E:E,'PO item'!G:G),"")</f>
        <v/>
      </c>
      <c r="P65" s="137" t="str">
        <f aca="false">IFERROR(_xlfn.xlookup(F65&amp;"-6",'PO item'!E:E,'PO item'!G:G),"")</f>
        <v/>
      </c>
      <c r="Q65" s="137" t="str">
        <f aca="false">IFERROR(_xlfn.xlookup(F65&amp;"-7",'PO item'!E:E,'PO item'!G:G),"")</f>
        <v/>
      </c>
      <c r="R65" s="137" t="str">
        <f aca="false">IFERROR(_xlfn.xlookup(F65&amp;"-8",'PO item'!E:E,'PO item'!G:G),"")</f>
        <v/>
      </c>
      <c r="S65" s="137" t="str">
        <f aca="false">IFERROR(_xlfn.xlookup(F65&amp;"-9",'PO item'!E:E,'PO item'!G:G),"")</f>
        <v/>
      </c>
      <c r="T65" s="137" t="str">
        <f aca="false">IFERROR(_xlfn.xlookup(F65&amp;"-10",'PO item'!E:E,'PO item'!G:G),"")</f>
        <v/>
      </c>
      <c r="U65" s="133"/>
      <c r="V65" s="131"/>
      <c r="W65" s="134"/>
      <c r="X65" s="134"/>
      <c r="Y65" s="129" t="n">
        <f aca="false">IFERROR(_xlfn.xlookup($F65&amp;"-"&amp;B65,'PO item'!$E:$E,'PO item'!$M:$M),0)</f>
        <v>0</v>
      </c>
      <c r="Z65" s="129" t="str">
        <f aca="false">IFERROR(_xlfn.xlookup(F65&amp;"-"&amp;B65,'PO item'!E:E,'PO item'!L:L),"")</f>
        <v/>
      </c>
      <c r="AA65" s="129" t="n">
        <f aca="false">IFERROR(_xlfn.xlookup($F65&amp;"-1",'PO item'!$E:$E,'PO item'!$N:$N),0)</f>
        <v>0</v>
      </c>
      <c r="AB65" s="135" t="n">
        <f aca="false">IFERROR(_xlfn.xlookup($F65&amp;"-1",'PO item'!$E:$E,'PO item'!$K:$K),0)</f>
        <v>0</v>
      </c>
      <c r="AC65" s="129" t="n">
        <f aca="false">IFERROR(_xlfn.xlookup($F65&amp;"-2",'PO item'!$E:$E,'PO item'!$N:$N),0)</f>
        <v>0</v>
      </c>
      <c r="AD65" s="135" t="n">
        <f aca="false">IFERROR(_xlfn.xlookup($F65&amp;"-2",'PO item'!$E:$E,'PO item'!$K:$K),0)</f>
        <v>0</v>
      </c>
      <c r="AE65" s="129" t="n">
        <f aca="false">IFERROR(_xlfn.xlookup($F65&amp;"-3",'PO item'!$E:$E,'PO item'!$N:$N),0)</f>
        <v>0</v>
      </c>
      <c r="AF65" s="135" t="n">
        <f aca="false">IFERROR(_xlfn.xlookup($F65&amp;"-3",'PO item'!$E:$E,'PO item'!$K:$K),0)</f>
        <v>0</v>
      </c>
      <c r="AG65" s="129" t="n">
        <f aca="false">IFERROR(_xlfn.xlookup($F65&amp;"-4",'PO item'!$E:$E,'PO item'!$N:$N),0)</f>
        <v>0</v>
      </c>
      <c r="AH65" s="135" t="n">
        <f aca="false">IFERROR(_xlfn.xlookup($F65&amp;"-4",'PO item'!$E:$E,'PO item'!$K:$K),0)</f>
        <v>0</v>
      </c>
      <c r="AI65" s="129" t="n">
        <f aca="false">IFERROR(_xlfn.xlookup($F65&amp;"-5",'PO item'!$E:$E,'PO item'!$N:$N),0)</f>
        <v>0</v>
      </c>
      <c r="AJ65" s="135" t="n">
        <f aca="false">IFERROR(_xlfn.xlookup($F65&amp;"-5",'PO item'!$E:$E,'PO item'!$K:$K),0)</f>
        <v>0</v>
      </c>
      <c r="AK65" s="136" t="n">
        <f aca="false">AB65*AA65+AD65*AC65+AF65*AE65+AH65*AG65+AJ65*AI65</f>
        <v>0</v>
      </c>
      <c r="AL65" s="134"/>
    </row>
    <row r="66" customFormat="false" ht="16.4" hidden="false" customHeight="false" outlineLevel="0" collapsed="false">
      <c r="A66" s="131"/>
      <c r="B66" s="129" t="n">
        <f aca="false">IF(AND(A66=A65,F66=F65),B65+1,1)</f>
        <v>1</v>
      </c>
      <c r="C66" s="129" t="str">
        <f aca="false">A66&amp;"-"&amp;B66</f>
        <v>-1</v>
      </c>
      <c r="D66" s="130" t="str">
        <f aca="false">IFERROR(_xlfn.xlookup(F66,'PO Client'!A:A,'PO Client'!E:E),"")</f>
        <v/>
      </c>
      <c r="E66" s="130" t="str">
        <f aca="false">IFERROR(_xlfn.xlookup('Liste BT'!F66,'PO Client'!A:A,'PO Client'!H:H),"")</f>
        <v/>
      </c>
      <c r="F66" s="129" t="n">
        <f aca="false">F65+1</f>
        <v>397</v>
      </c>
      <c r="G66" s="132"/>
      <c r="H66" s="129" t="n">
        <f aca="false">SUMIF('PO item'!D:D,VALUE(F66),'PO item'!O:O)</f>
        <v>0</v>
      </c>
      <c r="I66" s="129" t="n">
        <f aca="false">(AA66+AC66+AE66+AG66+AI66)*Y66</f>
        <v>0</v>
      </c>
      <c r="J66" s="129" t="n">
        <f aca="false">SUMIF('PO item'!D:D,VALUE(F66),'PO item'!Q:Q)</f>
        <v>0</v>
      </c>
      <c r="K66" s="130" t="str">
        <f aca="false">IFERROR(_xlfn.xlookup(F66&amp;"-1",'PO item'!E:E,'PO item'!G:G),"")</f>
        <v/>
      </c>
      <c r="L66" s="137" t="str">
        <f aca="false">IFERROR(_xlfn.xlookup(F66&amp;"-2",'PO item'!E:E,'PO item'!G:G),"")</f>
        <v/>
      </c>
      <c r="M66" s="137" t="str">
        <f aca="false">IFERROR(_xlfn.xlookup(F66&amp;"-3",'PO item'!E:E,'PO item'!G:G),"")</f>
        <v/>
      </c>
      <c r="N66" s="137" t="str">
        <f aca="false">IFERROR(_xlfn.xlookup(F66&amp;"-4",'PO item'!E:E,'PO item'!G:G),"")</f>
        <v/>
      </c>
      <c r="O66" s="137" t="str">
        <f aca="false">IFERROR(_xlfn.xlookup(F66&amp;"-5",'PO item'!E:E,'PO item'!G:G),"")</f>
        <v/>
      </c>
      <c r="P66" s="137" t="str">
        <f aca="false">IFERROR(_xlfn.xlookup(F66&amp;"-6",'PO item'!E:E,'PO item'!G:G),"")</f>
        <v/>
      </c>
      <c r="Q66" s="137" t="str">
        <f aca="false">IFERROR(_xlfn.xlookup(F66&amp;"-7",'PO item'!E:E,'PO item'!G:G),"")</f>
        <v/>
      </c>
      <c r="R66" s="137" t="str">
        <f aca="false">IFERROR(_xlfn.xlookup(F66&amp;"-8",'PO item'!E:E,'PO item'!G:G),"")</f>
        <v/>
      </c>
      <c r="S66" s="137" t="str">
        <f aca="false">IFERROR(_xlfn.xlookup(F66&amp;"-9",'PO item'!E:E,'PO item'!G:G),"")</f>
        <v/>
      </c>
      <c r="T66" s="137" t="str">
        <f aca="false">IFERROR(_xlfn.xlookup(F66&amp;"-10",'PO item'!E:E,'PO item'!G:G),"")</f>
        <v/>
      </c>
      <c r="U66" s="133"/>
      <c r="V66" s="131"/>
      <c r="W66" s="134"/>
      <c r="X66" s="134"/>
      <c r="Y66" s="129" t="n">
        <f aca="false">IFERROR(_xlfn.xlookup($F66&amp;"-"&amp;B66,'PO item'!$E:$E,'PO item'!$M:$M),0)</f>
        <v>0</v>
      </c>
      <c r="Z66" s="129" t="str">
        <f aca="false">IFERROR(_xlfn.xlookup(F66&amp;"-"&amp;B66,'PO item'!E:E,'PO item'!L:L),"")</f>
        <v/>
      </c>
      <c r="AA66" s="129" t="n">
        <f aca="false">IFERROR(_xlfn.xlookup($F66&amp;"-1",'PO item'!$E:$E,'PO item'!$N:$N),0)</f>
        <v>0</v>
      </c>
      <c r="AB66" s="135" t="n">
        <f aca="false">IFERROR(_xlfn.xlookup($F66&amp;"-1",'PO item'!$E:$E,'PO item'!$K:$K),0)</f>
        <v>0</v>
      </c>
      <c r="AC66" s="129" t="n">
        <f aca="false">IFERROR(_xlfn.xlookup($F66&amp;"-2",'PO item'!$E:$E,'PO item'!$N:$N),0)</f>
        <v>0</v>
      </c>
      <c r="AD66" s="135" t="n">
        <f aca="false">IFERROR(_xlfn.xlookup($F66&amp;"-2",'PO item'!$E:$E,'PO item'!$K:$K),0)</f>
        <v>0</v>
      </c>
      <c r="AE66" s="129" t="n">
        <f aca="false">IFERROR(_xlfn.xlookup($F66&amp;"-3",'PO item'!$E:$E,'PO item'!$N:$N),0)</f>
        <v>0</v>
      </c>
      <c r="AF66" s="135" t="n">
        <f aca="false">IFERROR(_xlfn.xlookup($F66&amp;"-3",'PO item'!$E:$E,'PO item'!$K:$K),0)</f>
        <v>0</v>
      </c>
      <c r="AG66" s="129" t="n">
        <f aca="false">IFERROR(_xlfn.xlookup($F66&amp;"-4",'PO item'!$E:$E,'PO item'!$N:$N),0)</f>
        <v>0</v>
      </c>
      <c r="AH66" s="135" t="n">
        <f aca="false">IFERROR(_xlfn.xlookup($F66&amp;"-4",'PO item'!$E:$E,'PO item'!$K:$K),0)</f>
        <v>0</v>
      </c>
      <c r="AI66" s="129" t="n">
        <f aca="false">IFERROR(_xlfn.xlookup($F66&amp;"-5",'PO item'!$E:$E,'PO item'!$N:$N),0)</f>
        <v>0</v>
      </c>
      <c r="AJ66" s="135" t="n">
        <f aca="false">IFERROR(_xlfn.xlookup($F66&amp;"-5",'PO item'!$E:$E,'PO item'!$K:$K),0)</f>
        <v>0</v>
      </c>
      <c r="AK66" s="136" t="n">
        <f aca="false">AB66*AA66+AD66*AC66+AF66*AE66+AH66*AG66+AJ66*AI66</f>
        <v>0</v>
      </c>
      <c r="AL66" s="134"/>
    </row>
    <row r="67" customFormat="false" ht="16.4" hidden="false" customHeight="false" outlineLevel="0" collapsed="false">
      <c r="A67" s="131"/>
      <c r="B67" s="129" t="n">
        <f aca="false">IF(AND(A67=A66,F67=F66),B66+1,1)</f>
        <v>1</v>
      </c>
      <c r="C67" s="129" t="str">
        <f aca="false">A67&amp;"-"&amp;B67</f>
        <v>-1</v>
      </c>
      <c r="D67" s="130" t="str">
        <f aca="false">IFERROR(_xlfn.xlookup(F67,'PO Client'!A:A,'PO Client'!E:E),"")</f>
        <v/>
      </c>
      <c r="E67" s="130" t="str">
        <f aca="false">IFERROR(_xlfn.xlookup('Liste BT'!F67,'PO Client'!A:A,'PO Client'!H:H),"")</f>
        <v/>
      </c>
      <c r="F67" s="129" t="n">
        <f aca="false">F66+1</f>
        <v>398</v>
      </c>
      <c r="G67" s="132"/>
      <c r="H67" s="129" t="n">
        <f aca="false">SUMIF('PO item'!D:D,VALUE(F67),'PO item'!O:O)</f>
        <v>0</v>
      </c>
      <c r="I67" s="129" t="n">
        <f aca="false">(AA67+AC67+AE67+AG67+AI67)*Y67</f>
        <v>0</v>
      </c>
      <c r="J67" s="129" t="n">
        <f aca="false">SUMIF('PO item'!D:D,VALUE(F67),'PO item'!Q:Q)</f>
        <v>0</v>
      </c>
      <c r="K67" s="130" t="str">
        <f aca="false">IFERROR(_xlfn.xlookup(F67&amp;"-1",'PO item'!E:E,'PO item'!G:G),"")</f>
        <v/>
      </c>
      <c r="L67" s="137" t="str">
        <f aca="false">IFERROR(_xlfn.xlookup(F67&amp;"-2",'PO item'!E:E,'PO item'!G:G),"")</f>
        <v/>
      </c>
      <c r="M67" s="137" t="str">
        <f aca="false">IFERROR(_xlfn.xlookup(F67&amp;"-3",'PO item'!E:E,'PO item'!G:G),"")</f>
        <v/>
      </c>
      <c r="N67" s="137" t="str">
        <f aca="false">IFERROR(_xlfn.xlookup(F67&amp;"-4",'PO item'!E:E,'PO item'!G:G),"")</f>
        <v/>
      </c>
      <c r="O67" s="137" t="str">
        <f aca="false">IFERROR(_xlfn.xlookup(F67&amp;"-5",'PO item'!E:E,'PO item'!G:G),"")</f>
        <v/>
      </c>
      <c r="P67" s="137" t="str">
        <f aca="false">IFERROR(_xlfn.xlookup(F67&amp;"-6",'PO item'!E:E,'PO item'!G:G),"")</f>
        <v/>
      </c>
      <c r="Q67" s="137" t="str">
        <f aca="false">IFERROR(_xlfn.xlookup(F67&amp;"-7",'PO item'!E:E,'PO item'!G:G),"")</f>
        <v/>
      </c>
      <c r="R67" s="137" t="str">
        <f aca="false">IFERROR(_xlfn.xlookup(F67&amp;"-8",'PO item'!E:E,'PO item'!G:G),"")</f>
        <v/>
      </c>
      <c r="S67" s="137" t="str">
        <f aca="false">IFERROR(_xlfn.xlookup(F67&amp;"-9",'PO item'!E:E,'PO item'!G:G),"")</f>
        <v/>
      </c>
      <c r="T67" s="137" t="str">
        <f aca="false">IFERROR(_xlfn.xlookup(F67&amp;"-10",'PO item'!E:E,'PO item'!G:G),"")</f>
        <v/>
      </c>
      <c r="U67" s="133"/>
      <c r="V67" s="131"/>
      <c r="W67" s="134"/>
      <c r="X67" s="134"/>
      <c r="Y67" s="129" t="n">
        <f aca="false">IFERROR(_xlfn.xlookup($F67&amp;"-"&amp;B67,'PO item'!$E:$E,'PO item'!$M:$M),0)</f>
        <v>0</v>
      </c>
      <c r="Z67" s="129" t="str">
        <f aca="false">IFERROR(_xlfn.xlookup(F67&amp;"-"&amp;B67,'PO item'!E:E,'PO item'!L:L),"")</f>
        <v/>
      </c>
      <c r="AA67" s="129" t="n">
        <f aca="false">IFERROR(_xlfn.xlookup($F67&amp;"-1",'PO item'!$E:$E,'PO item'!$N:$N),0)</f>
        <v>0</v>
      </c>
      <c r="AB67" s="135" t="n">
        <f aca="false">IFERROR(_xlfn.xlookup($F67&amp;"-1",'PO item'!$E:$E,'PO item'!$K:$K),0)</f>
        <v>0</v>
      </c>
      <c r="AC67" s="129" t="n">
        <f aca="false">IFERROR(_xlfn.xlookup($F67&amp;"-2",'PO item'!$E:$E,'PO item'!$N:$N),0)</f>
        <v>0</v>
      </c>
      <c r="AD67" s="135" t="n">
        <f aca="false">IFERROR(_xlfn.xlookup($F67&amp;"-2",'PO item'!$E:$E,'PO item'!$K:$K),0)</f>
        <v>0</v>
      </c>
      <c r="AE67" s="129" t="n">
        <f aca="false">IFERROR(_xlfn.xlookup($F67&amp;"-3",'PO item'!$E:$E,'PO item'!$N:$N),0)</f>
        <v>0</v>
      </c>
      <c r="AF67" s="135" t="n">
        <f aca="false">IFERROR(_xlfn.xlookup($F67&amp;"-3",'PO item'!$E:$E,'PO item'!$K:$K),0)</f>
        <v>0</v>
      </c>
      <c r="AG67" s="129" t="n">
        <f aca="false">IFERROR(_xlfn.xlookup($F67&amp;"-4",'PO item'!$E:$E,'PO item'!$N:$N),0)</f>
        <v>0</v>
      </c>
      <c r="AH67" s="135" t="n">
        <f aca="false">IFERROR(_xlfn.xlookup($F67&amp;"-4",'PO item'!$E:$E,'PO item'!$K:$K),0)</f>
        <v>0</v>
      </c>
      <c r="AI67" s="129" t="n">
        <f aca="false">IFERROR(_xlfn.xlookup($F67&amp;"-5",'PO item'!$E:$E,'PO item'!$N:$N),0)</f>
        <v>0</v>
      </c>
      <c r="AJ67" s="135" t="n">
        <f aca="false">IFERROR(_xlfn.xlookup($F67&amp;"-5",'PO item'!$E:$E,'PO item'!$K:$K),0)</f>
        <v>0</v>
      </c>
      <c r="AK67" s="136" t="n">
        <f aca="false">AB67*AA67+AD67*AC67+AF67*AE67+AH67*AG67+AJ67*AI67</f>
        <v>0</v>
      </c>
      <c r="AL67" s="134"/>
    </row>
    <row r="68" customFormat="false" ht="16.4" hidden="false" customHeight="false" outlineLevel="0" collapsed="false">
      <c r="A68" s="131"/>
      <c r="B68" s="129" t="n">
        <f aca="false">IF(AND(A68=A67,F68=F67),B67+1,1)</f>
        <v>1</v>
      </c>
      <c r="C68" s="129" t="str">
        <f aca="false">A68&amp;"-"&amp;B68</f>
        <v>-1</v>
      </c>
      <c r="D68" s="130" t="str">
        <f aca="false">IFERROR(_xlfn.xlookup(F68,'PO Client'!A:A,'PO Client'!E:E),"")</f>
        <v/>
      </c>
      <c r="E68" s="130" t="str">
        <f aca="false">IFERROR(_xlfn.xlookup('Liste BT'!F68,'PO Client'!A:A,'PO Client'!H:H),"")</f>
        <v/>
      </c>
      <c r="F68" s="129" t="n">
        <f aca="false">F67+1</f>
        <v>399</v>
      </c>
      <c r="G68" s="132"/>
      <c r="H68" s="129" t="n">
        <f aca="false">SUMIF('PO item'!D:D,VALUE(F68),'PO item'!O:O)</f>
        <v>0</v>
      </c>
      <c r="I68" s="129" t="n">
        <f aca="false">(AA68+AC68+AE68+AG68+AI68)*Y68</f>
        <v>0</v>
      </c>
      <c r="J68" s="129" t="n">
        <f aca="false">SUMIF('PO item'!D:D,VALUE(F68),'PO item'!Q:Q)</f>
        <v>0</v>
      </c>
      <c r="K68" s="130" t="str">
        <f aca="false">IFERROR(_xlfn.xlookup(F68&amp;"-1",'PO item'!E:E,'PO item'!G:G),"")</f>
        <v/>
      </c>
      <c r="L68" s="137" t="str">
        <f aca="false">IFERROR(_xlfn.xlookup(F68&amp;"-2",'PO item'!E:E,'PO item'!G:G),"")</f>
        <v/>
      </c>
      <c r="M68" s="137" t="str">
        <f aca="false">IFERROR(_xlfn.xlookup(F68&amp;"-3",'PO item'!E:E,'PO item'!G:G),"")</f>
        <v/>
      </c>
      <c r="N68" s="137" t="str">
        <f aca="false">IFERROR(_xlfn.xlookup(F68&amp;"-4",'PO item'!E:E,'PO item'!G:G),"")</f>
        <v/>
      </c>
      <c r="O68" s="137" t="str">
        <f aca="false">IFERROR(_xlfn.xlookup(F68&amp;"-5",'PO item'!E:E,'PO item'!G:G),"")</f>
        <v/>
      </c>
      <c r="P68" s="137" t="str">
        <f aca="false">IFERROR(_xlfn.xlookup(F68&amp;"-6",'PO item'!E:E,'PO item'!G:G),"")</f>
        <v/>
      </c>
      <c r="Q68" s="137" t="str">
        <f aca="false">IFERROR(_xlfn.xlookup(F68&amp;"-7",'PO item'!E:E,'PO item'!G:G),"")</f>
        <v/>
      </c>
      <c r="R68" s="137" t="str">
        <f aca="false">IFERROR(_xlfn.xlookup(F68&amp;"-8",'PO item'!E:E,'PO item'!G:G),"")</f>
        <v/>
      </c>
      <c r="S68" s="137" t="str">
        <f aca="false">IFERROR(_xlfn.xlookup(F68&amp;"-9",'PO item'!E:E,'PO item'!G:G),"")</f>
        <v/>
      </c>
      <c r="T68" s="137" t="str">
        <f aca="false">IFERROR(_xlfn.xlookup(F68&amp;"-10",'PO item'!E:E,'PO item'!G:G),"")</f>
        <v/>
      </c>
      <c r="U68" s="133"/>
      <c r="V68" s="131"/>
      <c r="W68" s="134"/>
      <c r="X68" s="134"/>
      <c r="Y68" s="129" t="n">
        <f aca="false">IFERROR(_xlfn.xlookup($F68&amp;"-"&amp;B68,'PO item'!$E:$E,'PO item'!$M:$M),0)</f>
        <v>0</v>
      </c>
      <c r="Z68" s="129" t="str">
        <f aca="false">IFERROR(_xlfn.xlookup(F68&amp;"-"&amp;B68,'PO item'!E:E,'PO item'!L:L),"")</f>
        <v/>
      </c>
      <c r="AA68" s="129" t="n">
        <f aca="false">IFERROR(_xlfn.xlookup($F68&amp;"-1",'PO item'!$E:$E,'PO item'!$N:$N),0)</f>
        <v>0</v>
      </c>
      <c r="AB68" s="135" t="n">
        <f aca="false">IFERROR(_xlfn.xlookup($F68&amp;"-1",'PO item'!$E:$E,'PO item'!$K:$K),0)</f>
        <v>0</v>
      </c>
      <c r="AC68" s="129" t="n">
        <f aca="false">IFERROR(_xlfn.xlookup($F68&amp;"-2",'PO item'!$E:$E,'PO item'!$N:$N),0)</f>
        <v>0</v>
      </c>
      <c r="AD68" s="135" t="n">
        <f aca="false">IFERROR(_xlfn.xlookup($F68&amp;"-2",'PO item'!$E:$E,'PO item'!$K:$K),0)</f>
        <v>0</v>
      </c>
      <c r="AE68" s="129" t="n">
        <f aca="false">IFERROR(_xlfn.xlookup($F68&amp;"-3",'PO item'!$E:$E,'PO item'!$N:$N),0)</f>
        <v>0</v>
      </c>
      <c r="AF68" s="135" t="n">
        <f aca="false">IFERROR(_xlfn.xlookup($F68&amp;"-3",'PO item'!$E:$E,'PO item'!$K:$K),0)</f>
        <v>0</v>
      </c>
      <c r="AG68" s="129" t="n">
        <f aca="false">IFERROR(_xlfn.xlookup($F68&amp;"-4",'PO item'!$E:$E,'PO item'!$N:$N),0)</f>
        <v>0</v>
      </c>
      <c r="AH68" s="135" t="n">
        <f aca="false">IFERROR(_xlfn.xlookup($F68&amp;"-4",'PO item'!$E:$E,'PO item'!$K:$K),0)</f>
        <v>0</v>
      </c>
      <c r="AI68" s="129" t="n">
        <f aca="false">IFERROR(_xlfn.xlookup($F68&amp;"-5",'PO item'!$E:$E,'PO item'!$N:$N),0)</f>
        <v>0</v>
      </c>
      <c r="AJ68" s="135" t="n">
        <f aca="false">IFERROR(_xlfn.xlookup($F68&amp;"-5",'PO item'!$E:$E,'PO item'!$K:$K),0)</f>
        <v>0</v>
      </c>
      <c r="AK68" s="136" t="n">
        <f aca="false">AB68*AA68+AD68*AC68+AF68*AE68+AH68*AG68+AJ68*AI68</f>
        <v>0</v>
      </c>
      <c r="AL68" s="134"/>
    </row>
    <row r="69" customFormat="false" ht="16.4" hidden="false" customHeight="false" outlineLevel="0" collapsed="false">
      <c r="A69" s="131"/>
      <c r="B69" s="129" t="n">
        <f aca="false">IF(AND(A69=A68,F69=F68),B68+1,1)</f>
        <v>1</v>
      </c>
      <c r="C69" s="129" t="str">
        <f aca="false">A69&amp;"-"&amp;B69</f>
        <v>-1</v>
      </c>
      <c r="D69" s="130" t="str">
        <f aca="false">IFERROR(_xlfn.xlookup(F69,'PO Client'!A:A,'PO Client'!E:E),"")</f>
        <v/>
      </c>
      <c r="E69" s="130" t="str">
        <f aca="false">IFERROR(_xlfn.xlookup('Liste BT'!F69,'PO Client'!A:A,'PO Client'!H:H),"")</f>
        <v/>
      </c>
      <c r="F69" s="129" t="n">
        <f aca="false">F68+1</f>
        <v>400</v>
      </c>
      <c r="G69" s="132"/>
      <c r="H69" s="129" t="n">
        <f aca="false">SUMIF('PO item'!D:D,VALUE(F69),'PO item'!O:O)</f>
        <v>0</v>
      </c>
      <c r="I69" s="129" t="n">
        <f aca="false">(AA69+AC69+AE69+AG69+AI69)*Y69</f>
        <v>0</v>
      </c>
      <c r="J69" s="129" t="n">
        <f aca="false">SUMIF('PO item'!D:D,VALUE(F69),'PO item'!Q:Q)</f>
        <v>0</v>
      </c>
      <c r="K69" s="130" t="str">
        <f aca="false">IFERROR(_xlfn.xlookup(F69&amp;"-1",'PO item'!E:E,'PO item'!G:G),"")</f>
        <v/>
      </c>
      <c r="L69" s="137" t="str">
        <f aca="false">IFERROR(_xlfn.xlookup(F69&amp;"-2",'PO item'!E:E,'PO item'!G:G),"")</f>
        <v/>
      </c>
      <c r="M69" s="137" t="str">
        <f aca="false">IFERROR(_xlfn.xlookup(F69&amp;"-3",'PO item'!E:E,'PO item'!G:G),"")</f>
        <v/>
      </c>
      <c r="N69" s="137" t="str">
        <f aca="false">IFERROR(_xlfn.xlookup(F69&amp;"-4",'PO item'!E:E,'PO item'!G:G),"")</f>
        <v/>
      </c>
      <c r="O69" s="137" t="str">
        <f aca="false">IFERROR(_xlfn.xlookup(F69&amp;"-5",'PO item'!E:E,'PO item'!G:G),"")</f>
        <v/>
      </c>
      <c r="P69" s="137" t="str">
        <f aca="false">IFERROR(_xlfn.xlookup(F69&amp;"-6",'PO item'!E:E,'PO item'!G:G),"")</f>
        <v/>
      </c>
      <c r="Q69" s="137" t="str">
        <f aca="false">IFERROR(_xlfn.xlookup(F69&amp;"-7",'PO item'!E:E,'PO item'!G:G),"")</f>
        <v/>
      </c>
      <c r="R69" s="137" t="str">
        <f aca="false">IFERROR(_xlfn.xlookup(F69&amp;"-8",'PO item'!E:E,'PO item'!G:G),"")</f>
        <v/>
      </c>
      <c r="S69" s="137" t="str">
        <f aca="false">IFERROR(_xlfn.xlookup(F69&amp;"-9",'PO item'!E:E,'PO item'!G:G),"")</f>
        <v/>
      </c>
      <c r="T69" s="137" t="str">
        <f aca="false">IFERROR(_xlfn.xlookup(F69&amp;"-10",'PO item'!E:E,'PO item'!G:G),"")</f>
        <v/>
      </c>
      <c r="U69" s="133"/>
      <c r="V69" s="131"/>
      <c r="W69" s="134"/>
      <c r="X69" s="134"/>
      <c r="Y69" s="129" t="n">
        <f aca="false">IFERROR(_xlfn.xlookup($F69&amp;"-"&amp;B69,'PO item'!$E:$E,'PO item'!$M:$M),0)</f>
        <v>0</v>
      </c>
      <c r="Z69" s="129" t="str">
        <f aca="false">IFERROR(_xlfn.xlookup(F69&amp;"-"&amp;B69,'PO item'!E:E,'PO item'!L:L),"")</f>
        <v/>
      </c>
      <c r="AA69" s="129" t="n">
        <f aca="false">IFERROR(_xlfn.xlookup($F69&amp;"-1",'PO item'!$E:$E,'PO item'!$N:$N),0)</f>
        <v>0</v>
      </c>
      <c r="AB69" s="135" t="n">
        <f aca="false">IFERROR(_xlfn.xlookup($F69&amp;"-1",'PO item'!$E:$E,'PO item'!$K:$K),0)</f>
        <v>0</v>
      </c>
      <c r="AC69" s="129" t="n">
        <f aca="false">IFERROR(_xlfn.xlookup($F69&amp;"-2",'PO item'!$E:$E,'PO item'!$N:$N),0)</f>
        <v>0</v>
      </c>
      <c r="AD69" s="135" t="n">
        <f aca="false">IFERROR(_xlfn.xlookup($F69&amp;"-2",'PO item'!$E:$E,'PO item'!$K:$K),0)</f>
        <v>0</v>
      </c>
      <c r="AE69" s="129" t="n">
        <f aca="false">IFERROR(_xlfn.xlookup($F69&amp;"-3",'PO item'!$E:$E,'PO item'!$N:$N),0)</f>
        <v>0</v>
      </c>
      <c r="AF69" s="135" t="n">
        <f aca="false">IFERROR(_xlfn.xlookup($F69&amp;"-3",'PO item'!$E:$E,'PO item'!$K:$K),0)</f>
        <v>0</v>
      </c>
      <c r="AG69" s="129" t="n">
        <f aca="false">IFERROR(_xlfn.xlookup($F69&amp;"-4",'PO item'!$E:$E,'PO item'!$N:$N),0)</f>
        <v>0</v>
      </c>
      <c r="AH69" s="135" t="n">
        <f aca="false">IFERROR(_xlfn.xlookup($F69&amp;"-4",'PO item'!$E:$E,'PO item'!$K:$K),0)</f>
        <v>0</v>
      </c>
      <c r="AI69" s="129" t="n">
        <f aca="false">IFERROR(_xlfn.xlookup($F69&amp;"-5",'PO item'!$E:$E,'PO item'!$N:$N),0)</f>
        <v>0</v>
      </c>
      <c r="AJ69" s="135" t="n">
        <f aca="false">IFERROR(_xlfn.xlookup($F69&amp;"-5",'PO item'!$E:$E,'PO item'!$K:$K),0)</f>
        <v>0</v>
      </c>
      <c r="AK69" s="136" t="n">
        <f aca="false">AB69*AA69+AD69*AC69+AF69*AE69+AH69*AG69+AJ69*AI69</f>
        <v>0</v>
      </c>
      <c r="AL69" s="134"/>
    </row>
    <row r="70" customFormat="false" ht="16.4" hidden="false" customHeight="false" outlineLevel="0" collapsed="false">
      <c r="A70" s="131"/>
      <c r="B70" s="129" t="n">
        <f aca="false">IF(AND(A70=A69,F70=F69),B69+1,1)</f>
        <v>1</v>
      </c>
      <c r="C70" s="129" t="str">
        <f aca="false">A70&amp;"-"&amp;B70</f>
        <v>-1</v>
      </c>
      <c r="D70" s="130" t="str">
        <f aca="false">IFERROR(_xlfn.xlookup(F70,'PO Client'!A:A,'PO Client'!E:E),"")</f>
        <v/>
      </c>
      <c r="E70" s="130" t="str">
        <f aca="false">IFERROR(_xlfn.xlookup('Liste BT'!F70,'PO Client'!A:A,'PO Client'!H:H),"")</f>
        <v/>
      </c>
      <c r="F70" s="129" t="n">
        <f aca="false">F69+1</f>
        <v>401</v>
      </c>
      <c r="G70" s="132"/>
      <c r="H70" s="129" t="n">
        <f aca="false">SUMIF('PO item'!D:D,VALUE(F70),'PO item'!O:O)</f>
        <v>0</v>
      </c>
      <c r="I70" s="129" t="n">
        <f aca="false">(AA70+AC70+AE70+AG70+AI70)*Y70</f>
        <v>0</v>
      </c>
      <c r="J70" s="129" t="n">
        <f aca="false">SUMIF('PO item'!D:D,VALUE(F70),'PO item'!Q:Q)</f>
        <v>0</v>
      </c>
      <c r="K70" s="130" t="str">
        <f aca="false">IFERROR(_xlfn.xlookup(F70&amp;"-1",'PO item'!E:E,'PO item'!G:G),"")</f>
        <v/>
      </c>
      <c r="L70" s="137" t="str">
        <f aca="false">IFERROR(_xlfn.xlookup(F70&amp;"-2",'PO item'!E:E,'PO item'!G:G),"")</f>
        <v/>
      </c>
      <c r="M70" s="137" t="str">
        <f aca="false">IFERROR(_xlfn.xlookup(F70&amp;"-3",'PO item'!E:E,'PO item'!G:G),"")</f>
        <v/>
      </c>
      <c r="N70" s="137" t="str">
        <f aca="false">IFERROR(_xlfn.xlookup(F70&amp;"-4",'PO item'!E:E,'PO item'!G:G),"")</f>
        <v/>
      </c>
      <c r="O70" s="137" t="str">
        <f aca="false">IFERROR(_xlfn.xlookup(F70&amp;"-5",'PO item'!E:E,'PO item'!G:G),"")</f>
        <v/>
      </c>
      <c r="P70" s="137" t="str">
        <f aca="false">IFERROR(_xlfn.xlookup(F70&amp;"-6",'PO item'!E:E,'PO item'!G:G),"")</f>
        <v/>
      </c>
      <c r="Q70" s="137" t="str">
        <f aca="false">IFERROR(_xlfn.xlookup(F70&amp;"-7",'PO item'!E:E,'PO item'!G:G),"")</f>
        <v/>
      </c>
      <c r="R70" s="137" t="str">
        <f aca="false">IFERROR(_xlfn.xlookup(F70&amp;"-8",'PO item'!E:E,'PO item'!G:G),"")</f>
        <v/>
      </c>
      <c r="S70" s="137" t="str">
        <f aca="false">IFERROR(_xlfn.xlookup(F70&amp;"-9",'PO item'!E:E,'PO item'!G:G),"")</f>
        <v/>
      </c>
      <c r="T70" s="137" t="str">
        <f aca="false">IFERROR(_xlfn.xlookup(F70&amp;"-10",'PO item'!E:E,'PO item'!G:G),"")</f>
        <v/>
      </c>
      <c r="U70" s="133"/>
      <c r="V70" s="131"/>
      <c r="W70" s="134"/>
      <c r="X70" s="134"/>
      <c r="Y70" s="129" t="n">
        <f aca="false">IFERROR(_xlfn.xlookup($F70&amp;"-"&amp;B70,'PO item'!$E:$E,'PO item'!$M:$M),0)</f>
        <v>0</v>
      </c>
      <c r="Z70" s="129" t="str">
        <f aca="false">IFERROR(_xlfn.xlookup(F70&amp;"-"&amp;B70,'PO item'!E:E,'PO item'!L:L),"")</f>
        <v/>
      </c>
      <c r="AA70" s="129" t="n">
        <f aca="false">IFERROR(_xlfn.xlookup($F70&amp;"-1",'PO item'!$E:$E,'PO item'!$N:$N),0)</f>
        <v>0</v>
      </c>
      <c r="AB70" s="135" t="n">
        <f aca="false">IFERROR(_xlfn.xlookup($F70&amp;"-1",'PO item'!$E:$E,'PO item'!$K:$K),0)</f>
        <v>0</v>
      </c>
      <c r="AC70" s="129" t="n">
        <f aca="false">IFERROR(_xlfn.xlookup($F70&amp;"-2",'PO item'!$E:$E,'PO item'!$N:$N),0)</f>
        <v>0</v>
      </c>
      <c r="AD70" s="135" t="n">
        <f aca="false">IFERROR(_xlfn.xlookup($F70&amp;"-2",'PO item'!$E:$E,'PO item'!$K:$K),0)</f>
        <v>0</v>
      </c>
      <c r="AE70" s="129" t="n">
        <f aca="false">IFERROR(_xlfn.xlookup($F70&amp;"-3",'PO item'!$E:$E,'PO item'!$N:$N),0)</f>
        <v>0</v>
      </c>
      <c r="AF70" s="135" t="n">
        <f aca="false">IFERROR(_xlfn.xlookup($F70&amp;"-3",'PO item'!$E:$E,'PO item'!$K:$K),0)</f>
        <v>0</v>
      </c>
      <c r="AG70" s="129" t="n">
        <f aca="false">IFERROR(_xlfn.xlookup($F70&amp;"-4",'PO item'!$E:$E,'PO item'!$N:$N),0)</f>
        <v>0</v>
      </c>
      <c r="AH70" s="135" t="n">
        <f aca="false">IFERROR(_xlfn.xlookup($F70&amp;"-4",'PO item'!$E:$E,'PO item'!$K:$K),0)</f>
        <v>0</v>
      </c>
      <c r="AI70" s="129" t="n">
        <f aca="false">IFERROR(_xlfn.xlookup($F70&amp;"-5",'PO item'!$E:$E,'PO item'!$N:$N),0)</f>
        <v>0</v>
      </c>
      <c r="AJ70" s="135" t="n">
        <f aca="false">IFERROR(_xlfn.xlookup($F70&amp;"-5",'PO item'!$E:$E,'PO item'!$K:$K),0)</f>
        <v>0</v>
      </c>
      <c r="AK70" s="136" t="n">
        <f aca="false">AB70*AA70+AD70*AC70+AF70*AE70+AH70*AG70+AJ70*AI70</f>
        <v>0</v>
      </c>
      <c r="AL70" s="134"/>
    </row>
    <row r="71" customFormat="false" ht="16.4" hidden="false" customHeight="false" outlineLevel="0" collapsed="false">
      <c r="A71" s="131"/>
      <c r="B71" s="129" t="n">
        <f aca="false">IF(AND(A71=A70,F71=F70),B70+1,1)</f>
        <v>1</v>
      </c>
      <c r="C71" s="129" t="str">
        <f aca="false">A71&amp;"-"&amp;B71</f>
        <v>-1</v>
      </c>
      <c r="D71" s="130" t="str">
        <f aca="false">IFERROR(_xlfn.xlookup(F71,'PO Client'!A:A,'PO Client'!E:E),"")</f>
        <v/>
      </c>
      <c r="E71" s="130" t="str">
        <f aca="false">IFERROR(_xlfn.xlookup('Liste BT'!F71,'PO Client'!A:A,'PO Client'!H:H),"")</f>
        <v/>
      </c>
      <c r="F71" s="129" t="n">
        <f aca="false">F70+1</f>
        <v>402</v>
      </c>
      <c r="G71" s="132"/>
      <c r="H71" s="129" t="n">
        <f aca="false">SUMIF('PO item'!D:D,VALUE(F71),'PO item'!O:O)</f>
        <v>0</v>
      </c>
      <c r="I71" s="129" t="n">
        <f aca="false">(AA71+AC71+AE71+AG71+AI71)*Y71</f>
        <v>0</v>
      </c>
      <c r="J71" s="129" t="n">
        <f aca="false">SUMIF('PO item'!D:D,VALUE(F71),'PO item'!Q:Q)</f>
        <v>0</v>
      </c>
      <c r="K71" s="130" t="str">
        <f aca="false">IFERROR(_xlfn.xlookup(F71&amp;"-1",'PO item'!E:E,'PO item'!G:G),"")</f>
        <v/>
      </c>
      <c r="L71" s="137" t="str">
        <f aca="false">IFERROR(_xlfn.xlookup(F71&amp;"-2",'PO item'!E:E,'PO item'!G:G),"")</f>
        <v/>
      </c>
      <c r="M71" s="137" t="str">
        <f aca="false">IFERROR(_xlfn.xlookup(F71&amp;"-3",'PO item'!E:E,'PO item'!G:G),"")</f>
        <v/>
      </c>
      <c r="N71" s="137" t="str">
        <f aca="false">IFERROR(_xlfn.xlookup(F71&amp;"-4",'PO item'!E:E,'PO item'!G:G),"")</f>
        <v/>
      </c>
      <c r="O71" s="137" t="str">
        <f aca="false">IFERROR(_xlfn.xlookup(F71&amp;"-5",'PO item'!E:E,'PO item'!G:G),"")</f>
        <v/>
      </c>
      <c r="P71" s="137" t="str">
        <f aca="false">IFERROR(_xlfn.xlookup(F71&amp;"-6",'PO item'!E:E,'PO item'!G:G),"")</f>
        <v/>
      </c>
      <c r="Q71" s="137" t="str">
        <f aca="false">IFERROR(_xlfn.xlookup(F71&amp;"-7",'PO item'!E:E,'PO item'!G:G),"")</f>
        <v/>
      </c>
      <c r="R71" s="137" t="str">
        <f aca="false">IFERROR(_xlfn.xlookup(F71&amp;"-8",'PO item'!E:E,'PO item'!G:G),"")</f>
        <v/>
      </c>
      <c r="S71" s="137" t="str">
        <f aca="false">IFERROR(_xlfn.xlookup(F71&amp;"-9",'PO item'!E:E,'PO item'!G:G),"")</f>
        <v/>
      </c>
      <c r="T71" s="137" t="str">
        <f aca="false">IFERROR(_xlfn.xlookup(F71&amp;"-10",'PO item'!E:E,'PO item'!G:G),"")</f>
        <v/>
      </c>
      <c r="U71" s="133"/>
      <c r="V71" s="131"/>
      <c r="W71" s="134"/>
      <c r="X71" s="134"/>
      <c r="Y71" s="129" t="n">
        <f aca="false">IFERROR(_xlfn.xlookup($F71&amp;"-"&amp;B71,'PO item'!$E:$E,'PO item'!$M:$M),0)</f>
        <v>0</v>
      </c>
      <c r="Z71" s="129" t="str">
        <f aca="false">IFERROR(_xlfn.xlookup(F71&amp;"-"&amp;B71,'PO item'!E:E,'PO item'!L:L),"")</f>
        <v/>
      </c>
      <c r="AA71" s="129" t="n">
        <f aca="false">IFERROR(_xlfn.xlookup($F71&amp;"-1",'PO item'!$E:$E,'PO item'!$N:$N),0)</f>
        <v>0</v>
      </c>
      <c r="AB71" s="135" t="n">
        <f aca="false">IFERROR(_xlfn.xlookup($F71&amp;"-1",'PO item'!$E:$E,'PO item'!$K:$K),0)</f>
        <v>0</v>
      </c>
      <c r="AC71" s="129" t="n">
        <f aca="false">IFERROR(_xlfn.xlookup($F71&amp;"-2",'PO item'!$E:$E,'PO item'!$N:$N),0)</f>
        <v>0</v>
      </c>
      <c r="AD71" s="135" t="n">
        <f aca="false">IFERROR(_xlfn.xlookup($F71&amp;"-2",'PO item'!$E:$E,'PO item'!$K:$K),0)</f>
        <v>0</v>
      </c>
      <c r="AE71" s="129" t="n">
        <f aca="false">IFERROR(_xlfn.xlookup($F71&amp;"-3",'PO item'!$E:$E,'PO item'!$N:$N),0)</f>
        <v>0</v>
      </c>
      <c r="AF71" s="135" t="n">
        <f aca="false">IFERROR(_xlfn.xlookup($F71&amp;"-3",'PO item'!$E:$E,'PO item'!$K:$K),0)</f>
        <v>0</v>
      </c>
      <c r="AG71" s="129" t="n">
        <f aca="false">IFERROR(_xlfn.xlookup($F71&amp;"-4",'PO item'!$E:$E,'PO item'!$N:$N),0)</f>
        <v>0</v>
      </c>
      <c r="AH71" s="135" t="n">
        <f aca="false">IFERROR(_xlfn.xlookup($F71&amp;"-4",'PO item'!$E:$E,'PO item'!$K:$K),0)</f>
        <v>0</v>
      </c>
      <c r="AI71" s="129" t="n">
        <f aca="false">IFERROR(_xlfn.xlookup($F71&amp;"-5",'PO item'!$E:$E,'PO item'!$N:$N),0)</f>
        <v>0</v>
      </c>
      <c r="AJ71" s="135" t="n">
        <f aca="false">IFERROR(_xlfn.xlookup($F71&amp;"-5",'PO item'!$E:$E,'PO item'!$K:$K),0)</f>
        <v>0</v>
      </c>
      <c r="AK71" s="136" t="n">
        <f aca="false">AB71*AA71+AD71*AC71+AF71*AE71+AH71*AG71+AJ71*AI71</f>
        <v>0</v>
      </c>
      <c r="AL71" s="134"/>
    </row>
    <row r="72" customFormat="false" ht="16.4" hidden="false" customHeight="false" outlineLevel="0" collapsed="false">
      <c r="A72" s="131"/>
      <c r="B72" s="129" t="n">
        <f aca="false">IF(AND(A72=A71,F72=F71),B71+1,1)</f>
        <v>1</v>
      </c>
      <c r="C72" s="129" t="str">
        <f aca="false">A72&amp;"-"&amp;B72</f>
        <v>-1</v>
      </c>
      <c r="D72" s="130" t="str">
        <f aca="false">IFERROR(_xlfn.xlookup(F72,'PO Client'!A:A,'PO Client'!E:E),"")</f>
        <v/>
      </c>
      <c r="E72" s="130" t="str">
        <f aca="false">IFERROR(_xlfn.xlookup('Liste BT'!F72,'PO Client'!A:A,'PO Client'!H:H),"")</f>
        <v/>
      </c>
      <c r="F72" s="129" t="n">
        <f aca="false">F71+1</f>
        <v>403</v>
      </c>
      <c r="G72" s="132"/>
      <c r="H72" s="129" t="n">
        <f aca="false">SUMIF('PO item'!D:D,VALUE(F72),'PO item'!O:O)</f>
        <v>0</v>
      </c>
      <c r="I72" s="129" t="n">
        <f aca="false">(AA72+AC72+AE72+AG72+AI72)*Y72</f>
        <v>0</v>
      </c>
      <c r="J72" s="129" t="n">
        <f aca="false">SUMIF('PO item'!D:D,VALUE(F72),'PO item'!Q:Q)</f>
        <v>0</v>
      </c>
      <c r="K72" s="130" t="str">
        <f aca="false">IFERROR(_xlfn.xlookup(F72&amp;"-1",'PO item'!E:E,'PO item'!G:G),"")</f>
        <v/>
      </c>
      <c r="L72" s="137" t="str">
        <f aca="false">IFERROR(_xlfn.xlookup(F72&amp;"-2",'PO item'!E:E,'PO item'!G:G),"")</f>
        <v/>
      </c>
      <c r="M72" s="137" t="str">
        <f aca="false">IFERROR(_xlfn.xlookup(F72&amp;"-3",'PO item'!E:E,'PO item'!G:G),"")</f>
        <v/>
      </c>
      <c r="N72" s="137" t="str">
        <f aca="false">IFERROR(_xlfn.xlookup(F72&amp;"-4",'PO item'!E:E,'PO item'!G:G),"")</f>
        <v/>
      </c>
      <c r="O72" s="137" t="str">
        <f aca="false">IFERROR(_xlfn.xlookup(F72&amp;"-5",'PO item'!E:E,'PO item'!G:G),"")</f>
        <v/>
      </c>
      <c r="P72" s="137" t="str">
        <f aca="false">IFERROR(_xlfn.xlookup(F72&amp;"-6",'PO item'!E:E,'PO item'!G:G),"")</f>
        <v/>
      </c>
      <c r="Q72" s="137" t="str">
        <f aca="false">IFERROR(_xlfn.xlookup(F72&amp;"-7",'PO item'!E:E,'PO item'!G:G),"")</f>
        <v/>
      </c>
      <c r="R72" s="137" t="str">
        <f aca="false">IFERROR(_xlfn.xlookup(F72&amp;"-8",'PO item'!E:E,'PO item'!G:G),"")</f>
        <v/>
      </c>
      <c r="S72" s="137" t="str">
        <f aca="false">IFERROR(_xlfn.xlookup(F72&amp;"-9",'PO item'!E:E,'PO item'!G:G),"")</f>
        <v/>
      </c>
      <c r="T72" s="137" t="str">
        <f aca="false">IFERROR(_xlfn.xlookup(F72&amp;"-10",'PO item'!E:E,'PO item'!G:G),"")</f>
        <v/>
      </c>
      <c r="U72" s="133"/>
      <c r="V72" s="131"/>
      <c r="W72" s="134"/>
      <c r="X72" s="134"/>
      <c r="Y72" s="129" t="n">
        <f aca="false">IFERROR(_xlfn.xlookup($F72&amp;"-"&amp;B72,'PO item'!$E:$E,'PO item'!$M:$M),0)</f>
        <v>0</v>
      </c>
      <c r="Z72" s="129" t="str">
        <f aca="false">IFERROR(_xlfn.xlookup(F72&amp;"-"&amp;B72,'PO item'!E:E,'PO item'!L:L),"")</f>
        <v/>
      </c>
      <c r="AA72" s="129" t="n">
        <f aca="false">IFERROR(_xlfn.xlookup($F72&amp;"-1",'PO item'!$E:$E,'PO item'!$N:$N),0)</f>
        <v>0</v>
      </c>
      <c r="AB72" s="135" t="n">
        <f aca="false">IFERROR(_xlfn.xlookup($F72&amp;"-1",'PO item'!$E:$E,'PO item'!$K:$K),0)</f>
        <v>0</v>
      </c>
      <c r="AC72" s="129" t="n">
        <f aca="false">IFERROR(_xlfn.xlookup($F72&amp;"-2",'PO item'!$E:$E,'PO item'!$N:$N),0)</f>
        <v>0</v>
      </c>
      <c r="AD72" s="135" t="n">
        <f aca="false">IFERROR(_xlfn.xlookup($F72&amp;"-2",'PO item'!$E:$E,'PO item'!$K:$K),0)</f>
        <v>0</v>
      </c>
      <c r="AE72" s="129" t="n">
        <f aca="false">IFERROR(_xlfn.xlookup($F72&amp;"-3",'PO item'!$E:$E,'PO item'!$N:$N),0)</f>
        <v>0</v>
      </c>
      <c r="AF72" s="135" t="n">
        <f aca="false">IFERROR(_xlfn.xlookup($F72&amp;"-3",'PO item'!$E:$E,'PO item'!$K:$K),0)</f>
        <v>0</v>
      </c>
      <c r="AG72" s="129" t="n">
        <f aca="false">IFERROR(_xlfn.xlookup($F72&amp;"-4",'PO item'!$E:$E,'PO item'!$N:$N),0)</f>
        <v>0</v>
      </c>
      <c r="AH72" s="135" t="n">
        <f aca="false">IFERROR(_xlfn.xlookup($F72&amp;"-4",'PO item'!$E:$E,'PO item'!$K:$K),0)</f>
        <v>0</v>
      </c>
      <c r="AI72" s="129" t="n">
        <f aca="false">IFERROR(_xlfn.xlookup($F72&amp;"-5",'PO item'!$E:$E,'PO item'!$N:$N),0)</f>
        <v>0</v>
      </c>
      <c r="AJ72" s="135" t="n">
        <f aca="false">IFERROR(_xlfn.xlookup($F72&amp;"-5",'PO item'!$E:$E,'PO item'!$K:$K),0)</f>
        <v>0</v>
      </c>
      <c r="AK72" s="136" t="n">
        <f aca="false">AB72*AA72+AD72*AC72+AF72*AE72+AH72*AG72+AJ72*AI72</f>
        <v>0</v>
      </c>
      <c r="AL72" s="134"/>
    </row>
    <row r="73" customFormat="false" ht="16.4" hidden="false" customHeight="false" outlineLevel="0" collapsed="false">
      <c r="A73" s="131"/>
      <c r="B73" s="129" t="n">
        <f aca="false">IF(AND(A73=A72,F73=F72),B72+1,1)</f>
        <v>1</v>
      </c>
      <c r="C73" s="129" t="str">
        <f aca="false">A73&amp;"-"&amp;B73</f>
        <v>-1</v>
      </c>
      <c r="D73" s="130" t="str">
        <f aca="false">IFERROR(_xlfn.xlookup(F73,'PO Client'!A:A,'PO Client'!E:E),"")</f>
        <v/>
      </c>
      <c r="E73" s="130" t="str">
        <f aca="false">IFERROR(_xlfn.xlookup('Liste BT'!F73,'PO Client'!A:A,'PO Client'!H:H),"")</f>
        <v/>
      </c>
      <c r="F73" s="129" t="n">
        <f aca="false">F72+1</f>
        <v>404</v>
      </c>
      <c r="G73" s="132"/>
      <c r="H73" s="129" t="n">
        <f aca="false">SUMIF('PO item'!D:D,VALUE(F73),'PO item'!O:O)</f>
        <v>0</v>
      </c>
      <c r="I73" s="129" t="n">
        <f aca="false">(AA73+AC73+AE73+AG73+AI73)*Y73</f>
        <v>0</v>
      </c>
      <c r="J73" s="129" t="n">
        <f aca="false">SUMIF('PO item'!D:D,VALUE(F73),'PO item'!Q:Q)</f>
        <v>0</v>
      </c>
      <c r="K73" s="130" t="str">
        <f aca="false">IFERROR(_xlfn.xlookup(F73&amp;"-1",'PO item'!E:E,'PO item'!G:G),"")</f>
        <v/>
      </c>
      <c r="L73" s="137" t="str">
        <f aca="false">IFERROR(_xlfn.xlookup(F73&amp;"-2",'PO item'!E:E,'PO item'!G:G),"")</f>
        <v/>
      </c>
      <c r="M73" s="137" t="str">
        <f aca="false">IFERROR(_xlfn.xlookup(F73&amp;"-3",'PO item'!E:E,'PO item'!G:G),"")</f>
        <v/>
      </c>
      <c r="N73" s="137" t="str">
        <f aca="false">IFERROR(_xlfn.xlookup(F73&amp;"-4",'PO item'!E:E,'PO item'!G:G),"")</f>
        <v/>
      </c>
      <c r="O73" s="137" t="str">
        <f aca="false">IFERROR(_xlfn.xlookup(F73&amp;"-5",'PO item'!E:E,'PO item'!G:G),"")</f>
        <v/>
      </c>
      <c r="P73" s="137" t="str">
        <f aca="false">IFERROR(_xlfn.xlookup(F73&amp;"-6",'PO item'!E:E,'PO item'!G:G),"")</f>
        <v/>
      </c>
      <c r="Q73" s="137" t="str">
        <f aca="false">IFERROR(_xlfn.xlookup(F73&amp;"-7",'PO item'!E:E,'PO item'!G:G),"")</f>
        <v/>
      </c>
      <c r="R73" s="137" t="str">
        <f aca="false">IFERROR(_xlfn.xlookup(F73&amp;"-8",'PO item'!E:E,'PO item'!G:G),"")</f>
        <v/>
      </c>
      <c r="S73" s="137" t="str">
        <f aca="false">IFERROR(_xlfn.xlookup(F73&amp;"-9",'PO item'!E:E,'PO item'!G:G),"")</f>
        <v/>
      </c>
      <c r="T73" s="137" t="str">
        <f aca="false">IFERROR(_xlfn.xlookup(F73&amp;"-10",'PO item'!E:E,'PO item'!G:G),"")</f>
        <v/>
      </c>
      <c r="U73" s="133"/>
      <c r="V73" s="131"/>
      <c r="W73" s="134"/>
      <c r="X73" s="134"/>
      <c r="Y73" s="129" t="n">
        <f aca="false">IFERROR(_xlfn.xlookup($F73&amp;"-"&amp;B73,'PO item'!$E:$E,'PO item'!$M:$M),0)</f>
        <v>0</v>
      </c>
      <c r="Z73" s="129" t="str">
        <f aca="false">IFERROR(_xlfn.xlookup(F73&amp;"-"&amp;B73,'PO item'!E:E,'PO item'!L:L),"")</f>
        <v/>
      </c>
      <c r="AA73" s="129" t="n">
        <f aca="false">IFERROR(_xlfn.xlookup($F73&amp;"-1",'PO item'!$E:$E,'PO item'!$N:$N),0)</f>
        <v>0</v>
      </c>
      <c r="AB73" s="135" t="n">
        <f aca="false">IFERROR(_xlfn.xlookup($F73&amp;"-1",'PO item'!$E:$E,'PO item'!$K:$K),0)</f>
        <v>0</v>
      </c>
      <c r="AC73" s="129" t="n">
        <f aca="false">IFERROR(_xlfn.xlookup($F73&amp;"-2",'PO item'!$E:$E,'PO item'!$N:$N),0)</f>
        <v>0</v>
      </c>
      <c r="AD73" s="135" t="n">
        <f aca="false">IFERROR(_xlfn.xlookup($F73&amp;"-2",'PO item'!$E:$E,'PO item'!$K:$K),0)</f>
        <v>0</v>
      </c>
      <c r="AE73" s="129" t="n">
        <f aca="false">IFERROR(_xlfn.xlookup($F73&amp;"-3",'PO item'!$E:$E,'PO item'!$N:$N),0)</f>
        <v>0</v>
      </c>
      <c r="AF73" s="135" t="n">
        <f aca="false">IFERROR(_xlfn.xlookup($F73&amp;"-3",'PO item'!$E:$E,'PO item'!$K:$K),0)</f>
        <v>0</v>
      </c>
      <c r="AG73" s="129" t="n">
        <f aca="false">IFERROR(_xlfn.xlookup($F73&amp;"-4",'PO item'!$E:$E,'PO item'!$N:$N),0)</f>
        <v>0</v>
      </c>
      <c r="AH73" s="135" t="n">
        <f aca="false">IFERROR(_xlfn.xlookup($F73&amp;"-4",'PO item'!$E:$E,'PO item'!$K:$K),0)</f>
        <v>0</v>
      </c>
      <c r="AI73" s="129" t="n">
        <f aca="false">IFERROR(_xlfn.xlookup($F73&amp;"-5",'PO item'!$E:$E,'PO item'!$N:$N),0)</f>
        <v>0</v>
      </c>
      <c r="AJ73" s="135" t="n">
        <f aca="false">IFERROR(_xlfn.xlookup($F73&amp;"-5",'PO item'!$E:$E,'PO item'!$K:$K),0)</f>
        <v>0</v>
      </c>
      <c r="AK73" s="136" t="n">
        <f aca="false">AB73*AA73+AD73*AC73+AF73*AE73+AH73*AG73+AJ73*AI73</f>
        <v>0</v>
      </c>
      <c r="AL73" s="134"/>
    </row>
    <row r="74" customFormat="false" ht="16.4" hidden="false" customHeight="false" outlineLevel="0" collapsed="false">
      <c r="A74" s="131"/>
      <c r="B74" s="129" t="n">
        <f aca="false">IF(AND(A74=A73,F74=F73),B73+1,1)</f>
        <v>1</v>
      </c>
      <c r="C74" s="129" t="str">
        <f aca="false">A74&amp;"-"&amp;B74</f>
        <v>-1</v>
      </c>
      <c r="D74" s="130" t="str">
        <f aca="false">IFERROR(_xlfn.xlookup(F74,'PO Client'!A:A,'PO Client'!E:E),"")</f>
        <v/>
      </c>
      <c r="E74" s="130" t="str">
        <f aca="false">IFERROR(_xlfn.xlookup('Liste BT'!F74,'PO Client'!A:A,'PO Client'!H:H),"")</f>
        <v/>
      </c>
      <c r="F74" s="129" t="n">
        <f aca="false">F73+1</f>
        <v>405</v>
      </c>
      <c r="G74" s="132"/>
      <c r="H74" s="129" t="n">
        <f aca="false">SUMIF('PO item'!D:D,VALUE(F74),'PO item'!O:O)</f>
        <v>0</v>
      </c>
      <c r="I74" s="129" t="n">
        <f aca="false">(AA74+AC74+AE74+AG74+AI74)*Y74</f>
        <v>0</v>
      </c>
      <c r="J74" s="129" t="n">
        <f aca="false">SUMIF('PO item'!D:D,VALUE(F74),'PO item'!Q:Q)</f>
        <v>0</v>
      </c>
      <c r="K74" s="130" t="str">
        <f aca="false">IFERROR(_xlfn.xlookup(F74&amp;"-1",'PO item'!E:E,'PO item'!G:G),"")</f>
        <v/>
      </c>
      <c r="L74" s="137" t="str">
        <f aca="false">IFERROR(_xlfn.xlookup(F74&amp;"-2",'PO item'!E:E,'PO item'!G:G),"")</f>
        <v/>
      </c>
      <c r="M74" s="137" t="str">
        <f aca="false">IFERROR(_xlfn.xlookup(F74&amp;"-3",'PO item'!E:E,'PO item'!G:G),"")</f>
        <v/>
      </c>
      <c r="N74" s="137" t="str">
        <f aca="false">IFERROR(_xlfn.xlookup(F74&amp;"-4",'PO item'!E:E,'PO item'!G:G),"")</f>
        <v/>
      </c>
      <c r="O74" s="137" t="str">
        <f aca="false">IFERROR(_xlfn.xlookup(F74&amp;"-5",'PO item'!E:E,'PO item'!G:G),"")</f>
        <v/>
      </c>
      <c r="P74" s="137" t="str">
        <f aca="false">IFERROR(_xlfn.xlookup(F74&amp;"-6",'PO item'!E:E,'PO item'!G:G),"")</f>
        <v/>
      </c>
      <c r="Q74" s="137" t="str">
        <f aca="false">IFERROR(_xlfn.xlookup(F74&amp;"-7",'PO item'!E:E,'PO item'!G:G),"")</f>
        <v/>
      </c>
      <c r="R74" s="137" t="str">
        <f aca="false">IFERROR(_xlfn.xlookup(F74&amp;"-8",'PO item'!E:E,'PO item'!G:G),"")</f>
        <v/>
      </c>
      <c r="S74" s="137" t="str">
        <f aca="false">IFERROR(_xlfn.xlookup(F74&amp;"-9",'PO item'!E:E,'PO item'!G:G),"")</f>
        <v/>
      </c>
      <c r="T74" s="137" t="str">
        <f aca="false">IFERROR(_xlfn.xlookup(F74&amp;"-10",'PO item'!E:E,'PO item'!G:G),"")</f>
        <v/>
      </c>
      <c r="U74" s="133"/>
      <c r="V74" s="131"/>
      <c r="W74" s="134"/>
      <c r="X74" s="134"/>
      <c r="Y74" s="129" t="n">
        <f aca="false">IFERROR(_xlfn.xlookup($F74&amp;"-"&amp;B74,'PO item'!$E:$E,'PO item'!$M:$M),0)</f>
        <v>0</v>
      </c>
      <c r="Z74" s="129" t="str">
        <f aca="false">IFERROR(_xlfn.xlookup(F74&amp;"-"&amp;B74,'PO item'!E:E,'PO item'!L:L),"")</f>
        <v/>
      </c>
      <c r="AA74" s="129" t="n">
        <f aca="false">IFERROR(_xlfn.xlookup($F74&amp;"-1",'PO item'!$E:$E,'PO item'!$N:$N),0)</f>
        <v>0</v>
      </c>
      <c r="AB74" s="135" t="n">
        <f aca="false">IFERROR(_xlfn.xlookup($F74&amp;"-1",'PO item'!$E:$E,'PO item'!$K:$K),0)</f>
        <v>0</v>
      </c>
      <c r="AC74" s="129" t="n">
        <f aca="false">IFERROR(_xlfn.xlookup($F74&amp;"-2",'PO item'!$E:$E,'PO item'!$N:$N),0)</f>
        <v>0</v>
      </c>
      <c r="AD74" s="135" t="n">
        <f aca="false">IFERROR(_xlfn.xlookup($F74&amp;"-2",'PO item'!$E:$E,'PO item'!$K:$K),0)</f>
        <v>0</v>
      </c>
      <c r="AE74" s="129" t="n">
        <f aca="false">IFERROR(_xlfn.xlookup($F74&amp;"-3",'PO item'!$E:$E,'PO item'!$N:$N),0)</f>
        <v>0</v>
      </c>
      <c r="AF74" s="135" t="n">
        <f aca="false">IFERROR(_xlfn.xlookup($F74&amp;"-3",'PO item'!$E:$E,'PO item'!$K:$K),0)</f>
        <v>0</v>
      </c>
      <c r="AG74" s="129" t="n">
        <f aca="false">IFERROR(_xlfn.xlookup($F74&amp;"-4",'PO item'!$E:$E,'PO item'!$N:$N),0)</f>
        <v>0</v>
      </c>
      <c r="AH74" s="135" t="n">
        <f aca="false">IFERROR(_xlfn.xlookup($F74&amp;"-4",'PO item'!$E:$E,'PO item'!$K:$K),0)</f>
        <v>0</v>
      </c>
      <c r="AI74" s="129" t="n">
        <f aca="false">IFERROR(_xlfn.xlookup($F74&amp;"-5",'PO item'!$E:$E,'PO item'!$N:$N),0)</f>
        <v>0</v>
      </c>
      <c r="AJ74" s="135" t="n">
        <f aca="false">IFERROR(_xlfn.xlookup($F74&amp;"-5",'PO item'!$E:$E,'PO item'!$K:$K),0)</f>
        <v>0</v>
      </c>
      <c r="AK74" s="136" t="n">
        <f aca="false">AB74*AA74+AD74*AC74+AF74*AE74+AH74*AG74+AJ74*AI74</f>
        <v>0</v>
      </c>
      <c r="AL74" s="134"/>
    </row>
    <row r="75" customFormat="false" ht="16.4" hidden="false" customHeight="false" outlineLevel="0" collapsed="false">
      <c r="A75" s="131"/>
      <c r="B75" s="129" t="n">
        <f aca="false">IF(AND(A75=A74,F75=F74),B74+1,1)</f>
        <v>1</v>
      </c>
      <c r="C75" s="129" t="str">
        <f aca="false">A75&amp;"-"&amp;B75</f>
        <v>-1</v>
      </c>
      <c r="D75" s="130" t="str">
        <f aca="false">IFERROR(_xlfn.xlookup(F75,'PO Client'!A:A,'PO Client'!E:E),"")</f>
        <v/>
      </c>
      <c r="E75" s="130" t="str">
        <f aca="false">IFERROR(_xlfn.xlookup('Liste BT'!F75,'PO Client'!A:A,'PO Client'!H:H),"")</f>
        <v/>
      </c>
      <c r="F75" s="129" t="n">
        <f aca="false">F74+1</f>
        <v>406</v>
      </c>
      <c r="G75" s="132"/>
      <c r="H75" s="129" t="n">
        <f aca="false">SUMIF('PO item'!D:D,VALUE(F75),'PO item'!O:O)</f>
        <v>0</v>
      </c>
      <c r="I75" s="129" t="n">
        <f aca="false">(AA75+AC75+AE75+AG75+AI75)*Y75</f>
        <v>0</v>
      </c>
      <c r="J75" s="129" t="n">
        <f aca="false">SUMIF('PO item'!D:D,VALUE(F75),'PO item'!Q:Q)</f>
        <v>0</v>
      </c>
      <c r="K75" s="130" t="str">
        <f aca="false">IFERROR(_xlfn.xlookup(F75&amp;"-1",'PO item'!E:E,'PO item'!G:G),"")</f>
        <v/>
      </c>
      <c r="L75" s="137" t="str">
        <f aca="false">IFERROR(_xlfn.xlookup(F75&amp;"-2",'PO item'!E:E,'PO item'!G:G),"")</f>
        <v/>
      </c>
      <c r="M75" s="137" t="str">
        <f aca="false">IFERROR(_xlfn.xlookup(F75&amp;"-3",'PO item'!E:E,'PO item'!G:G),"")</f>
        <v/>
      </c>
      <c r="N75" s="137" t="str">
        <f aca="false">IFERROR(_xlfn.xlookup(F75&amp;"-4",'PO item'!E:E,'PO item'!G:G),"")</f>
        <v/>
      </c>
      <c r="O75" s="137" t="str">
        <f aca="false">IFERROR(_xlfn.xlookup(F75&amp;"-5",'PO item'!E:E,'PO item'!G:G),"")</f>
        <v/>
      </c>
      <c r="P75" s="137" t="str">
        <f aca="false">IFERROR(_xlfn.xlookup(F75&amp;"-6",'PO item'!E:E,'PO item'!G:G),"")</f>
        <v/>
      </c>
      <c r="Q75" s="137" t="str">
        <f aca="false">IFERROR(_xlfn.xlookup(F75&amp;"-7",'PO item'!E:E,'PO item'!G:G),"")</f>
        <v/>
      </c>
      <c r="R75" s="137" t="str">
        <f aca="false">IFERROR(_xlfn.xlookup(F75&amp;"-8",'PO item'!E:E,'PO item'!G:G),"")</f>
        <v/>
      </c>
      <c r="S75" s="137" t="str">
        <f aca="false">IFERROR(_xlfn.xlookup(F75&amp;"-9",'PO item'!E:E,'PO item'!G:G),"")</f>
        <v/>
      </c>
      <c r="T75" s="137" t="str">
        <f aca="false">IFERROR(_xlfn.xlookup(F75&amp;"-10",'PO item'!E:E,'PO item'!G:G),"")</f>
        <v/>
      </c>
      <c r="U75" s="133"/>
      <c r="V75" s="131"/>
      <c r="W75" s="134"/>
      <c r="X75" s="134"/>
      <c r="Y75" s="129" t="n">
        <f aca="false">IFERROR(_xlfn.xlookup($F75&amp;"-"&amp;B75,'PO item'!$E:$E,'PO item'!$M:$M),0)</f>
        <v>0</v>
      </c>
      <c r="Z75" s="129" t="str">
        <f aca="false">IFERROR(_xlfn.xlookup(F75&amp;"-"&amp;B75,'PO item'!E:E,'PO item'!L:L),"")</f>
        <v/>
      </c>
      <c r="AA75" s="129" t="n">
        <f aca="false">IFERROR(_xlfn.xlookup($F75&amp;"-1",'PO item'!$E:$E,'PO item'!$N:$N),0)</f>
        <v>0</v>
      </c>
      <c r="AB75" s="135" t="n">
        <f aca="false">IFERROR(_xlfn.xlookup($F75&amp;"-1",'PO item'!$E:$E,'PO item'!$K:$K),0)</f>
        <v>0</v>
      </c>
      <c r="AC75" s="129" t="n">
        <f aca="false">IFERROR(_xlfn.xlookup($F75&amp;"-2",'PO item'!$E:$E,'PO item'!$N:$N),0)</f>
        <v>0</v>
      </c>
      <c r="AD75" s="135" t="n">
        <f aca="false">IFERROR(_xlfn.xlookup($F75&amp;"-2",'PO item'!$E:$E,'PO item'!$K:$K),0)</f>
        <v>0</v>
      </c>
      <c r="AE75" s="129" t="n">
        <f aca="false">IFERROR(_xlfn.xlookup($F75&amp;"-3",'PO item'!$E:$E,'PO item'!$N:$N),0)</f>
        <v>0</v>
      </c>
      <c r="AF75" s="135" t="n">
        <f aca="false">IFERROR(_xlfn.xlookup($F75&amp;"-3",'PO item'!$E:$E,'PO item'!$K:$K),0)</f>
        <v>0</v>
      </c>
      <c r="AG75" s="129" t="n">
        <f aca="false">IFERROR(_xlfn.xlookup($F75&amp;"-4",'PO item'!$E:$E,'PO item'!$N:$N),0)</f>
        <v>0</v>
      </c>
      <c r="AH75" s="135" t="n">
        <f aca="false">IFERROR(_xlfn.xlookup($F75&amp;"-4",'PO item'!$E:$E,'PO item'!$K:$K),0)</f>
        <v>0</v>
      </c>
      <c r="AI75" s="129" t="n">
        <f aca="false">IFERROR(_xlfn.xlookup($F75&amp;"-5",'PO item'!$E:$E,'PO item'!$N:$N),0)</f>
        <v>0</v>
      </c>
      <c r="AJ75" s="135" t="n">
        <f aca="false">IFERROR(_xlfn.xlookup($F75&amp;"-5",'PO item'!$E:$E,'PO item'!$K:$K),0)</f>
        <v>0</v>
      </c>
      <c r="AK75" s="136" t="n">
        <f aca="false">AB75*AA75+AD75*AC75+AF75*AE75+AH75*AG75+AJ75*AI75</f>
        <v>0</v>
      </c>
      <c r="AL75" s="134"/>
    </row>
    <row r="76" customFormat="false" ht="16.4" hidden="false" customHeight="false" outlineLevel="0" collapsed="false">
      <c r="A76" s="131"/>
      <c r="B76" s="129" t="n">
        <f aca="false">IF(AND(A76=A75,F76=F75),B75+1,1)</f>
        <v>1</v>
      </c>
      <c r="C76" s="129" t="str">
        <f aca="false">A76&amp;"-"&amp;B76</f>
        <v>-1</v>
      </c>
      <c r="D76" s="130" t="str">
        <f aca="false">IFERROR(_xlfn.xlookup(F76,'PO Client'!A:A,'PO Client'!E:E),"")</f>
        <v/>
      </c>
      <c r="E76" s="130" t="str">
        <f aca="false">IFERROR(_xlfn.xlookup('Liste BT'!F76,'PO Client'!A:A,'PO Client'!H:H),"")</f>
        <v/>
      </c>
      <c r="F76" s="129" t="n">
        <f aca="false">F75+1</f>
        <v>407</v>
      </c>
      <c r="G76" s="132"/>
      <c r="H76" s="129" t="n">
        <f aca="false">SUMIF('PO item'!D:D,VALUE(F76),'PO item'!O:O)</f>
        <v>0</v>
      </c>
      <c r="I76" s="129" t="n">
        <f aca="false">(AA76+AC76+AE76+AG76+AI76)*Y76</f>
        <v>0</v>
      </c>
      <c r="J76" s="129" t="n">
        <f aca="false">SUMIF('PO item'!D:D,VALUE(F76),'PO item'!Q:Q)</f>
        <v>0</v>
      </c>
      <c r="K76" s="130" t="str">
        <f aca="false">IFERROR(_xlfn.xlookup(F76&amp;"-1",'PO item'!E:E,'PO item'!G:G),"")</f>
        <v/>
      </c>
      <c r="L76" s="137" t="str">
        <f aca="false">IFERROR(_xlfn.xlookup(F76&amp;"-2",'PO item'!E:E,'PO item'!G:G),"")</f>
        <v/>
      </c>
      <c r="M76" s="137" t="str">
        <f aca="false">IFERROR(_xlfn.xlookup(F76&amp;"-3",'PO item'!E:E,'PO item'!G:G),"")</f>
        <v/>
      </c>
      <c r="N76" s="137" t="str">
        <f aca="false">IFERROR(_xlfn.xlookup(F76&amp;"-4",'PO item'!E:E,'PO item'!G:G),"")</f>
        <v/>
      </c>
      <c r="O76" s="137" t="str">
        <f aca="false">IFERROR(_xlfn.xlookup(F76&amp;"-5",'PO item'!E:E,'PO item'!G:G),"")</f>
        <v/>
      </c>
      <c r="P76" s="137" t="str">
        <f aca="false">IFERROR(_xlfn.xlookup(F76&amp;"-6",'PO item'!E:E,'PO item'!G:G),"")</f>
        <v/>
      </c>
      <c r="Q76" s="137" t="str">
        <f aca="false">IFERROR(_xlfn.xlookup(F76&amp;"-7",'PO item'!E:E,'PO item'!G:G),"")</f>
        <v/>
      </c>
      <c r="R76" s="137" t="str">
        <f aca="false">IFERROR(_xlfn.xlookup(F76&amp;"-8",'PO item'!E:E,'PO item'!G:G),"")</f>
        <v/>
      </c>
      <c r="S76" s="137" t="str">
        <f aca="false">IFERROR(_xlfn.xlookup(F76&amp;"-9",'PO item'!E:E,'PO item'!G:G),"")</f>
        <v/>
      </c>
      <c r="T76" s="137" t="str">
        <f aca="false">IFERROR(_xlfn.xlookup(F76&amp;"-10",'PO item'!E:E,'PO item'!G:G),"")</f>
        <v/>
      </c>
      <c r="U76" s="133"/>
      <c r="V76" s="131"/>
      <c r="W76" s="134"/>
      <c r="X76" s="134"/>
      <c r="Y76" s="129" t="n">
        <f aca="false">IFERROR(_xlfn.xlookup($F76&amp;"-"&amp;B76,'PO item'!$E:$E,'PO item'!$M:$M),0)</f>
        <v>0</v>
      </c>
      <c r="Z76" s="129" t="str">
        <f aca="false">IFERROR(_xlfn.xlookup(F76&amp;"-"&amp;B76,'PO item'!E:E,'PO item'!L:L),"")</f>
        <v/>
      </c>
      <c r="AA76" s="129" t="n">
        <f aca="false">IFERROR(_xlfn.xlookup($F76&amp;"-1",'PO item'!$E:$E,'PO item'!$N:$N),0)</f>
        <v>0</v>
      </c>
      <c r="AB76" s="135" t="n">
        <f aca="false">IFERROR(_xlfn.xlookup($F76&amp;"-1",'PO item'!$E:$E,'PO item'!$K:$K),0)</f>
        <v>0</v>
      </c>
      <c r="AC76" s="129" t="n">
        <f aca="false">IFERROR(_xlfn.xlookup($F76&amp;"-2",'PO item'!$E:$E,'PO item'!$N:$N),0)</f>
        <v>0</v>
      </c>
      <c r="AD76" s="135" t="n">
        <f aca="false">IFERROR(_xlfn.xlookup($F76&amp;"-2",'PO item'!$E:$E,'PO item'!$K:$K),0)</f>
        <v>0</v>
      </c>
      <c r="AE76" s="129" t="n">
        <f aca="false">IFERROR(_xlfn.xlookup($F76&amp;"-3",'PO item'!$E:$E,'PO item'!$N:$N),0)</f>
        <v>0</v>
      </c>
      <c r="AF76" s="135" t="n">
        <f aca="false">IFERROR(_xlfn.xlookup($F76&amp;"-3",'PO item'!$E:$E,'PO item'!$K:$K),0)</f>
        <v>0</v>
      </c>
      <c r="AG76" s="129" t="n">
        <f aca="false">IFERROR(_xlfn.xlookup($F76&amp;"-4",'PO item'!$E:$E,'PO item'!$N:$N),0)</f>
        <v>0</v>
      </c>
      <c r="AH76" s="135" t="n">
        <f aca="false">IFERROR(_xlfn.xlookup($F76&amp;"-4",'PO item'!$E:$E,'PO item'!$K:$K),0)</f>
        <v>0</v>
      </c>
      <c r="AI76" s="129" t="n">
        <f aca="false">IFERROR(_xlfn.xlookup($F76&amp;"-5",'PO item'!$E:$E,'PO item'!$N:$N),0)</f>
        <v>0</v>
      </c>
      <c r="AJ76" s="135" t="n">
        <f aca="false">IFERROR(_xlfn.xlookup($F76&amp;"-5",'PO item'!$E:$E,'PO item'!$K:$K),0)</f>
        <v>0</v>
      </c>
      <c r="AK76" s="136" t="n">
        <f aca="false">AB76*AA76+AD76*AC76+AF76*AE76+AH76*AG76+AJ76*AI76</f>
        <v>0</v>
      </c>
      <c r="AL76" s="134"/>
    </row>
  </sheetData>
  <mergeCells count="1">
    <mergeCell ref="K1:U1"/>
  </mergeCells>
  <conditionalFormatting sqref="L46:U76">
    <cfRule type="expression" priority="2" aboveAverage="0" equalAverage="0" bottom="0" percent="0" rank="0" text="" dxfId="7">
      <formula>AND(L46&lt;&gt;K46, L46&lt;&gt;"")</formula>
    </cfRule>
  </conditionalFormatting>
  <conditionalFormatting sqref="L45:U45">
    <cfRule type="expression" priority="3" aboveAverage="0" equalAverage="0" bottom="0" percent="0" rank="0" text="" dxfId="8">
      <formula>AND(L45&lt;&gt;K45, L45&lt;&gt;"")</formula>
    </cfRule>
  </conditionalFormatting>
  <conditionalFormatting sqref="L2:U44">
    <cfRule type="expression" priority="4" aboveAverage="0" equalAverage="0" bottom="0" percent="0" rank="0" text="" dxfId="9">
      <formula>AND(L2&lt;&gt;K2, L2&lt;&gt;"")</formula>
    </cfRule>
  </conditionalFormatting>
  <conditionalFormatting sqref="J2:J76">
    <cfRule type="expression" priority="5" aboveAverage="0" equalAverage="0" bottom="0" percent="0" rank="0" text="" dxfId="10">
      <formula>H2&lt;&gt;I2</formula>
    </cfRule>
  </conditionalFormatting>
  <conditionalFormatting sqref="I2:I76">
    <cfRule type="expression" priority="6" aboveAverage="0" equalAverage="0" bottom="0" percent="0" rank="0" text="" dxfId="11">
      <formula>H2&lt;&gt;I2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5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3" activeCellId="0" sqref="G23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21.86"/>
    <col collapsed="false" customWidth="true" hidden="false" outlineLevel="0" max="2" min="2" style="0" width="24.86"/>
    <col collapsed="false" customWidth="true" hidden="true" outlineLevel="0" max="4" min="3" style="0" width="9.14"/>
    <col collapsed="false" customWidth="true" hidden="false" outlineLevel="0" max="5" min="5" style="0" width="11.86"/>
  </cols>
  <sheetData>
    <row r="1" customFormat="false" ht="15" hidden="false" customHeight="false" outlineLevel="0" collapsed="false">
      <c r="A1" s="138" t="s">
        <v>0</v>
      </c>
      <c r="B1" s="139" t="n">
        <v>88</v>
      </c>
      <c r="C1" s="45" t="n">
        <f aca="false">_xlfn.xlookup($B$1,'Liste BT'!A:A,'Liste BT'!F:F)</f>
        <v>389</v>
      </c>
      <c r="E1" s="45" t="str">
        <f aca="false">"Dernier BT: "&amp;MAX('Liste BT'!A:A)</f>
        <v>Dernier BT: 88</v>
      </c>
    </row>
    <row r="2" customFormat="false" ht="15" hidden="false" customHeight="false" outlineLevel="0" collapsed="false">
      <c r="A2" s="138" t="s">
        <v>821</v>
      </c>
      <c r="B2" s="139" t="n">
        <f aca="false">_xlfn.xlookup(B7,[1]Clients!C$1:C$1048576,[1]Clients!W$1:W$1048576)</f>
        <v>0</v>
      </c>
      <c r="C2" s="45"/>
    </row>
    <row r="3" customFormat="false" ht="15" hidden="false" customHeight="false" outlineLevel="0" collapsed="false">
      <c r="A3" s="138" t="s">
        <v>682</v>
      </c>
      <c r="B3" s="140" t="str">
        <f aca="false">_xlfn.xlookup(B7,[1]Clients!C$1:C$1048576,[1]Clients!D$1:D$1048576)</f>
        <v>A</v>
      </c>
      <c r="C3" s="45"/>
    </row>
    <row r="4" customFormat="false" ht="15" hidden="false" customHeight="false" outlineLevel="0" collapsed="false">
      <c r="A4" s="138" t="s">
        <v>822</v>
      </c>
      <c r="B4" s="140" t="n">
        <f aca="false">_xlfn.xlookup($B$1,'Liste BT'!A:A,'Liste BT'!F:F)</f>
        <v>389</v>
      </c>
      <c r="C4" s="45"/>
    </row>
    <row r="5" customFormat="false" ht="15" hidden="false" customHeight="false" outlineLevel="0" collapsed="false">
      <c r="A5" s="138" t="s">
        <v>823</v>
      </c>
      <c r="B5" s="141" t="n">
        <f aca="false">_xlfn.xlookup($B$1,'Liste BT'!A:A,'Liste BT'!G:G)</f>
        <v>45733</v>
      </c>
    </row>
    <row r="6" customFormat="false" ht="15" hidden="false" customHeight="false" outlineLevel="0" collapsed="false">
      <c r="A6" s="138" t="s">
        <v>824</v>
      </c>
      <c r="B6" s="142" t="n">
        <f aca="false">IFERROR(_xlfn.xlookup($C$1,'PO Client'!A:A,'PO Client'!J:J),"")</f>
        <v>45740</v>
      </c>
    </row>
    <row r="7" customFormat="false" ht="15" hidden="false" customHeight="false" outlineLevel="0" collapsed="false">
      <c r="A7" s="138" t="s">
        <v>425</v>
      </c>
      <c r="B7" s="140" t="str">
        <f aca="false">_xlfn.xlookup($B$1,'Liste BT'!A:A,'Liste BT'!D:D)</f>
        <v>Mijo</v>
      </c>
    </row>
    <row r="8" customFormat="false" ht="15" hidden="false" customHeight="false" outlineLevel="0" collapsed="false">
      <c r="A8" s="138" t="s">
        <v>825</v>
      </c>
      <c r="B8" s="143" t="n">
        <f aca="false">_xlfn.xlookup($B$1,'Liste BT'!A:A,'Liste BT'!E:E)</f>
        <v>14395</v>
      </c>
    </row>
    <row r="9" customFormat="false" ht="15" hidden="false" customHeight="false" outlineLevel="0" collapsed="false">
      <c r="A9" s="138" t="s">
        <v>826</v>
      </c>
      <c r="B9" s="138" t="str">
        <f aca="false">_xlfn.xlookup($B$1,'Liste BT'!A:A,'Liste BT'!K:K)</f>
        <v>S15</v>
      </c>
    </row>
    <row r="10" customFormat="false" ht="15" hidden="false" customHeight="false" outlineLevel="0" collapsed="false">
      <c r="A10" s="138" t="s">
        <v>827</v>
      </c>
      <c r="B10" s="138" t="str">
        <f aca="false">_xlfn.xlookup(B9,[1]Matières!A$1:A$1048576,[1]Matières!I$1:I$1048576)</f>
        <v>SG - Acrylic Adhesive</v>
      </c>
    </row>
    <row r="11" customFormat="false" ht="15" hidden="false" customHeight="false" outlineLevel="0" collapsed="false">
      <c r="A11" s="138" t="s">
        <v>697</v>
      </c>
      <c r="B11" s="140" t="str">
        <f aca="false">_xlfn.xlookup($B$1,'Liste BT'!A:A,'Liste BT'!V:V)</f>
        <v>S15-3</v>
      </c>
    </row>
    <row r="12" customFormat="false" ht="15" hidden="false" customHeight="false" outlineLevel="0" collapsed="false">
      <c r="A12" s="138" t="s">
        <v>698</v>
      </c>
      <c r="B12" s="140" t="str">
        <f aca="false">_xlfn.xlookup($B$1,'Liste BT'!A:A,'Liste BT'!W:W)</f>
        <v>10064-S15</v>
      </c>
    </row>
    <row r="13" customFormat="false" ht="15" hidden="false" customHeight="false" outlineLevel="0" collapsed="false">
      <c r="A13" s="138" t="s">
        <v>699</v>
      </c>
      <c r="B13" s="140" t="str">
        <f aca="false">_xlfn.xlookup($B$1,'Liste BT'!A:A,'Liste BT'!X:X)</f>
        <v>NOUV. ROUL.</v>
      </c>
    </row>
    <row r="14" customFormat="false" ht="15" hidden="false" customHeight="false" outlineLevel="0" collapsed="false">
      <c r="A14" s="138" t="s">
        <v>828</v>
      </c>
      <c r="B14" s="140" t="n">
        <f aca="false">SUMIF('Liste BT'!A:A,B1,'Liste BT'!H:H)</f>
        <v>7</v>
      </c>
    </row>
    <row r="15" customFormat="false" ht="15" hidden="false" customHeight="false" outlineLevel="0" collapsed="false">
      <c r="A15" s="138" t="s">
        <v>829</v>
      </c>
      <c r="B15" s="140" t="n">
        <f aca="false">SUMIF('Liste BT'!A:A,B1,'Liste BT'!J:J)</f>
        <v>70000</v>
      </c>
    </row>
    <row r="16" customFormat="false" ht="15" hidden="false" customHeight="false" outlineLevel="0" collapsed="false">
      <c r="A16" s="138" t="s">
        <v>830</v>
      </c>
      <c r="B16" s="140" t="n">
        <f aca="false">_xlfn.xlookup(C16,'Liste BT'!C:C,'Liste BT'!Y:Y)</f>
        <v>1</v>
      </c>
      <c r="C16" s="144" t="str">
        <f aca="false">$B$1&amp;"-"&amp;D16</f>
        <v>88-1</v>
      </c>
      <c r="D16" s="1" t="n">
        <v>1</v>
      </c>
    </row>
    <row r="17" customFormat="false" ht="15" hidden="false" customHeight="false" outlineLevel="0" collapsed="false">
      <c r="A17" s="138" t="s">
        <v>435</v>
      </c>
      <c r="B17" s="140" t="n">
        <f aca="false">_xlfn.xlookup(C17,'Liste BT'!C:C,'Liste BT'!Z:Z)</f>
        <v>10000</v>
      </c>
      <c r="C17" s="144" t="str">
        <f aca="false">$B$1&amp;"-"&amp;D17</f>
        <v>88-1</v>
      </c>
      <c r="D17" s="1" t="n">
        <v>1</v>
      </c>
    </row>
    <row r="18" customFormat="false" ht="15" hidden="false" customHeight="false" outlineLevel="0" collapsed="false">
      <c r="A18" s="138" t="s">
        <v>831</v>
      </c>
      <c r="B18" s="140" t="n">
        <f aca="false">_xlfn.xlookup(C18,'Liste BT'!C:C,'Liste BT'!AB:AB)</f>
        <v>8</v>
      </c>
      <c r="C18" s="144" t="str">
        <f aca="false">$B$1&amp;"-"&amp;D18</f>
        <v>88-1</v>
      </c>
      <c r="D18" s="1" t="n">
        <v>1</v>
      </c>
    </row>
    <row r="19" customFormat="false" ht="15" hidden="false" customHeight="false" outlineLevel="0" collapsed="false">
      <c r="A19" s="138" t="s">
        <v>832</v>
      </c>
      <c r="B19" s="140" t="n">
        <f aca="false">_xlfn.xlookup(C19,'Liste BT'!C:C,'Liste BT'!AA:AA)</f>
        <v>6</v>
      </c>
      <c r="C19" s="144" t="str">
        <f aca="false">$B$1&amp;"-"&amp;D19</f>
        <v>88-1</v>
      </c>
      <c r="D19" s="1" t="n">
        <v>1</v>
      </c>
    </row>
    <row r="20" customFormat="false" ht="15" hidden="false" customHeight="false" outlineLevel="0" collapsed="false">
      <c r="A20" s="138" t="s">
        <v>833</v>
      </c>
      <c r="B20" s="140" t="n">
        <f aca="false">_xlfn.xlookup(C20,'Liste BT'!C:C,'Liste BT'!AD:AD)</f>
        <v>12</v>
      </c>
      <c r="C20" s="144" t="str">
        <f aca="false">$B$1&amp;"-"&amp;D20</f>
        <v>88-1</v>
      </c>
      <c r="D20" s="1" t="n">
        <v>1</v>
      </c>
    </row>
    <row r="21" customFormat="false" ht="15" hidden="false" customHeight="false" outlineLevel="0" collapsed="false">
      <c r="A21" s="138" t="s">
        <v>834</v>
      </c>
      <c r="B21" s="140" t="n">
        <f aca="false">_xlfn.xlookup(C21,'Liste BT'!C:C,'Liste BT'!AC:AC)</f>
        <v>1</v>
      </c>
      <c r="C21" s="144" t="str">
        <f aca="false">$B$1&amp;"-"&amp;D21</f>
        <v>88-1</v>
      </c>
      <c r="D21" s="1" t="n">
        <v>1</v>
      </c>
    </row>
    <row r="22" customFormat="false" ht="15" hidden="false" customHeight="false" outlineLevel="0" collapsed="false">
      <c r="A22" s="138" t="s">
        <v>835</v>
      </c>
      <c r="B22" s="140" t="n">
        <f aca="false">_xlfn.xlookup(C22,'Liste BT'!C:C,'Liste BT'!AF:AF)</f>
        <v>0</v>
      </c>
      <c r="C22" s="144" t="str">
        <f aca="false">$B$1&amp;"-"&amp;D22</f>
        <v>88-1</v>
      </c>
      <c r="D22" s="1" t="n">
        <v>1</v>
      </c>
    </row>
    <row r="23" customFormat="false" ht="15" hidden="false" customHeight="false" outlineLevel="0" collapsed="false">
      <c r="A23" s="138" t="s">
        <v>836</v>
      </c>
      <c r="B23" s="140" t="n">
        <f aca="false">_xlfn.xlookup(C23,'Liste BT'!C:C,'Liste BT'!AE:AE)</f>
        <v>0</v>
      </c>
      <c r="C23" s="144" t="str">
        <f aca="false">$B$1&amp;"-"&amp;D23</f>
        <v>88-1</v>
      </c>
      <c r="D23" s="1" t="n">
        <v>1</v>
      </c>
    </row>
    <row r="24" customFormat="false" ht="15" hidden="false" customHeight="false" outlineLevel="0" collapsed="false">
      <c r="A24" s="138" t="s">
        <v>837</v>
      </c>
      <c r="B24" s="140" t="n">
        <f aca="false">_xlfn.xlookup(C24,'Liste BT'!C:C,'Liste BT'!AH:AH)</f>
        <v>0</v>
      </c>
      <c r="C24" s="144" t="str">
        <f aca="false">$B$1&amp;"-"&amp;D24</f>
        <v>88-1</v>
      </c>
      <c r="D24" s="1" t="n">
        <v>1</v>
      </c>
    </row>
    <row r="25" customFormat="false" ht="15" hidden="false" customHeight="false" outlineLevel="0" collapsed="false">
      <c r="A25" s="138" t="s">
        <v>838</v>
      </c>
      <c r="B25" s="140" t="n">
        <f aca="false">_xlfn.xlookup(C25,'Liste BT'!C:C,'Liste BT'!AG:AG)</f>
        <v>0</v>
      </c>
      <c r="C25" s="144" t="str">
        <f aca="false">$B$1&amp;"-"&amp;D25</f>
        <v>88-1</v>
      </c>
      <c r="D25" s="1" t="n">
        <v>1</v>
      </c>
    </row>
    <row r="26" customFormat="false" ht="15" hidden="false" customHeight="false" outlineLevel="0" collapsed="false">
      <c r="A26" s="138" t="s">
        <v>839</v>
      </c>
      <c r="B26" s="140" t="n">
        <f aca="false">_xlfn.xlookup(C26,'Liste BT'!C:C,'Liste BT'!AJ:AJ)</f>
        <v>0</v>
      </c>
      <c r="C26" s="144" t="str">
        <f aca="false">$B$1&amp;"-"&amp;D26</f>
        <v>88-1</v>
      </c>
      <c r="D26" s="1" t="n">
        <v>1</v>
      </c>
    </row>
    <row r="27" customFormat="false" ht="15" hidden="false" customHeight="false" outlineLevel="0" collapsed="false">
      <c r="A27" s="138" t="s">
        <v>840</v>
      </c>
      <c r="B27" s="140" t="n">
        <f aca="false">_xlfn.xlookup(C27,'Liste BT'!C:C,'Liste BT'!AI:AI)</f>
        <v>0</v>
      </c>
      <c r="C27" s="144" t="str">
        <f aca="false">$B$1&amp;"-"&amp;D27</f>
        <v>88-1</v>
      </c>
      <c r="D27" s="1" t="n">
        <v>1</v>
      </c>
    </row>
    <row r="28" customFormat="false" ht="15" hidden="false" customHeight="false" outlineLevel="0" collapsed="false">
      <c r="A28" s="138" t="s">
        <v>841</v>
      </c>
      <c r="B28" s="140" t="n">
        <f aca="false">_xlfn.xlookup(C28,'Liste BT'!C:C,'Liste BT'!AL:AL)</f>
        <v>0</v>
      </c>
      <c r="C28" s="144" t="str">
        <f aca="false">$B$1&amp;"-"&amp;D28</f>
        <v>88-1</v>
      </c>
      <c r="D28" s="1" t="n">
        <v>1</v>
      </c>
    </row>
    <row r="29" customFormat="false" ht="15" hidden="false" customHeight="false" outlineLevel="0" collapsed="false">
      <c r="A29" s="138" t="s">
        <v>830</v>
      </c>
      <c r="B29" s="140" t="n">
        <f aca="false">IFERROR(_xlfn.xlookup(C29,'Liste BT'!C:C,'Liste BT'!Y:Y),0)</f>
        <v>0</v>
      </c>
      <c r="C29" s="144" t="str">
        <f aca="false">$B$1&amp;"-"&amp;D29</f>
        <v>88-2</v>
      </c>
      <c r="D29" s="1" t="n">
        <v>2</v>
      </c>
    </row>
    <row r="30" customFormat="false" ht="15" hidden="false" customHeight="false" outlineLevel="0" collapsed="false">
      <c r="A30" s="138" t="s">
        <v>435</v>
      </c>
      <c r="B30" s="140" t="n">
        <f aca="false">IFERROR(_xlfn.xlookup(C30,'Liste BT'!C:C,'Liste BT'!Z:Z),0)</f>
        <v>0</v>
      </c>
      <c r="C30" s="144" t="str">
        <f aca="false">$B$1&amp;"-"&amp;D30</f>
        <v>88-2</v>
      </c>
      <c r="D30" s="1" t="n">
        <v>2</v>
      </c>
    </row>
    <row r="31" customFormat="false" ht="15" hidden="false" customHeight="false" outlineLevel="0" collapsed="false">
      <c r="A31" s="138" t="s">
        <v>831</v>
      </c>
      <c r="B31" s="140" t="n">
        <f aca="false">IFERROR(_xlfn.xlookup(C31,'Liste BT'!C:C,'Liste BT'!AB:AB),0)</f>
        <v>0</v>
      </c>
      <c r="C31" s="144" t="str">
        <f aca="false">$B$1&amp;"-"&amp;D31</f>
        <v>88-2</v>
      </c>
      <c r="D31" s="1" t="n">
        <v>2</v>
      </c>
    </row>
    <row r="32" customFormat="false" ht="15" hidden="false" customHeight="false" outlineLevel="0" collapsed="false">
      <c r="A32" s="138" t="s">
        <v>832</v>
      </c>
      <c r="B32" s="140" t="n">
        <f aca="false">IFERROR(_xlfn.xlookup(C32,'Liste BT'!C:C,'Liste BT'!AA:AA),0)</f>
        <v>0</v>
      </c>
      <c r="C32" s="144" t="str">
        <f aca="false">$B$1&amp;"-"&amp;D32</f>
        <v>88-2</v>
      </c>
      <c r="D32" s="1" t="n">
        <v>2</v>
      </c>
    </row>
    <row r="33" customFormat="false" ht="15" hidden="false" customHeight="false" outlineLevel="0" collapsed="false">
      <c r="A33" s="138" t="s">
        <v>833</v>
      </c>
      <c r="B33" s="140" t="n">
        <f aca="false">IFERROR(_xlfn.xlookup(C33,'Liste BT'!C:C,'Liste BT'!AD:AD),0)</f>
        <v>0</v>
      </c>
      <c r="C33" s="144" t="str">
        <f aca="false">$B$1&amp;"-"&amp;D33</f>
        <v>88-2</v>
      </c>
      <c r="D33" s="1" t="n">
        <v>2</v>
      </c>
    </row>
    <row r="34" customFormat="false" ht="15" hidden="false" customHeight="false" outlineLevel="0" collapsed="false">
      <c r="A34" s="138" t="s">
        <v>834</v>
      </c>
      <c r="B34" s="140" t="n">
        <f aca="false">IFERROR(_xlfn.xlookup(C34,'Liste BT'!C:C,'Liste BT'!AC:AC),0)</f>
        <v>0</v>
      </c>
      <c r="C34" s="144" t="str">
        <f aca="false">$B$1&amp;"-"&amp;D34</f>
        <v>88-2</v>
      </c>
      <c r="D34" s="1" t="n">
        <v>2</v>
      </c>
    </row>
    <row r="35" customFormat="false" ht="15" hidden="false" customHeight="false" outlineLevel="0" collapsed="false">
      <c r="A35" s="138" t="s">
        <v>835</v>
      </c>
      <c r="B35" s="140" t="n">
        <f aca="false">IFERROR(_xlfn.xlookup(C35,'Liste BT'!C:C,'Liste BT'!AF:AF),0)</f>
        <v>0</v>
      </c>
      <c r="C35" s="144" t="str">
        <f aca="false">$B$1&amp;"-"&amp;D35</f>
        <v>88-2</v>
      </c>
      <c r="D35" s="1" t="n">
        <v>2</v>
      </c>
    </row>
    <row r="36" customFormat="false" ht="15" hidden="false" customHeight="false" outlineLevel="0" collapsed="false">
      <c r="A36" s="138" t="s">
        <v>836</v>
      </c>
      <c r="B36" s="140" t="n">
        <f aca="false">IFERROR(_xlfn.xlookup(C36,'Liste BT'!C:C,'Liste BT'!AE:AE),0)</f>
        <v>0</v>
      </c>
      <c r="C36" s="144" t="str">
        <f aca="false">$B$1&amp;"-"&amp;D36</f>
        <v>88-2</v>
      </c>
      <c r="D36" s="1" t="n">
        <v>2</v>
      </c>
    </row>
    <row r="37" customFormat="false" ht="15" hidden="false" customHeight="false" outlineLevel="0" collapsed="false">
      <c r="A37" s="138" t="s">
        <v>837</v>
      </c>
      <c r="B37" s="140" t="n">
        <f aca="false">IFERROR(_xlfn.xlookup(C37,'Liste BT'!C:C,'Liste BT'!AH:AH),0)</f>
        <v>0</v>
      </c>
      <c r="C37" s="144" t="str">
        <f aca="false">$B$1&amp;"-"&amp;D37</f>
        <v>88-2</v>
      </c>
      <c r="D37" s="1" t="n">
        <v>2</v>
      </c>
    </row>
    <row r="38" customFormat="false" ht="15" hidden="false" customHeight="false" outlineLevel="0" collapsed="false">
      <c r="A38" s="138" t="s">
        <v>838</v>
      </c>
      <c r="B38" s="140" t="n">
        <f aca="false">IFERROR(_xlfn.xlookup(C38,'Liste BT'!C:C,'Liste BT'!AG:AG),0)</f>
        <v>0</v>
      </c>
      <c r="C38" s="144" t="str">
        <f aca="false">$B$1&amp;"-"&amp;D38</f>
        <v>88-2</v>
      </c>
      <c r="D38" s="1" t="n">
        <v>2</v>
      </c>
    </row>
    <row r="39" customFormat="false" ht="15" hidden="false" customHeight="false" outlineLevel="0" collapsed="false">
      <c r="A39" s="138" t="s">
        <v>839</v>
      </c>
      <c r="B39" s="140" t="n">
        <f aca="false">IFERROR(_xlfn.xlookup(C39,'Liste BT'!C:C,'Liste BT'!AJ:AJ),0)</f>
        <v>0</v>
      </c>
      <c r="C39" s="144" t="str">
        <f aca="false">$B$1&amp;"-"&amp;D39</f>
        <v>88-2</v>
      </c>
      <c r="D39" s="1" t="n">
        <v>2</v>
      </c>
    </row>
    <row r="40" customFormat="false" ht="15" hidden="false" customHeight="false" outlineLevel="0" collapsed="false">
      <c r="A40" s="138" t="s">
        <v>840</v>
      </c>
      <c r="B40" s="140" t="n">
        <f aca="false">IFERROR(_xlfn.xlookup(C40,'Liste BT'!C:C,'Liste BT'!AI:AI),0)</f>
        <v>0</v>
      </c>
      <c r="C40" s="144" t="str">
        <f aca="false">$B$1&amp;"-"&amp;D40</f>
        <v>88-2</v>
      </c>
      <c r="D40" s="1" t="n">
        <v>2</v>
      </c>
    </row>
    <row r="41" customFormat="false" ht="15" hidden="false" customHeight="false" outlineLevel="0" collapsed="false">
      <c r="A41" s="138" t="s">
        <v>842</v>
      </c>
      <c r="B41" s="140" t="n">
        <f aca="false">IFERROR(_xlfn.xlookup(C41,'Liste BT'!C:C,'Liste BT'!AL:AL),0)</f>
        <v>0</v>
      </c>
      <c r="C41" s="144" t="str">
        <f aca="false">$B$1&amp;"-"&amp;D41</f>
        <v>88-2</v>
      </c>
      <c r="D41" s="1" t="n">
        <v>2</v>
      </c>
    </row>
    <row r="42" customFormat="false" ht="15" hidden="false" customHeight="false" outlineLevel="0" collapsed="false">
      <c r="A42" s="138" t="s">
        <v>830</v>
      </c>
      <c r="B42" s="140" t="n">
        <f aca="false">IFERROR(_xlfn.xlookup(C42,'Liste BT'!C:C,'Liste BT'!Y:Y),0)</f>
        <v>0</v>
      </c>
      <c r="C42" s="144" t="str">
        <f aca="false">$B$1&amp;"-"&amp;D42</f>
        <v>88-3</v>
      </c>
      <c r="D42" s="1" t="n">
        <v>3</v>
      </c>
    </row>
    <row r="43" customFormat="false" ht="15" hidden="false" customHeight="false" outlineLevel="0" collapsed="false">
      <c r="A43" s="138" t="s">
        <v>435</v>
      </c>
      <c r="B43" s="140" t="n">
        <f aca="false">IFERROR(_xlfn.xlookup(C43,'Liste BT'!C:C,'Liste BT'!Z:Z),0)</f>
        <v>0</v>
      </c>
      <c r="C43" s="144" t="str">
        <f aca="false">$B$1&amp;"-"&amp;D43</f>
        <v>88-3</v>
      </c>
      <c r="D43" s="1" t="n">
        <v>3</v>
      </c>
    </row>
    <row r="44" customFormat="false" ht="15" hidden="false" customHeight="false" outlineLevel="0" collapsed="false">
      <c r="A44" s="138" t="s">
        <v>831</v>
      </c>
      <c r="B44" s="140" t="n">
        <f aca="false">IFERROR(_xlfn.xlookup(C44,'Liste BT'!C:C,'Liste BT'!AB:AB),0)</f>
        <v>0</v>
      </c>
      <c r="C44" s="144" t="str">
        <f aca="false">$B$1&amp;"-"&amp;D44</f>
        <v>88-3</v>
      </c>
      <c r="D44" s="1" t="n">
        <v>3</v>
      </c>
    </row>
    <row r="45" customFormat="false" ht="15" hidden="false" customHeight="false" outlineLevel="0" collapsed="false">
      <c r="A45" s="138" t="s">
        <v>832</v>
      </c>
      <c r="B45" s="140" t="n">
        <f aca="false">IFERROR(_xlfn.xlookup(C45,'Liste BT'!C:C,'Liste BT'!AA:AA),0)</f>
        <v>0</v>
      </c>
      <c r="C45" s="144" t="str">
        <f aca="false">$B$1&amp;"-"&amp;D45</f>
        <v>88-3</v>
      </c>
      <c r="D45" s="1" t="n">
        <v>3</v>
      </c>
    </row>
    <row r="46" customFormat="false" ht="15" hidden="false" customHeight="false" outlineLevel="0" collapsed="false">
      <c r="A46" s="138" t="s">
        <v>833</v>
      </c>
      <c r="B46" s="140" t="n">
        <f aca="false">IFERROR(_xlfn.xlookup(C46,'Liste BT'!C:C,'Liste BT'!AD:AD),0)</f>
        <v>0</v>
      </c>
      <c r="C46" s="144" t="str">
        <f aca="false">$B$1&amp;"-"&amp;D46</f>
        <v>88-3</v>
      </c>
      <c r="D46" s="1" t="n">
        <v>3</v>
      </c>
    </row>
    <row r="47" customFormat="false" ht="15" hidden="false" customHeight="false" outlineLevel="0" collapsed="false">
      <c r="A47" s="138" t="s">
        <v>834</v>
      </c>
      <c r="B47" s="140" t="n">
        <f aca="false">IFERROR(_xlfn.xlookup(C47,'Liste BT'!C:C,'Liste BT'!AC:AC),0)</f>
        <v>0</v>
      </c>
      <c r="C47" s="144" t="str">
        <f aca="false">$B$1&amp;"-"&amp;D47</f>
        <v>88-3</v>
      </c>
      <c r="D47" s="1" t="n">
        <v>3</v>
      </c>
    </row>
    <row r="48" customFormat="false" ht="15" hidden="false" customHeight="false" outlineLevel="0" collapsed="false">
      <c r="A48" s="138" t="s">
        <v>835</v>
      </c>
      <c r="B48" s="140" t="n">
        <f aca="false">IFERROR(_xlfn.xlookup(C48,'Liste BT'!C:C,'Liste BT'!AF:AF),0)</f>
        <v>0</v>
      </c>
      <c r="C48" s="144" t="str">
        <f aca="false">$B$1&amp;"-"&amp;D48</f>
        <v>88-3</v>
      </c>
      <c r="D48" s="1" t="n">
        <v>3</v>
      </c>
    </row>
    <row r="49" customFormat="false" ht="15" hidden="false" customHeight="false" outlineLevel="0" collapsed="false">
      <c r="A49" s="138" t="s">
        <v>836</v>
      </c>
      <c r="B49" s="140" t="n">
        <f aca="false">IFERROR(_xlfn.xlookup(C49,'Liste BT'!C:C,'Liste BT'!AE:AE),0)</f>
        <v>0</v>
      </c>
      <c r="C49" s="144" t="str">
        <f aca="false">$B$1&amp;"-"&amp;D49</f>
        <v>88-3</v>
      </c>
      <c r="D49" s="1" t="n">
        <v>3</v>
      </c>
    </row>
    <row r="50" customFormat="false" ht="15" hidden="false" customHeight="false" outlineLevel="0" collapsed="false">
      <c r="A50" s="138" t="s">
        <v>837</v>
      </c>
      <c r="B50" s="140" t="n">
        <f aca="false">IFERROR(_xlfn.xlookup(C50,'Liste BT'!C:C,'Liste BT'!AH:AH),0)</f>
        <v>0</v>
      </c>
      <c r="C50" s="144" t="str">
        <f aca="false">$B$1&amp;"-"&amp;D50</f>
        <v>88-3</v>
      </c>
      <c r="D50" s="1" t="n">
        <v>3</v>
      </c>
    </row>
    <row r="51" customFormat="false" ht="15" hidden="false" customHeight="false" outlineLevel="0" collapsed="false">
      <c r="A51" s="138" t="s">
        <v>838</v>
      </c>
      <c r="B51" s="140" t="n">
        <f aca="false">IFERROR(_xlfn.xlookup(C51,'Liste BT'!C:C,'Liste BT'!AG:AG),0)</f>
        <v>0</v>
      </c>
      <c r="C51" s="144" t="str">
        <f aca="false">$B$1&amp;"-"&amp;D51</f>
        <v>88-3</v>
      </c>
      <c r="D51" s="1" t="n">
        <v>3</v>
      </c>
    </row>
    <row r="52" customFormat="false" ht="15" hidden="false" customHeight="false" outlineLevel="0" collapsed="false">
      <c r="A52" s="138" t="s">
        <v>839</v>
      </c>
      <c r="B52" s="140" t="n">
        <f aca="false">IFERROR(_xlfn.xlookup(C52,'Liste BT'!C:C,'Liste BT'!AJ:AJ),0)</f>
        <v>0</v>
      </c>
      <c r="C52" s="144" t="str">
        <f aca="false">$B$1&amp;"-"&amp;D52</f>
        <v>88-3</v>
      </c>
      <c r="D52" s="1" t="n">
        <v>3</v>
      </c>
    </row>
    <row r="53" customFormat="false" ht="15" hidden="false" customHeight="false" outlineLevel="0" collapsed="false">
      <c r="A53" s="138" t="s">
        <v>840</v>
      </c>
      <c r="B53" s="140" t="n">
        <f aca="false">IFERROR(_xlfn.xlookup(C53,'Liste BT'!C:C,'Liste BT'!AI:AI),0)</f>
        <v>0</v>
      </c>
      <c r="C53" s="144" t="str">
        <f aca="false">$B$1&amp;"-"&amp;D53</f>
        <v>88-3</v>
      </c>
      <c r="D53" s="1" t="n">
        <v>3</v>
      </c>
    </row>
    <row r="54" customFormat="false" ht="15" hidden="false" customHeight="false" outlineLevel="0" collapsed="false">
      <c r="A54" s="138" t="s">
        <v>843</v>
      </c>
      <c r="B54" s="140" t="n">
        <f aca="false">IFERROR(_xlfn.xlookup(C54,'Liste BT'!C:C,'Liste BT'!AL:AL),0)</f>
        <v>0</v>
      </c>
      <c r="C54" s="144" t="str">
        <f aca="false">$B$1&amp;"-"&amp;D54</f>
        <v>88-3</v>
      </c>
      <c r="D54" s="1" t="n">
        <v>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U1310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7" ySplit="2" topLeftCell="H282" activePane="bottomRight" state="frozen"/>
      <selection pane="topLeft" activeCell="A1" activeCellId="0" sqref="A1"/>
      <selection pane="topRight" activeCell="H1" activeCellId="0" sqref="H1"/>
      <selection pane="bottomLeft" activeCell="A282" activeCellId="0" sqref="A282"/>
      <selection pane="bottomRight" activeCell="S300" activeCellId="0" sqref="S300"/>
    </sheetView>
  </sheetViews>
  <sheetFormatPr defaultColWidth="8.59765625" defaultRowHeight="15" zeroHeight="false" outlineLevelRow="0" outlineLevelCol="0"/>
  <cols>
    <col collapsed="false" customWidth="true" hidden="false" outlineLevel="0" max="1" min="1" style="45" width="12"/>
    <col collapsed="false" customWidth="true" hidden="false" outlineLevel="0" max="2" min="2" style="1" width="8.43"/>
    <col collapsed="false" customWidth="true" hidden="false" outlineLevel="0" max="3" min="3" style="145" width="13.86"/>
    <col collapsed="false" customWidth="true" hidden="false" outlineLevel="0" max="4" min="4" style="1" width="7.57"/>
    <col collapsed="false" customWidth="true" hidden="true" outlineLevel="0" max="5" min="5" style="0" width="21"/>
    <col collapsed="false" customWidth="true" hidden="false" outlineLevel="0" max="6" min="6" style="0" width="11.43"/>
    <col collapsed="false" customWidth="true" hidden="false" outlineLevel="0" max="7" min="7" style="45" width="13.71"/>
    <col collapsed="false" customWidth="true" hidden="false" outlineLevel="0" max="8" min="8" style="1" width="9.71"/>
    <col collapsed="false" customWidth="true" hidden="true" outlineLevel="0" max="9" min="9" style="1" width="11"/>
    <col collapsed="false" customWidth="true" hidden="false" outlineLevel="0" max="10" min="10" style="45" width="8"/>
    <col collapsed="false" customWidth="true" hidden="false" outlineLevel="0" max="11" min="11" style="45" width="10.57"/>
    <col collapsed="false" customWidth="true" hidden="false" outlineLevel="0" max="12" min="12" style="146" width="10"/>
    <col collapsed="false" customWidth="true" hidden="false" outlineLevel="0" max="13" min="13" style="146" width="9.29"/>
    <col collapsed="false" customWidth="true" hidden="false" outlineLevel="0" max="14" min="14" style="146" width="10.14"/>
    <col collapsed="false" customWidth="true" hidden="false" outlineLevel="0" max="16" min="15" style="146" width="8.86"/>
    <col collapsed="false" customWidth="true" hidden="false" outlineLevel="0" max="17" min="17" style="147" width="6.29"/>
    <col collapsed="false" customWidth="true" hidden="false" outlineLevel="0" max="18" min="18" style="0" width="7.72"/>
    <col collapsed="false" customWidth="true" hidden="false" outlineLevel="0" max="19" min="19" style="148" width="14.29"/>
    <col collapsed="false" customWidth="true" hidden="false" outlineLevel="0" max="20" min="20" style="148" width="9.71"/>
    <col collapsed="false" customWidth="true" hidden="false" outlineLevel="0" max="21" min="21" style="149" width="10.57"/>
    <col collapsed="false" customWidth="true" hidden="false" outlineLevel="0" max="22" min="22" style="148" width="15"/>
    <col collapsed="false" customWidth="true" hidden="false" outlineLevel="0" max="23" min="23" style="148" width="12.43"/>
    <col collapsed="false" customWidth="true" hidden="false" outlineLevel="0" max="24" min="24" style="148" width="10.86"/>
    <col collapsed="false" customWidth="true" hidden="false" outlineLevel="0" max="25" min="25" style="148" width="12.43"/>
    <col collapsed="false" customWidth="true" hidden="false" outlineLevel="0" max="26" min="26" style="148" width="14.57"/>
    <col collapsed="false" customWidth="true" hidden="false" outlineLevel="0" max="27" min="27" style="148" width="12.43"/>
    <col collapsed="false" customWidth="true" hidden="false" outlineLevel="0" max="28" min="28" style="148" width="14.43"/>
    <col collapsed="false" customWidth="true" hidden="false" outlineLevel="0" max="29" min="29" style="148" width="10.57"/>
    <col collapsed="false" customWidth="true" hidden="false" outlineLevel="0" max="30" min="30" style="148" width="7.15"/>
    <col collapsed="false" customWidth="true" hidden="true" outlineLevel="0" max="31" min="31" style="148" width="15"/>
    <col collapsed="false" customWidth="true" hidden="true" outlineLevel="0" max="32" min="32" style="148" width="14.71"/>
    <col collapsed="false" customWidth="true" hidden="true" outlineLevel="0" max="33" min="33" style="1" width="9.14"/>
    <col collapsed="false" customWidth="true" hidden="true" outlineLevel="0" max="34" min="34" style="1" width="13.43"/>
    <col collapsed="false" customWidth="true" hidden="false" outlineLevel="0" max="35" min="35" style="1" width="8.72"/>
    <col collapsed="false" customWidth="true" hidden="false" outlineLevel="0" max="36" min="36" style="1" width="7.72"/>
    <col collapsed="false" customWidth="true" hidden="true" outlineLevel="0" max="37" min="37" style="1" width="10.71"/>
    <col collapsed="false" customWidth="true" hidden="false" outlineLevel="0" max="38" min="38" style="1" width="10.43"/>
    <col collapsed="false" customWidth="true" hidden="false" outlineLevel="0" max="39" min="39" style="0" width="5.57"/>
    <col collapsed="false" customWidth="true" hidden="true" outlineLevel="0" max="40" min="40" style="0" width="13"/>
    <col collapsed="false" customWidth="true" hidden="true" outlineLevel="0" max="41" min="41" style="0" width="20.72"/>
    <col collapsed="false" customWidth="true" hidden="true" outlineLevel="0" max="43" min="42" style="0" width="7.57"/>
    <col collapsed="false" customWidth="true" hidden="true" outlineLevel="0" max="44" min="44" style="150" width="11.43"/>
    <col collapsed="false" customWidth="true" hidden="true" outlineLevel="0" max="45" min="45" style="150" width="8.86"/>
    <col collapsed="false" customWidth="true" hidden="true" outlineLevel="0" max="46" min="46" style="150" width="10.29"/>
    <col collapsed="false" customWidth="true" hidden="true" outlineLevel="0" max="47" min="47" style="150" width="9.29"/>
    <col collapsed="false" customWidth="true" hidden="true" outlineLevel="0" max="48" min="48" style="0" width="6.29"/>
    <col collapsed="false" customWidth="true" hidden="false" outlineLevel="0" max="49" min="49" style="0" width="21.14"/>
    <col collapsed="false" customWidth="true" hidden="false" outlineLevel="0" max="50" min="50" style="146" width="10.71"/>
    <col collapsed="false" customWidth="true" hidden="false" outlineLevel="0" max="52" min="51" style="150" width="10.57"/>
    <col collapsed="false" customWidth="true" hidden="false" outlineLevel="0" max="53" min="53" style="150" width="9.29"/>
    <col collapsed="false" customWidth="true" hidden="false" outlineLevel="0" max="54" min="54" style="146" width="10.57"/>
    <col collapsed="false" customWidth="true" hidden="false" outlineLevel="0" max="55" min="55" style="146" width="5.86"/>
    <col collapsed="false" customWidth="true" hidden="false" outlineLevel="0" max="56" min="56" style="151" width="6.86"/>
    <col collapsed="false" customWidth="true" hidden="false" outlineLevel="0" max="57" min="57" style="146" width="6"/>
    <col collapsed="false" customWidth="true" hidden="false" outlineLevel="0" max="58" min="58" style="146" width="6.71"/>
    <col collapsed="false" customWidth="true" hidden="true" outlineLevel="0" max="59" min="59" style="0" width="13"/>
    <col collapsed="false" customWidth="true" hidden="true" outlineLevel="0" max="60" min="60" style="152" width="20.72"/>
    <col collapsed="false" customWidth="true" hidden="true" outlineLevel="0" max="61" min="61" style="0" width="7.57"/>
    <col collapsed="false" customWidth="true" hidden="true" outlineLevel="0" max="62" min="62" style="153" width="12.29"/>
    <col collapsed="false" customWidth="true" hidden="true" outlineLevel="0" max="63" min="63" style="153" width="11.15"/>
    <col collapsed="false" customWidth="true" hidden="true" outlineLevel="0" max="64" min="64" style="0" width="7.72"/>
    <col collapsed="false" customWidth="true" hidden="false" outlineLevel="0" max="65" min="65" style="0" width="21.14"/>
    <col collapsed="false" customWidth="true" hidden="false" outlineLevel="0" max="66" min="66" style="146" width="9.14"/>
    <col collapsed="false" customWidth="true" hidden="false" outlineLevel="0" max="67" min="67" style="150" width="11.15"/>
    <col collapsed="false" customWidth="true" hidden="false" outlineLevel="0" max="68" min="68" style="0" width="9.14"/>
    <col collapsed="false" customWidth="true" hidden="true" outlineLevel="0" max="73" min="69" style="0" width="9.14"/>
    <col collapsed="false" customWidth="true" hidden="false" outlineLevel="0" max="74" min="74" style="0" width="14.14"/>
    <col collapsed="false" customWidth="true" hidden="false" outlineLevel="0" max="75" min="75" style="154" width="11.72"/>
    <col collapsed="false" customWidth="true" hidden="false" outlineLevel="0" max="79" min="76" style="154" width="7.72"/>
    <col collapsed="false" customWidth="true" hidden="false" outlineLevel="0" max="80" min="80" style="154" width="6.71"/>
    <col collapsed="false" customWidth="true" hidden="false" outlineLevel="0" max="82" min="81" style="154" width="7.72"/>
    <col collapsed="false" customWidth="true" hidden="false" outlineLevel="0" max="83" min="83" style="154" width="6.71"/>
    <col collapsed="false" customWidth="true" hidden="false" outlineLevel="0" max="84" min="84" style="154" width="5.86"/>
    <col collapsed="false" customWidth="true" hidden="false" outlineLevel="0" max="86" min="85" style="154" width="7.72"/>
    <col collapsed="false" customWidth="true" hidden="false" outlineLevel="0" max="87" min="87" style="154" width="5.86"/>
    <col collapsed="false" customWidth="true" hidden="false" outlineLevel="0" max="88" min="88" style="0" width="5.86"/>
    <col collapsed="false" customWidth="true" hidden="false" outlineLevel="0" max="89" min="89" style="0" width="7.72"/>
    <col collapsed="false" customWidth="true" hidden="false" outlineLevel="0" max="90" min="90" style="0" width="11.28"/>
    <col collapsed="false" customWidth="true" hidden="true" outlineLevel="0" max="92" min="91" style="0" width="11.28"/>
    <col collapsed="false" customWidth="true" hidden="false" outlineLevel="0" max="93" min="93" style="0" width="11.28"/>
    <col collapsed="false" customWidth="true" hidden="false" outlineLevel="0" max="94" min="94" style="0" width="16.14"/>
    <col collapsed="false" customWidth="true" hidden="false" outlineLevel="0" max="107" min="95" style="0" width="10.71"/>
    <col collapsed="false" customWidth="true" hidden="false" outlineLevel="0" max="108" min="108" style="0" width="11.28"/>
    <col collapsed="false" customWidth="true" hidden="false" outlineLevel="0" max="110" min="110" style="0" width="11.28"/>
    <col collapsed="false" customWidth="true" hidden="false" outlineLevel="0" max="111" min="111" style="0" width="7.72"/>
    <col collapsed="false" customWidth="true" hidden="false" outlineLevel="0" max="112" min="112" style="0" width="10.86"/>
    <col collapsed="false" customWidth="true" hidden="false" outlineLevel="0" max="113" min="113" style="0" width="7.86"/>
    <col collapsed="false" customWidth="true" hidden="false" outlineLevel="0" max="114" min="114" style="0" width="11"/>
    <col collapsed="false" customWidth="true" hidden="false" outlineLevel="0" max="116" min="116" style="0" width="11"/>
    <col collapsed="false" customWidth="true" hidden="false" outlineLevel="0" max="118" min="118" style="0" width="11"/>
    <col collapsed="false" customWidth="true" hidden="false" outlineLevel="0" max="119" min="119" style="0" width="7.86"/>
    <col collapsed="false" customWidth="true" hidden="false" outlineLevel="0" max="120" min="120" style="0" width="11"/>
    <col collapsed="false" customWidth="true" hidden="false" outlineLevel="0" max="121" min="121" style="0" width="7.86"/>
    <col collapsed="false" customWidth="true" hidden="false" outlineLevel="0" max="122" min="122" style="0" width="11"/>
    <col collapsed="false" customWidth="true" hidden="false" outlineLevel="0" max="124" min="124" style="0" width="10.86"/>
    <col collapsed="false" customWidth="true" hidden="false" outlineLevel="0" max="126" min="126" style="0" width="12.14"/>
    <col collapsed="false" customWidth="true" hidden="false" outlineLevel="0" max="127" min="127" style="0" width="11.28"/>
  </cols>
  <sheetData>
    <row r="1" customFormat="false" ht="15" hidden="false" customHeight="false" outlineLevel="0" collapsed="false">
      <c r="Y1" s="148" t="n">
        <f aca="false">SUBTOTAL(9,Y3:Y10007)</f>
        <v>6675.95090192809</v>
      </c>
      <c r="Z1" s="148" t="n">
        <f aca="false">SUBTOTAL(9,Z3:Z10007)</f>
        <v>9742.86599999998</v>
      </c>
      <c r="AB1" s="148" t="e">
        <f aca="false">SUBTOTAL(9,AB3:AB10007)</f>
        <v>#NAME?</v>
      </c>
      <c r="AE1" s="148" t="n">
        <f aca="false">SUBTOTAL(9,AE3:AE10007)</f>
        <v>859139.678376501</v>
      </c>
      <c r="AF1" s="148" t="e">
        <f aca="false">SUBTOTAL(9,AF3:AF10007)</f>
        <v>#NAME?</v>
      </c>
      <c r="AH1" s="148" t="e">
        <f aca="false">SUBTOTAL(9,AH3:AH10007)</f>
        <v>#NAME?</v>
      </c>
      <c r="AN1" s="72" t="s">
        <v>844</v>
      </c>
      <c r="AO1" s="72"/>
      <c r="AP1" s="72"/>
      <c r="AQ1" s="72" t="s">
        <v>845</v>
      </c>
      <c r="AR1" s="155"/>
      <c r="AS1" s="155"/>
      <c r="AT1" s="155"/>
      <c r="AU1" s="155"/>
      <c r="AV1" s="72"/>
      <c r="AW1" s="72" t="s">
        <v>846</v>
      </c>
      <c r="BG1" s="72" t="s">
        <v>847</v>
      </c>
      <c r="BH1" s="156"/>
      <c r="BI1" s="72"/>
      <c r="BJ1" s="157"/>
      <c r="BK1" s="157"/>
      <c r="BM1" s="72" t="s">
        <v>847</v>
      </c>
    </row>
    <row r="2" customFormat="false" ht="76.1" hidden="false" customHeight="false" outlineLevel="0" collapsed="false">
      <c r="A2" s="158" t="s">
        <v>848</v>
      </c>
      <c r="B2" s="159" t="s">
        <v>849</v>
      </c>
      <c r="C2" s="160" t="s">
        <v>823</v>
      </c>
      <c r="D2" s="159" t="s">
        <v>850</v>
      </c>
      <c r="E2" s="161" t="s">
        <v>425</v>
      </c>
      <c r="F2" s="161" t="s">
        <v>851</v>
      </c>
      <c r="G2" s="161" t="s">
        <v>852</v>
      </c>
      <c r="H2" s="159" t="s">
        <v>853</v>
      </c>
      <c r="I2" s="159" t="s">
        <v>697</v>
      </c>
      <c r="J2" s="161" t="s">
        <v>854</v>
      </c>
      <c r="K2" s="161" t="s">
        <v>855</v>
      </c>
      <c r="L2" s="159" t="s">
        <v>856</v>
      </c>
      <c r="M2" s="159" t="s">
        <v>857</v>
      </c>
      <c r="N2" s="159" t="s">
        <v>858</v>
      </c>
      <c r="O2" s="159" t="s">
        <v>859</v>
      </c>
      <c r="P2" s="159" t="s">
        <v>860</v>
      </c>
      <c r="Q2" s="159" t="s">
        <v>861</v>
      </c>
      <c r="R2" s="159" t="s">
        <v>862</v>
      </c>
      <c r="S2" s="159" t="s">
        <v>863</v>
      </c>
      <c r="T2" s="159" t="s">
        <v>864</v>
      </c>
      <c r="U2" s="162" t="s">
        <v>865</v>
      </c>
      <c r="V2" s="163" t="s">
        <v>866</v>
      </c>
      <c r="W2" s="163" t="s">
        <v>867</v>
      </c>
      <c r="X2" s="163" t="s">
        <v>868</v>
      </c>
      <c r="Y2" s="163" t="s">
        <v>869</v>
      </c>
      <c r="Z2" s="163" t="s">
        <v>870</v>
      </c>
      <c r="AA2" s="163" t="s">
        <v>871</v>
      </c>
      <c r="AB2" s="163" t="s">
        <v>872</v>
      </c>
      <c r="AC2" s="163" t="s">
        <v>873</v>
      </c>
      <c r="AD2" s="163" t="s">
        <v>874</v>
      </c>
      <c r="AE2" s="163" t="s">
        <v>875</v>
      </c>
      <c r="AF2" s="163" t="s">
        <v>876</v>
      </c>
      <c r="AG2" s="163" t="s">
        <v>877</v>
      </c>
      <c r="AH2" s="163" t="s">
        <v>878</v>
      </c>
      <c r="AI2" s="163" t="s">
        <v>879</v>
      </c>
      <c r="AJ2" s="163" t="s">
        <v>92</v>
      </c>
      <c r="AK2" s="163" t="s">
        <v>690</v>
      </c>
      <c r="AL2" s="163" t="s">
        <v>880</v>
      </c>
      <c r="AN2" s="164" t="s">
        <v>690</v>
      </c>
      <c r="AO2" s="164" t="s">
        <v>425</v>
      </c>
      <c r="AP2" s="164" t="s">
        <v>431</v>
      </c>
      <c r="AQ2" s="164" t="s">
        <v>881</v>
      </c>
      <c r="AR2" s="165" t="s">
        <v>882</v>
      </c>
      <c r="AS2" s="165" t="s">
        <v>883</v>
      </c>
      <c r="AT2" s="165" t="s">
        <v>884</v>
      </c>
      <c r="AU2" s="165" t="s">
        <v>885</v>
      </c>
      <c r="AW2" s="166"/>
      <c r="AX2" s="167" t="s">
        <v>886</v>
      </c>
      <c r="AY2" s="168"/>
      <c r="AZ2" s="168"/>
      <c r="BA2" s="168"/>
      <c r="BB2" s="169"/>
      <c r="BC2" s="0"/>
      <c r="BD2" s="0"/>
      <c r="BE2" s="0"/>
      <c r="BG2" s="164" t="s">
        <v>690</v>
      </c>
      <c r="BH2" s="170" t="s">
        <v>425</v>
      </c>
      <c r="BI2" s="164" t="s">
        <v>431</v>
      </c>
      <c r="BJ2" s="171" t="s">
        <v>881</v>
      </c>
      <c r="BK2" s="171" t="s">
        <v>887</v>
      </c>
      <c r="BM2" s="166"/>
      <c r="BN2" s="167" t="s">
        <v>886</v>
      </c>
      <c r="BO2" s="169"/>
      <c r="BQ2" s="144" t="s">
        <v>888</v>
      </c>
      <c r="BR2" s="144" t="s">
        <v>431</v>
      </c>
      <c r="BS2" s="144" t="s">
        <v>889</v>
      </c>
      <c r="BT2" s="144" t="s">
        <v>890</v>
      </c>
      <c r="BV2" s="166" t="s">
        <v>891</v>
      </c>
      <c r="BW2" s="167" t="s">
        <v>431</v>
      </c>
      <c r="BX2" s="168"/>
      <c r="BY2" s="168"/>
      <c r="BZ2" s="168"/>
      <c r="CA2" s="168"/>
      <c r="CB2" s="168"/>
      <c r="CC2" s="168"/>
      <c r="CD2" s="168"/>
      <c r="CE2" s="168"/>
      <c r="CF2" s="168"/>
      <c r="CG2" s="168"/>
      <c r="CH2" s="168"/>
      <c r="CI2" s="168"/>
      <c r="CJ2" s="168"/>
      <c r="CK2" s="168"/>
      <c r="CL2" s="168"/>
      <c r="CM2" s="168"/>
      <c r="CN2" s="169"/>
      <c r="CP2" s="166" t="s">
        <v>891</v>
      </c>
      <c r="CQ2" s="167" t="s">
        <v>889</v>
      </c>
      <c r="CR2" s="168"/>
      <c r="CS2" s="168"/>
      <c r="CT2" s="168"/>
      <c r="CU2" s="168"/>
      <c r="CV2" s="168"/>
      <c r="CW2" s="168"/>
      <c r="CX2" s="168"/>
      <c r="CY2" s="168"/>
      <c r="CZ2" s="168"/>
      <c r="DA2" s="168"/>
      <c r="DB2" s="168"/>
      <c r="DC2" s="168"/>
      <c r="DD2" s="169"/>
      <c r="DE2" s="144" t="s">
        <v>5</v>
      </c>
      <c r="DF2" s="172" t="n">
        <v>45729</v>
      </c>
    </row>
    <row r="3" customFormat="false" ht="15" hidden="false" customHeight="false" outlineLevel="0" collapsed="false">
      <c r="A3" s="140" t="s">
        <v>892</v>
      </c>
      <c r="B3" s="173" t="s">
        <v>893</v>
      </c>
      <c r="C3" s="174" t="n">
        <v>45392</v>
      </c>
      <c r="D3" s="173" t="n">
        <v>155</v>
      </c>
      <c r="E3" s="138" t="s">
        <v>57</v>
      </c>
      <c r="F3" s="138" t="s">
        <v>894</v>
      </c>
      <c r="G3" s="140"/>
      <c r="H3" s="173" t="n">
        <v>40024</v>
      </c>
      <c r="I3" s="173" t="n">
        <v>30011</v>
      </c>
      <c r="J3" s="140" t="s">
        <v>760</v>
      </c>
      <c r="K3" s="140"/>
      <c r="L3" s="175"/>
      <c r="M3" s="175"/>
      <c r="N3" s="175"/>
      <c r="O3" s="175"/>
      <c r="P3" s="175"/>
      <c r="Q3" s="176"/>
      <c r="R3" s="138"/>
      <c r="S3" s="177" t="n">
        <v>0</v>
      </c>
      <c r="T3" s="177"/>
      <c r="U3" s="178"/>
      <c r="V3" s="177"/>
      <c r="W3" s="177"/>
      <c r="X3" s="179"/>
      <c r="Y3" s="177"/>
      <c r="Z3" s="177"/>
      <c r="AA3" s="177"/>
      <c r="AB3" s="177"/>
      <c r="AC3" s="177"/>
      <c r="AD3" s="177"/>
      <c r="AE3" s="177" t="n">
        <v>0</v>
      </c>
      <c r="AF3" s="177" t="n">
        <v>0</v>
      </c>
      <c r="AG3" s="173"/>
      <c r="AH3" s="180"/>
      <c r="AI3" s="173"/>
      <c r="AJ3" s="173" t="s">
        <v>895</v>
      </c>
      <c r="AK3" s="181" t="s">
        <v>892</v>
      </c>
      <c r="AL3" s="182"/>
      <c r="AN3" s="144" t="e">
        <f aca="false" t="array" ref="AN3:AN9877">_xlfn._xlws.filter(A3:A10005,AJ3:AJ10005&lt;&gt;"S")</f>
        <v>#NAME?</v>
      </c>
      <c r="AO3" s="144" t="e">
        <f aca="false">_xlfn.xlookup(AN3,A:A,F:F)</f>
        <v>#NAME?</v>
      </c>
      <c r="AP3" s="144" t="e">
        <f aca="false">_xlfn.xlookup(AN3,A:A,J:J)</f>
        <v>#NAME?</v>
      </c>
      <c r="AQ3" s="144" t="e">
        <f aca="false">_xlfn.xlookup(AN3,A:A,N:N)+_xlfn.xlookup(AN3,A:A,O:O)</f>
        <v>#NAME?</v>
      </c>
      <c r="AR3" s="150" t="e">
        <f aca="false">_xlfn.xlookup(AN3,A:A,AH:AH)</f>
        <v>#NAME?</v>
      </c>
      <c r="AS3" s="150" t="e">
        <f aca="false">_xlfn.xlookup(AN3,A:A,S:S)</f>
        <v>#NAME?</v>
      </c>
      <c r="AT3" s="150" t="e">
        <f aca="false">_xlfn.xlookup(AN3,A:A,AE:AE)</f>
        <v>#NAME?</v>
      </c>
      <c r="AU3" s="150" t="e">
        <f aca="false">_xlfn.xlookup(AN3,A:A,AF:AF)</f>
        <v>#NAME?</v>
      </c>
      <c r="AW3" s="183" t="s">
        <v>896</v>
      </c>
      <c r="AX3" s="184" t="s">
        <v>897</v>
      </c>
      <c r="AY3" s="185" t="s">
        <v>898</v>
      </c>
      <c r="AZ3" s="185" t="s">
        <v>899</v>
      </c>
      <c r="BA3" s="185" t="s">
        <v>900</v>
      </c>
      <c r="BB3" s="186" t="s">
        <v>901</v>
      </c>
      <c r="BC3" s="0"/>
      <c r="BD3" s="0"/>
      <c r="BE3" s="0"/>
      <c r="BF3" s="187"/>
      <c r="BG3" s="188" t="e">
        <f aca="false" t="array" ref="BG3:BG130">_xlfn._xlws.filter($A$3:$A$2007,$AJ$3:$AJ$2007="S","")</f>
        <v>#NAME?</v>
      </c>
      <c r="BH3" s="152" t="e">
        <f aca="false">_xlfn.xlookup(BG3,A:A,F:F)</f>
        <v>#NAME?</v>
      </c>
      <c r="BI3" s="188" t="e">
        <f aca="false">_xlfn.xlookup(BG3,A:A,J:J)</f>
        <v>#NAME?</v>
      </c>
      <c r="BJ3" s="153" t="e">
        <f aca="false">_xlfn.xlookup(BG3,A:A,N:N)+_xlfn.xlookup(BG3,A:A,O:O)</f>
        <v>#NAME?</v>
      </c>
      <c r="BK3" s="153" t="e">
        <f aca="false">_xlfn.xlookup(BG3,$A$3:$A$997,$AB$3:$AB$997)</f>
        <v>#NAME?</v>
      </c>
      <c r="BL3" s="188"/>
      <c r="BM3" s="183" t="s">
        <v>896</v>
      </c>
      <c r="BN3" s="184" t="s">
        <v>902</v>
      </c>
      <c r="BO3" s="186" t="s">
        <v>903</v>
      </c>
      <c r="BT3" s="189"/>
      <c r="BU3" s="189"/>
      <c r="BV3" s="190" t="s">
        <v>888</v>
      </c>
      <c r="BW3" s="191" t="s">
        <v>764</v>
      </c>
      <c r="BX3" s="192" t="s">
        <v>768</v>
      </c>
      <c r="BY3" s="192" t="s">
        <v>904</v>
      </c>
      <c r="BZ3" s="192" t="s">
        <v>740</v>
      </c>
      <c r="CA3" s="192" t="s">
        <v>905</v>
      </c>
      <c r="CB3" s="192" t="s">
        <v>906</v>
      </c>
      <c r="CC3" s="192" t="s">
        <v>907</v>
      </c>
      <c r="CD3" s="192" t="s">
        <v>908</v>
      </c>
      <c r="CE3" s="192" t="s">
        <v>909</v>
      </c>
      <c r="CF3" s="192" t="s">
        <v>910</v>
      </c>
      <c r="CG3" s="192" t="s">
        <v>762</v>
      </c>
      <c r="CH3" s="192" t="s">
        <v>760</v>
      </c>
      <c r="CI3" s="192" t="s">
        <v>911</v>
      </c>
      <c r="CJ3" s="192" t="s">
        <v>790</v>
      </c>
      <c r="CK3" s="192" t="s">
        <v>754</v>
      </c>
      <c r="CL3" s="192" t="s">
        <v>819</v>
      </c>
      <c r="CM3" s="192" t="s">
        <v>912</v>
      </c>
      <c r="CN3" s="193" t="s">
        <v>913</v>
      </c>
      <c r="CP3" s="190" t="s">
        <v>888</v>
      </c>
      <c r="CQ3" s="191" t="s">
        <v>624</v>
      </c>
      <c r="CR3" s="192" t="s">
        <v>517</v>
      </c>
      <c r="CS3" s="192" t="s">
        <v>509</v>
      </c>
      <c r="CT3" s="192" t="s">
        <v>502</v>
      </c>
      <c r="CU3" s="192" t="s">
        <v>452</v>
      </c>
      <c r="CV3" s="192" t="s">
        <v>577</v>
      </c>
      <c r="CW3" s="192" t="s">
        <v>914</v>
      </c>
      <c r="CX3" s="192" t="s">
        <v>484</v>
      </c>
      <c r="CY3" s="192" t="s">
        <v>464</v>
      </c>
      <c r="CZ3" s="192" t="s">
        <v>681</v>
      </c>
      <c r="DA3" s="192" t="s">
        <v>680</v>
      </c>
      <c r="DB3" s="192" t="s">
        <v>495</v>
      </c>
      <c r="DC3" s="192" t="s">
        <v>912</v>
      </c>
      <c r="DD3" s="193" t="s">
        <v>913</v>
      </c>
      <c r="DE3" s="1" t="s">
        <v>624</v>
      </c>
      <c r="DF3" s="154" t="n">
        <v>118819.44</v>
      </c>
      <c r="DH3" s="1"/>
      <c r="DJ3" s="1"/>
      <c r="DL3" s="1"/>
      <c r="DM3" s="1"/>
      <c r="DN3" s="1"/>
      <c r="DO3" s="1"/>
      <c r="DP3" s="1"/>
      <c r="DQ3" s="1"/>
      <c r="DR3" s="1"/>
      <c r="DS3" s="1"/>
      <c r="DT3" s="1"/>
      <c r="DU3" s="1"/>
    </row>
    <row r="4" customFormat="false" ht="15" hidden="false" customHeight="false" outlineLevel="0" collapsed="false">
      <c r="A4" s="140" t="s">
        <v>915</v>
      </c>
      <c r="B4" s="173"/>
      <c r="C4" s="174" t="n">
        <v>45392</v>
      </c>
      <c r="D4" s="173" t="n">
        <v>155</v>
      </c>
      <c r="E4" s="138" t="s">
        <v>57</v>
      </c>
      <c r="F4" s="138" t="s">
        <v>894</v>
      </c>
      <c r="G4" s="140"/>
      <c r="H4" s="173" t="n">
        <v>40025</v>
      </c>
      <c r="I4" s="173" t="n">
        <v>30011</v>
      </c>
      <c r="J4" s="140" t="s">
        <v>760</v>
      </c>
      <c r="K4" s="140"/>
      <c r="L4" s="175"/>
      <c r="M4" s="175"/>
      <c r="N4" s="175"/>
      <c r="O4" s="175"/>
      <c r="P4" s="175"/>
      <c r="Q4" s="176"/>
      <c r="R4" s="138"/>
      <c r="S4" s="177" t="n">
        <v>0</v>
      </c>
      <c r="T4" s="177"/>
      <c r="U4" s="178"/>
      <c r="V4" s="177"/>
      <c r="W4" s="177"/>
      <c r="X4" s="179"/>
      <c r="Y4" s="177"/>
      <c r="Z4" s="177"/>
      <c r="AA4" s="177"/>
      <c r="AB4" s="177"/>
      <c r="AC4" s="177"/>
      <c r="AD4" s="177"/>
      <c r="AE4" s="177" t="n">
        <v>0</v>
      </c>
      <c r="AF4" s="177" t="n">
        <v>0</v>
      </c>
      <c r="AG4" s="173"/>
      <c r="AH4" s="180"/>
      <c r="AI4" s="173"/>
      <c r="AJ4" s="173" t="s">
        <v>895</v>
      </c>
      <c r="AK4" s="181" t="s">
        <v>915</v>
      </c>
      <c r="AL4" s="182"/>
      <c r="AN4" s="144" t="e">
        <v>#NAME?</v>
      </c>
      <c r="AO4" s="144" t="e">
        <f aca="false">_xlfn.xlookup(AN4,A:A,F:F)</f>
        <v>#NAME?</v>
      </c>
      <c r="AP4" s="144" t="e">
        <f aca="false">_xlfn.xlookup(AN4,A:A,J:J)</f>
        <v>#NAME?</v>
      </c>
      <c r="AQ4" s="144" t="e">
        <f aca="false">_xlfn.xlookup(AN4,A:A,N:N)+_xlfn.xlookup(AN4,A:A,O:O)</f>
        <v>#NAME?</v>
      </c>
      <c r="AR4" s="150" t="e">
        <f aca="false">_xlfn.xlookup(AN4,A:A,AH:AH)</f>
        <v>#NAME?</v>
      </c>
      <c r="AS4" s="150" t="e">
        <f aca="false">_xlfn.xlookup(AN4,A:A,S:S)</f>
        <v>#NAME?</v>
      </c>
      <c r="AT4" s="150" t="e">
        <f aca="false">_xlfn.xlookup(AN4,A:A,AE:AE)</f>
        <v>#NAME?</v>
      </c>
      <c r="AU4" s="150" t="e">
        <f aca="false">_xlfn.xlookup(AN4,A:A,AF:AF)</f>
        <v>#NAME?</v>
      </c>
      <c r="AW4" s="194" t="s">
        <v>575</v>
      </c>
      <c r="AX4" s="195" t="e">
        <f aca="false">#VALUE!</f>
        <v>#VALUE!</v>
      </c>
      <c r="AY4" s="196" t="e">
        <f aca="false">#VALUE!</f>
        <v>#VALUE!</v>
      </c>
      <c r="AZ4" s="196" t="e">
        <f aca="false">#VALUE!</f>
        <v>#VALUE!</v>
      </c>
      <c r="BA4" s="196" t="e">
        <f aca="false">#VALUE!</f>
        <v>#VALUE!</v>
      </c>
      <c r="BB4" s="197" t="e">
        <f aca="false">#VALUE!</f>
        <v>#VALUE!</v>
      </c>
      <c r="BC4" s="0"/>
      <c r="BD4" s="0"/>
      <c r="BE4" s="0"/>
      <c r="BF4" s="187"/>
      <c r="BG4" s="188" t="e">
        <v>#NAME?</v>
      </c>
      <c r="BH4" s="152" t="e">
        <f aca="false">_xlfn.xlookup(BG4,A:A,F:F)</f>
        <v>#NAME?</v>
      </c>
      <c r="BI4" s="188" t="e">
        <f aca="false">_xlfn.xlookup(BG4,A:A,J:J)</f>
        <v>#NAME?</v>
      </c>
      <c r="BJ4" s="153" t="e">
        <f aca="false">_xlfn.xlookup(BG4,A:A,N:N)+_xlfn.xlookup(BG4,A:A,O:O)</f>
        <v>#NAME?</v>
      </c>
      <c r="BK4" s="153" t="e">
        <f aca="false">_xlfn.xlookup(BG4,$A$3:$A$997,$AB$3:$AB$997)</f>
        <v>#NAME?</v>
      </c>
      <c r="BL4" s="188"/>
      <c r="BM4" s="194" t="s">
        <v>575</v>
      </c>
      <c r="BN4" s="195" t="e">
        <f aca="false">#VALUE!</f>
        <v>#VALUE!</v>
      </c>
      <c r="BO4" s="197" t="e">
        <f aca="false">#VALUE!</f>
        <v>#VALUE!</v>
      </c>
      <c r="BT4" s="189"/>
      <c r="BU4" s="189"/>
      <c r="BV4" s="198" t="s">
        <v>916</v>
      </c>
      <c r="BW4" s="199" t="n">
        <v>6511.296</v>
      </c>
      <c r="BX4" s="200" t="n">
        <v>25847.096736</v>
      </c>
      <c r="BY4" s="200" t="n">
        <v>12666.426336</v>
      </c>
      <c r="BZ4" s="196"/>
      <c r="CA4" s="196"/>
      <c r="CB4" s="196"/>
      <c r="CC4" s="200" t="n">
        <v>128184.702576</v>
      </c>
      <c r="CD4" s="200" t="n">
        <v>9849.70368</v>
      </c>
      <c r="CE4" s="196"/>
      <c r="CF4" s="196"/>
      <c r="CG4" s="200" t="n">
        <v>33695.38816</v>
      </c>
      <c r="CH4" s="200" t="n">
        <v>8164.07784</v>
      </c>
      <c r="CI4" s="200" t="n">
        <v>735.71376</v>
      </c>
      <c r="CJ4" s="200" t="n">
        <v>1205.9472</v>
      </c>
      <c r="CK4" s="200" t="n">
        <v>27659.525056</v>
      </c>
      <c r="CL4" s="196"/>
      <c r="CM4" s="201"/>
      <c r="CN4" s="202" t="n">
        <v>254519.877344</v>
      </c>
      <c r="CP4" s="198" t="s">
        <v>917</v>
      </c>
      <c r="CQ4" s="203"/>
      <c r="CR4" s="196"/>
      <c r="CS4" s="200" t="n">
        <v>42769.56384</v>
      </c>
      <c r="CT4" s="196"/>
      <c r="CU4" s="196"/>
      <c r="CV4" s="196"/>
      <c r="CW4" s="196"/>
      <c r="CX4" s="196"/>
      <c r="CY4" s="196"/>
      <c r="CZ4" s="196"/>
      <c r="DA4" s="196"/>
      <c r="DB4" s="196"/>
      <c r="DC4" s="201"/>
      <c r="DD4" s="202" t="n">
        <v>42769.56384</v>
      </c>
      <c r="DF4" s="154"/>
      <c r="DO4" s="204"/>
    </row>
    <row r="5" customFormat="false" ht="15" hidden="false" customHeight="false" outlineLevel="0" collapsed="false">
      <c r="A5" s="140" t="s">
        <v>918</v>
      </c>
      <c r="B5" s="173"/>
      <c r="C5" s="174" t="n">
        <v>45406</v>
      </c>
      <c r="D5" s="173" t="n">
        <v>158</v>
      </c>
      <c r="E5" s="138" t="s">
        <v>78</v>
      </c>
      <c r="F5" s="138" t="s">
        <v>919</v>
      </c>
      <c r="G5" s="140" t="s">
        <v>920</v>
      </c>
      <c r="H5" s="173" t="n">
        <v>40031</v>
      </c>
      <c r="I5" s="173" t="n">
        <v>30011</v>
      </c>
      <c r="J5" s="140" t="s">
        <v>760</v>
      </c>
      <c r="K5" s="140"/>
      <c r="L5" s="175"/>
      <c r="M5" s="175"/>
      <c r="N5" s="175"/>
      <c r="O5" s="175"/>
      <c r="P5" s="175"/>
      <c r="Q5" s="176"/>
      <c r="R5" s="138"/>
      <c r="S5" s="177" t="n">
        <v>0</v>
      </c>
      <c r="T5" s="177"/>
      <c r="U5" s="178"/>
      <c r="V5" s="177"/>
      <c r="W5" s="177"/>
      <c r="X5" s="179"/>
      <c r="Y5" s="177"/>
      <c r="Z5" s="177"/>
      <c r="AA5" s="177"/>
      <c r="AB5" s="177"/>
      <c r="AC5" s="177"/>
      <c r="AD5" s="177"/>
      <c r="AE5" s="177" t="n">
        <v>0</v>
      </c>
      <c r="AF5" s="177" t="n">
        <v>0</v>
      </c>
      <c r="AG5" s="173"/>
      <c r="AH5" s="180"/>
      <c r="AI5" s="173"/>
      <c r="AJ5" s="173" t="s">
        <v>895</v>
      </c>
      <c r="AK5" s="181" t="s">
        <v>918</v>
      </c>
      <c r="AL5" s="182"/>
      <c r="AN5" s="144" t="e">
        <v>#NAME?</v>
      </c>
      <c r="AO5" s="144" t="e">
        <f aca="false">_xlfn.xlookup(AN5,A:A,F:F)</f>
        <v>#NAME?</v>
      </c>
      <c r="AP5" s="144" t="e">
        <f aca="false">_xlfn.xlookup(AN5,A:A,J:J)</f>
        <v>#NAME?</v>
      </c>
      <c r="AQ5" s="144" t="e">
        <f aca="false">_xlfn.xlookup(AN5,A:A,N:N)+_xlfn.xlookup(AN5,A:A,O:O)</f>
        <v>#NAME?</v>
      </c>
      <c r="AR5" s="150" t="e">
        <f aca="false">_xlfn.xlookup(AN5,A:A,AH:AH)</f>
        <v>#NAME?</v>
      </c>
      <c r="AS5" s="150" t="e">
        <f aca="false">_xlfn.xlookup(AN5,A:A,S:S)</f>
        <v>#NAME?</v>
      </c>
      <c r="AT5" s="150" t="e">
        <f aca="false">_xlfn.xlookup(AN5,A:A,AE:AE)</f>
        <v>#NAME?</v>
      </c>
      <c r="AU5" s="150" t="e">
        <f aca="false">_xlfn.xlookup(AN5,A:A,AF:AF)</f>
        <v>#NAME?</v>
      </c>
      <c r="AW5" s="205" t="s">
        <v>764</v>
      </c>
      <c r="AX5" s="206" t="e">
        <f aca="false">#VALUE!</f>
        <v>#VALUE!</v>
      </c>
      <c r="AY5" s="207" t="e">
        <f aca="false">#VALUE!</f>
        <v>#VALUE!</v>
      </c>
      <c r="AZ5" s="207" t="e">
        <f aca="false">#VALUE!</f>
        <v>#VALUE!</v>
      </c>
      <c r="BA5" s="207" t="e">
        <f aca="false">#VALUE!</f>
        <v>#VALUE!</v>
      </c>
      <c r="BB5" s="208" t="e">
        <f aca="false">#VALUE!</f>
        <v>#VALUE!</v>
      </c>
      <c r="BC5" s="0"/>
      <c r="BD5" s="0"/>
      <c r="BE5" s="0"/>
      <c r="BF5" s="187"/>
      <c r="BG5" s="188" t="e">
        <v>#NAME?</v>
      </c>
      <c r="BH5" s="152" t="e">
        <f aca="false">_xlfn.xlookup(BG5,A:A,F:F)</f>
        <v>#NAME?</v>
      </c>
      <c r="BI5" s="188" t="e">
        <f aca="false">_xlfn.xlookup(BG5,A:A,J:J)</f>
        <v>#NAME?</v>
      </c>
      <c r="BJ5" s="153" t="e">
        <f aca="false">_xlfn.xlookup(BG5,A:A,N:N)+_xlfn.xlookup(BG5,A:A,O:O)</f>
        <v>#NAME?</v>
      </c>
      <c r="BK5" s="153" t="e">
        <f aca="false">_xlfn.xlookup(BG5,$A$3:$A$997,$AB$3:$AB$997)</f>
        <v>#NAME?</v>
      </c>
      <c r="BL5" s="188"/>
      <c r="BM5" s="205" t="s">
        <v>764</v>
      </c>
      <c r="BN5" s="206" t="e">
        <f aca="false">#VALUE!</f>
        <v>#VALUE!</v>
      </c>
      <c r="BO5" s="208" t="e">
        <f aca="false">#VALUE!</f>
        <v>#VALUE!</v>
      </c>
      <c r="BT5" s="189"/>
      <c r="BU5" s="189"/>
      <c r="BV5" s="209" t="s">
        <v>921</v>
      </c>
      <c r="BW5" s="210" t="n">
        <v>21579.91464</v>
      </c>
      <c r="BX5" s="211" t="n">
        <v>32715.37632</v>
      </c>
      <c r="BY5" s="211" t="n">
        <v>67265.91528</v>
      </c>
      <c r="BZ5" s="207"/>
      <c r="CA5" s="211" t="n">
        <v>11136.556464</v>
      </c>
      <c r="CB5" s="211" t="n">
        <v>576</v>
      </c>
      <c r="CC5" s="211" t="n">
        <v>43679.032276</v>
      </c>
      <c r="CD5" s="207"/>
      <c r="CE5" s="207"/>
      <c r="CF5" s="207"/>
      <c r="CG5" s="211" t="n">
        <v>25944.8964</v>
      </c>
      <c r="CH5" s="211" t="n">
        <v>25026.56352</v>
      </c>
      <c r="CI5" s="207"/>
      <c r="CJ5" s="207"/>
      <c r="CK5" s="211" t="n">
        <v>455.604</v>
      </c>
      <c r="CL5" s="207"/>
      <c r="CM5" s="212"/>
      <c r="CN5" s="213" t="n">
        <v>228379.8589</v>
      </c>
      <c r="CP5" s="209" t="s">
        <v>922</v>
      </c>
      <c r="CQ5" s="214"/>
      <c r="CR5" s="211" t="n">
        <v>7408.3428</v>
      </c>
      <c r="CS5" s="207"/>
      <c r="CT5" s="207"/>
      <c r="CU5" s="211" t="n">
        <v>3645.48384</v>
      </c>
      <c r="CV5" s="207"/>
      <c r="CW5" s="211" t="n">
        <v>2471.4864</v>
      </c>
      <c r="CX5" s="211" t="n">
        <v>2836.32864</v>
      </c>
      <c r="CY5" s="207"/>
      <c r="CZ5" s="207"/>
      <c r="DA5" s="207"/>
      <c r="DB5" s="207"/>
      <c r="DC5" s="212"/>
      <c r="DD5" s="213" t="n">
        <v>16361.64168</v>
      </c>
      <c r="DE5" s="1" t="s">
        <v>517</v>
      </c>
      <c r="DF5" s="154" t="n">
        <v>193876.56</v>
      </c>
    </row>
    <row r="6" customFormat="false" ht="16.4" hidden="false" customHeight="false" outlineLevel="0" collapsed="false">
      <c r="A6" s="140" t="s">
        <v>923</v>
      </c>
      <c r="B6" s="173"/>
      <c r="C6" s="174" t="n">
        <v>45406</v>
      </c>
      <c r="D6" s="173" t="n">
        <v>157</v>
      </c>
      <c r="E6" s="138" t="s">
        <v>63</v>
      </c>
      <c r="F6" s="138" t="s">
        <v>500</v>
      </c>
      <c r="G6" s="140"/>
      <c r="H6" s="173" t="n">
        <v>40032</v>
      </c>
      <c r="I6" s="173" t="n">
        <v>30013</v>
      </c>
      <c r="J6" s="140" t="s">
        <v>904</v>
      </c>
      <c r="K6" s="140"/>
      <c r="L6" s="175" t="n">
        <v>56251.56384</v>
      </c>
      <c r="M6" s="175" t="n">
        <v>13482</v>
      </c>
      <c r="N6" s="175" t="n">
        <v>41868</v>
      </c>
      <c r="O6" s="175" t="n">
        <v>0</v>
      </c>
      <c r="P6" s="175"/>
      <c r="Q6" s="176"/>
      <c r="R6" s="138" t="n">
        <v>16</v>
      </c>
      <c r="S6" s="177" t="n">
        <v>-83.72</v>
      </c>
      <c r="T6" s="215"/>
      <c r="U6" s="178" t="n">
        <v>0.358173933722525</v>
      </c>
      <c r="V6" s="177" t="n">
        <v>14996.0262570947</v>
      </c>
      <c r="W6" s="177" t="n">
        <v>322.916667074786</v>
      </c>
      <c r="X6" s="179" t="n">
        <v>0.0160273560138591</v>
      </c>
      <c r="Y6" s="177" t="n">
        <v>237.6</v>
      </c>
      <c r="Z6" s="177" t="n">
        <v>130.2</v>
      </c>
      <c r="AA6" s="177" t="n">
        <v>961.538461538462</v>
      </c>
      <c r="AB6" s="177" t="n">
        <v>16564.5613857079</v>
      </c>
      <c r="AC6" s="177"/>
      <c r="AD6" s="177"/>
      <c r="AE6" s="177" t="n">
        <v>17841.043368</v>
      </c>
      <c r="AF6" s="177" t="n">
        <v>1276.48198229207</v>
      </c>
      <c r="AG6" s="181" t="n">
        <v>0.0715474961840849</v>
      </c>
      <c r="AH6" s="180" t="n">
        <v>15318.9429241695</v>
      </c>
      <c r="AI6" s="181" t="n">
        <v>0.858634924437535</v>
      </c>
      <c r="AJ6" s="181"/>
      <c r="AK6" s="181" t="s">
        <v>923</v>
      </c>
      <c r="AL6" s="182" t="n">
        <v>0.395637751641061</v>
      </c>
      <c r="AN6" s="144" t="e">
        <v>#NAME?</v>
      </c>
      <c r="AO6" s="144" t="e">
        <f aca="false">_xlfn.xlookup(AN6,A:A,F:F)</f>
        <v>#NAME?</v>
      </c>
      <c r="AP6" s="144" t="e">
        <f aca="false">_xlfn.xlookup(AN6,A:A,J:J)</f>
        <v>#NAME?</v>
      </c>
      <c r="AQ6" s="144" t="e">
        <f aca="false">_xlfn.xlookup(AN6,A:A,N:N)+_xlfn.xlookup(AN6,A:A,O:O)</f>
        <v>#NAME?</v>
      </c>
      <c r="AR6" s="150" t="e">
        <f aca="false">_xlfn.xlookup(AN6,A:A,AH:AH)</f>
        <v>#NAME?</v>
      </c>
      <c r="AS6" s="150" t="e">
        <f aca="false">_xlfn.xlookup(AN6,A:A,S:S)</f>
        <v>#NAME?</v>
      </c>
      <c r="AT6" s="150" t="e">
        <f aca="false">_xlfn.xlookup(AN6,A:A,AE:AE)</f>
        <v>#NAME?</v>
      </c>
      <c r="AU6" s="150" t="e">
        <f aca="false">_xlfn.xlookup(AN6,A:A,AF:AF)</f>
        <v>#NAME?</v>
      </c>
      <c r="AW6" s="205" t="s">
        <v>768</v>
      </c>
      <c r="AX6" s="206" t="e">
        <f aca="false">#VALUE!</f>
        <v>#VALUE!</v>
      </c>
      <c r="AY6" s="207" t="e">
        <f aca="false">#VALUE!</f>
        <v>#VALUE!</v>
      </c>
      <c r="AZ6" s="207" t="e">
        <f aca="false">#VALUE!</f>
        <v>#VALUE!</v>
      </c>
      <c r="BA6" s="207" t="e">
        <f aca="false">#VALUE!</f>
        <v>#VALUE!</v>
      </c>
      <c r="BB6" s="208" t="e">
        <f aca="false">#VALUE!</f>
        <v>#VALUE!</v>
      </c>
      <c r="BC6" s="0"/>
      <c r="BD6" s="0"/>
      <c r="BE6" s="0"/>
      <c r="BF6" s="187"/>
      <c r="BG6" s="188" t="e">
        <v>#NAME?</v>
      </c>
      <c r="BH6" s="152" t="e">
        <f aca="false">_xlfn.xlookup(BG6,A:A,F:F)</f>
        <v>#NAME?</v>
      </c>
      <c r="BI6" s="188" t="e">
        <f aca="false">_xlfn.xlookup(BG6,A:A,J:J)</f>
        <v>#NAME?</v>
      </c>
      <c r="BJ6" s="153" t="e">
        <f aca="false">_xlfn.xlookup(BG6,A:A,N:N)+_xlfn.xlookup(BG6,A:A,O:O)</f>
        <v>#NAME?</v>
      </c>
      <c r="BK6" s="153" t="e">
        <f aca="false">_xlfn.xlookup(BG6,$A$3:$A$997,$AB$3:$AB$997)</f>
        <v>#NAME?</v>
      </c>
      <c r="BL6" s="188"/>
      <c r="BM6" s="205" t="s">
        <v>768</v>
      </c>
      <c r="BN6" s="206" t="e">
        <f aca="false">#VALUE!</f>
        <v>#VALUE!</v>
      </c>
      <c r="BO6" s="208" t="e">
        <f aca="false">#VALUE!</f>
        <v>#VALUE!</v>
      </c>
      <c r="BQ6" s="144" t="str">
        <f aca="false">IF(VALUE(MONTH(C6))&lt;10,YEAR(C6)&amp;"-0"&amp;MONTH(C6),YEAR(C6)&amp;"-"&amp;MONTH(C6))</f>
        <v>2024-04</v>
      </c>
      <c r="BR6" s="144" t="str">
        <f aca="false">J6</f>
        <v>D11-1</v>
      </c>
      <c r="BS6" s="144" t="str">
        <f aca="false">IF(ISNUMBER(FIND("-", BR6)), LEFT(BR6, FIND("-", BR6) - 1), BR6)</f>
        <v>D11</v>
      </c>
      <c r="BT6" s="189" t="n">
        <f aca="false">L6-M6+O6</f>
        <v>42769.56384</v>
      </c>
      <c r="BU6" s="189"/>
      <c r="BV6" s="209" t="s">
        <v>924</v>
      </c>
      <c r="BW6" s="214"/>
      <c r="BX6" s="211" t="n">
        <v>7188.0456</v>
      </c>
      <c r="BY6" s="211" t="n">
        <v>81934.144848</v>
      </c>
      <c r="BZ6" s="207"/>
      <c r="CA6" s="211" t="n">
        <v>27414.126432</v>
      </c>
      <c r="CB6" s="211" t="n">
        <v>4624.775184</v>
      </c>
      <c r="CC6" s="207"/>
      <c r="CD6" s="207"/>
      <c r="CE6" s="207"/>
      <c r="CF6" s="207"/>
      <c r="CG6" s="211" t="n">
        <v>42803.459712</v>
      </c>
      <c r="CH6" s="211" t="n">
        <v>7551.348</v>
      </c>
      <c r="CI6" s="207"/>
      <c r="CJ6" s="207"/>
      <c r="CK6" s="207"/>
      <c r="CL6" s="207"/>
      <c r="CM6" s="212"/>
      <c r="CN6" s="213" t="n">
        <v>171515.899776</v>
      </c>
      <c r="CP6" s="209" t="s">
        <v>925</v>
      </c>
      <c r="CQ6" s="214"/>
      <c r="CR6" s="211" t="n">
        <v>1937.55</v>
      </c>
      <c r="CS6" s="211" t="n">
        <v>45202.05288</v>
      </c>
      <c r="CT6" s="207"/>
      <c r="CU6" s="211" t="n">
        <v>8061.12184</v>
      </c>
      <c r="CV6" s="207"/>
      <c r="CW6" s="207"/>
      <c r="CX6" s="207"/>
      <c r="CY6" s="211" t="n">
        <v>1783.2</v>
      </c>
      <c r="CZ6" s="207"/>
      <c r="DA6" s="207"/>
      <c r="DB6" s="207"/>
      <c r="DC6" s="212"/>
      <c r="DD6" s="213" t="n">
        <v>56983.92472</v>
      </c>
      <c r="DF6" s="154"/>
    </row>
    <row r="7" customFormat="false" ht="16.4" hidden="false" customHeight="false" outlineLevel="0" collapsed="false">
      <c r="A7" s="140" t="s">
        <v>926</v>
      </c>
      <c r="B7" s="173"/>
      <c r="C7" s="174" t="n">
        <v>45425</v>
      </c>
      <c r="D7" s="173" t="n">
        <v>160</v>
      </c>
      <c r="E7" s="138" t="s">
        <v>57</v>
      </c>
      <c r="F7" s="138" t="s">
        <v>894</v>
      </c>
      <c r="G7" s="140"/>
      <c r="H7" s="173" t="n">
        <v>40036</v>
      </c>
      <c r="I7" s="173" t="n">
        <v>30014</v>
      </c>
      <c r="J7" s="140" t="s">
        <v>910</v>
      </c>
      <c r="K7" s="140"/>
      <c r="L7" s="175" t="n">
        <v>13755.68352</v>
      </c>
      <c r="M7" s="175" t="n">
        <v>11284.19712</v>
      </c>
      <c r="N7" s="175" t="n">
        <v>1005</v>
      </c>
      <c r="O7" s="175" t="n">
        <v>0</v>
      </c>
      <c r="P7" s="175"/>
      <c r="Q7" s="176"/>
      <c r="R7" s="138" t="n">
        <v>2</v>
      </c>
      <c r="S7" s="177" t="n">
        <v>0</v>
      </c>
      <c r="T7" s="215"/>
      <c r="U7" s="178" t="n">
        <v>0.260018757215609</v>
      </c>
      <c r="V7" s="177" t="n">
        <v>261.318851001687</v>
      </c>
      <c r="W7" s="177" t="n">
        <v>381.313971201592</v>
      </c>
      <c r="X7" s="179" t="n">
        <v>0.106609489660605</v>
      </c>
      <c r="Y7" s="177" t="n">
        <v>4.32</v>
      </c>
      <c r="Z7" s="177" t="n">
        <v>10.85</v>
      </c>
      <c r="AA7" s="177" t="n">
        <v>120.192307692308</v>
      </c>
      <c r="AB7" s="177" t="n">
        <v>777.995129895586</v>
      </c>
      <c r="AC7" s="177"/>
      <c r="AD7" s="177"/>
      <c r="AE7" s="177" t="n">
        <v>0</v>
      </c>
      <c r="AF7" s="177" t="n">
        <v>-777.995129895586</v>
      </c>
      <c r="AG7" s="181"/>
      <c r="AH7" s="180" t="n">
        <v>642.632822203279</v>
      </c>
      <c r="AI7" s="181"/>
      <c r="AJ7" s="181" t="s">
        <v>895</v>
      </c>
      <c r="AK7" s="181" t="s">
        <v>926</v>
      </c>
      <c r="AL7" s="182" t="n">
        <v>0.774124507358792</v>
      </c>
      <c r="AN7" s="144" t="e">
        <v>#NAME?</v>
      </c>
      <c r="AO7" s="144" t="e">
        <f aca="false">_xlfn.xlookup(AN7,A:A,F:F)</f>
        <v>#NAME?</v>
      </c>
      <c r="AP7" s="144" t="e">
        <f aca="false">_xlfn.xlookup(AN7,A:A,J:J)</f>
        <v>#NAME?</v>
      </c>
      <c r="AQ7" s="144" t="e">
        <f aca="false">_xlfn.xlookup(AN7,A:A,N:N)+_xlfn.xlookup(AN7,A:A,O:O)</f>
        <v>#NAME?</v>
      </c>
      <c r="AR7" s="150" t="e">
        <f aca="false">_xlfn.xlookup(AN7,A:A,AH:AH)</f>
        <v>#NAME?</v>
      </c>
      <c r="AS7" s="150" t="e">
        <f aca="false">_xlfn.xlookup(AN7,A:A,S:S)</f>
        <v>#NAME?</v>
      </c>
      <c r="AT7" s="150" t="e">
        <f aca="false">_xlfn.xlookup(AN7,A:A,AE:AE)</f>
        <v>#NAME?</v>
      </c>
      <c r="AU7" s="150" t="e">
        <f aca="false">_xlfn.xlookup(AN7,A:A,AF:AF)</f>
        <v>#NAME?</v>
      </c>
      <c r="AW7" s="205" t="s">
        <v>909</v>
      </c>
      <c r="AX7" s="206" t="e">
        <f aca="false">#VALUE!</f>
        <v>#VALUE!</v>
      </c>
      <c r="AY7" s="207" t="e">
        <f aca="false">#VALUE!</f>
        <v>#VALUE!</v>
      </c>
      <c r="AZ7" s="207" t="e">
        <f aca="false">#VALUE!</f>
        <v>#VALUE!</v>
      </c>
      <c r="BA7" s="207" t="e">
        <f aca="false">#VALUE!</f>
        <v>#VALUE!</v>
      </c>
      <c r="BB7" s="208" t="e">
        <f aca="false">#VALUE!</f>
        <v>#VALUE!</v>
      </c>
      <c r="BC7" s="0"/>
      <c r="BD7" s="0"/>
      <c r="BE7" s="0"/>
      <c r="BF7" s="187"/>
      <c r="BG7" s="188" t="e">
        <v>#NAME?</v>
      </c>
      <c r="BH7" s="152" t="e">
        <f aca="false">_xlfn.xlookup(BG7,A:A,F:F)</f>
        <v>#NAME?</v>
      </c>
      <c r="BI7" s="188" t="e">
        <f aca="false">_xlfn.xlookup(BG7,A:A,J:J)</f>
        <v>#NAME?</v>
      </c>
      <c r="BJ7" s="153" t="e">
        <f aca="false">_xlfn.xlookup(BG7,A:A,N:N)+_xlfn.xlookup(BG7,A:A,O:O)</f>
        <v>#NAME?</v>
      </c>
      <c r="BK7" s="153" t="e">
        <f aca="false">_xlfn.xlookup(BG7,$A$3:$A$997,$AB$3:$AB$997)</f>
        <v>#NAME?</v>
      </c>
      <c r="BL7" s="188"/>
      <c r="BM7" s="205" t="s">
        <v>762</v>
      </c>
      <c r="BN7" s="206" t="e">
        <f aca="false">#VALUE!</f>
        <v>#VALUE!</v>
      </c>
      <c r="BO7" s="208" t="e">
        <f aca="false">#VALUE!</f>
        <v>#VALUE!</v>
      </c>
      <c r="BQ7" s="144" t="str">
        <f aca="false">IF(VALUE(MONTH(C7))&lt;10,YEAR(C7)&amp;"-0"&amp;MONTH(C7),YEAR(C7)&amp;"-"&amp;MONTH(C7))</f>
        <v>2024-05</v>
      </c>
      <c r="BR7" s="144" t="str">
        <f aca="false">J7</f>
        <v>S11-3</v>
      </c>
      <c r="BS7" s="144" t="str">
        <f aca="false">IF(ISNUMBER(FIND("-", BR7)), LEFT(BR7, FIND("-", BR7) - 1), BR7)</f>
        <v>S11</v>
      </c>
      <c r="BT7" s="189" t="n">
        <f aca="false">L7-M7+O7</f>
        <v>2471.4864</v>
      </c>
      <c r="BU7" s="189"/>
      <c r="BV7" s="209" t="s">
        <v>917</v>
      </c>
      <c r="BW7" s="214"/>
      <c r="BX7" s="207"/>
      <c r="BY7" s="211" t="n">
        <v>42769.56384</v>
      </c>
      <c r="BZ7" s="207"/>
      <c r="CA7" s="207"/>
      <c r="CB7" s="207"/>
      <c r="CC7" s="207"/>
      <c r="CD7" s="207"/>
      <c r="CE7" s="207"/>
      <c r="CF7" s="207"/>
      <c r="CG7" s="207"/>
      <c r="CH7" s="207"/>
      <c r="CI7" s="207"/>
      <c r="CJ7" s="207"/>
      <c r="CK7" s="207"/>
      <c r="CL7" s="207"/>
      <c r="CM7" s="212"/>
      <c r="CN7" s="213" t="n">
        <v>42769.56384</v>
      </c>
      <c r="CP7" s="209" t="s">
        <v>927</v>
      </c>
      <c r="CQ7" s="210" t="n">
        <v>3845.00544</v>
      </c>
      <c r="CR7" s="211" t="n">
        <v>3659.9</v>
      </c>
      <c r="CS7" s="211" t="n">
        <v>101840.87168</v>
      </c>
      <c r="CT7" s="207"/>
      <c r="CU7" s="211" t="n">
        <v>46709.921</v>
      </c>
      <c r="CV7" s="207"/>
      <c r="CW7" s="207"/>
      <c r="CX7" s="211" t="n">
        <v>4699.21</v>
      </c>
      <c r="CY7" s="211" t="n">
        <v>3760.159</v>
      </c>
      <c r="CZ7" s="207"/>
      <c r="DA7" s="207"/>
      <c r="DB7" s="207"/>
      <c r="DC7" s="212"/>
      <c r="DD7" s="213" t="n">
        <v>164515.06712</v>
      </c>
      <c r="DE7" s="1" t="s">
        <v>509</v>
      </c>
      <c r="DF7" s="154" t="n">
        <v>453284.01144</v>
      </c>
    </row>
    <row r="8" customFormat="false" ht="16.4" hidden="false" customHeight="false" outlineLevel="0" collapsed="false">
      <c r="A8" s="140" t="s">
        <v>928</v>
      </c>
      <c r="B8" s="173"/>
      <c r="C8" s="174" t="n">
        <v>45425</v>
      </c>
      <c r="D8" s="173" t="n">
        <v>160</v>
      </c>
      <c r="E8" s="138" t="s">
        <v>57</v>
      </c>
      <c r="F8" s="138" t="s">
        <v>894</v>
      </c>
      <c r="G8" s="140"/>
      <c r="H8" s="173" t="n">
        <v>40037</v>
      </c>
      <c r="I8" s="173" t="n">
        <v>30015</v>
      </c>
      <c r="J8" s="140" t="s">
        <v>762</v>
      </c>
      <c r="K8" s="140"/>
      <c r="L8" s="175" t="n">
        <v>13826.52576</v>
      </c>
      <c r="M8" s="175" t="n">
        <v>11815.19712</v>
      </c>
      <c r="N8" s="175" t="n">
        <v>1005</v>
      </c>
      <c r="O8" s="175" t="n">
        <v>0</v>
      </c>
      <c r="P8" s="175"/>
      <c r="Q8" s="176"/>
      <c r="R8" s="138" t="n">
        <v>2</v>
      </c>
      <c r="S8" s="177" t="n">
        <v>0</v>
      </c>
      <c r="T8" s="215"/>
      <c r="U8" s="178" t="n">
        <v>0.268854241086576</v>
      </c>
      <c r="V8" s="177" t="n">
        <v>270.198512292009</v>
      </c>
      <c r="W8" s="177" t="n">
        <v>270.555722790886</v>
      </c>
      <c r="X8" s="179" t="n">
        <v>0.0727824659258436</v>
      </c>
      <c r="Y8" s="177" t="n">
        <v>4.32</v>
      </c>
      <c r="Z8" s="177" t="n">
        <v>10.85</v>
      </c>
      <c r="AA8" s="177" t="n">
        <v>120.192307692308</v>
      </c>
      <c r="AB8" s="177" t="n">
        <v>676.116542775203</v>
      </c>
      <c r="AC8" s="177"/>
      <c r="AD8" s="177"/>
      <c r="AE8" s="177" t="n">
        <v>0</v>
      </c>
      <c r="AF8" s="177" t="n">
        <v>-676.116542775203</v>
      </c>
      <c r="AG8" s="181"/>
      <c r="AH8" s="180" t="n">
        <v>540.754235082895</v>
      </c>
      <c r="AI8" s="181"/>
      <c r="AJ8" s="181" t="s">
        <v>895</v>
      </c>
      <c r="AK8" s="181" t="s">
        <v>928</v>
      </c>
      <c r="AL8" s="182" t="n">
        <v>0.672752778880799</v>
      </c>
      <c r="AN8" s="144" t="e">
        <v>#NAME?</v>
      </c>
      <c r="AO8" s="144" t="e">
        <f aca="false">_xlfn.xlookup(AN8,A:A,F:F)</f>
        <v>#NAME?</v>
      </c>
      <c r="AP8" s="144" t="e">
        <f aca="false">_xlfn.xlookup(AN8,A:A,J:J)</f>
        <v>#NAME?</v>
      </c>
      <c r="AQ8" s="144" t="e">
        <f aca="false">_xlfn.xlookup(AN8,A:A,N:N)+_xlfn.xlookup(AN8,A:A,O:O)</f>
        <v>#NAME?</v>
      </c>
      <c r="AR8" s="150" t="e">
        <f aca="false">_xlfn.xlookup(AN8,A:A,AH:AH)</f>
        <v>#NAME?</v>
      </c>
      <c r="AS8" s="150" t="e">
        <f aca="false">_xlfn.xlookup(AN8,A:A,S:S)</f>
        <v>#NAME?</v>
      </c>
      <c r="AT8" s="150" t="e">
        <f aca="false">_xlfn.xlookup(AN8,A:A,AE:AE)</f>
        <v>#NAME?</v>
      </c>
      <c r="AU8" s="150" t="e">
        <f aca="false">_xlfn.xlookup(AN8,A:A,AF:AF)</f>
        <v>#NAME?</v>
      </c>
      <c r="AW8" s="205" t="s">
        <v>762</v>
      </c>
      <c r="AX8" s="206" t="e">
        <f aca="false">#VALUE!</f>
        <v>#VALUE!</v>
      </c>
      <c r="AY8" s="207" t="e">
        <f aca="false">#VALUE!</f>
        <v>#VALUE!</v>
      </c>
      <c r="AZ8" s="207" t="e">
        <f aca="false">#VALUE!</f>
        <v>#VALUE!</v>
      </c>
      <c r="BA8" s="207" t="e">
        <f aca="false">#VALUE!</f>
        <v>#VALUE!</v>
      </c>
      <c r="BB8" s="208" t="e">
        <f aca="false">#VALUE!</f>
        <v>#VALUE!</v>
      </c>
      <c r="BC8" s="0"/>
      <c r="BD8" s="0"/>
      <c r="BE8" s="0"/>
      <c r="BF8" s="187"/>
      <c r="BG8" s="188" t="e">
        <v>#NAME?</v>
      </c>
      <c r="BH8" s="152" t="e">
        <f aca="false">_xlfn.xlookup(BG8,A:A,F:F)</f>
        <v>#NAME?</v>
      </c>
      <c r="BI8" s="188" t="e">
        <f aca="false">_xlfn.xlookup(BG8,A:A,J:J)</f>
        <v>#NAME?</v>
      </c>
      <c r="BJ8" s="153" t="e">
        <f aca="false">_xlfn.xlookup(BG8,A:A,N:N)+_xlfn.xlookup(BG8,A:A,O:O)</f>
        <v>#NAME?</v>
      </c>
      <c r="BK8" s="153" t="e">
        <f aca="false">_xlfn.xlookup(BG8,$A$3:$A$997,$AB$3:$AB$997)</f>
        <v>#NAME?</v>
      </c>
      <c r="BL8" s="188"/>
      <c r="BM8" s="205" t="s">
        <v>760</v>
      </c>
      <c r="BN8" s="206" t="e">
        <f aca="false">#VALUE!</f>
        <v>#VALUE!</v>
      </c>
      <c r="BO8" s="208" t="e">
        <f aca="false">#VALUE!</f>
        <v>#VALUE!</v>
      </c>
      <c r="BQ8" s="144" t="str">
        <f aca="false">IF(VALUE(MONTH(C8))&lt;10,YEAR(C8)&amp;"-0"&amp;MONTH(C8),YEAR(C8)&amp;"-"&amp;MONTH(C8))</f>
        <v>2024-05</v>
      </c>
      <c r="BR8" s="144" t="str">
        <f aca="false">J8</f>
        <v>S15-3</v>
      </c>
      <c r="BS8" s="144" t="str">
        <f aca="false">IF(ISNUMBER(FIND("-", BR8)), LEFT(BR8, FIND("-", BR8) - 1), BR8)</f>
        <v>S15</v>
      </c>
      <c r="BT8" s="189" t="n">
        <f aca="false">L8-M8+O8</f>
        <v>2011.32864</v>
      </c>
      <c r="BU8" s="189"/>
      <c r="BV8" s="209" t="s">
        <v>922</v>
      </c>
      <c r="BW8" s="214"/>
      <c r="BX8" s="211" t="n">
        <v>7408.3428</v>
      </c>
      <c r="BY8" s="207"/>
      <c r="BZ8" s="207"/>
      <c r="CA8" s="207"/>
      <c r="CB8" s="207"/>
      <c r="CC8" s="207"/>
      <c r="CD8" s="211" t="n">
        <v>3645.48384</v>
      </c>
      <c r="CE8" s="207"/>
      <c r="CF8" s="211" t="n">
        <v>2471.4864</v>
      </c>
      <c r="CG8" s="211" t="n">
        <v>2836.32864</v>
      </c>
      <c r="CH8" s="207"/>
      <c r="CI8" s="207"/>
      <c r="CJ8" s="207"/>
      <c r="CK8" s="207"/>
      <c r="CL8" s="207"/>
      <c r="CM8" s="212"/>
      <c r="CN8" s="213" t="n">
        <v>16361.64168</v>
      </c>
      <c r="CP8" s="209" t="s">
        <v>929</v>
      </c>
      <c r="CQ8" s="214"/>
      <c r="CR8" s="211" t="n">
        <v>3008.49024</v>
      </c>
      <c r="CS8" s="211" t="n">
        <v>29768</v>
      </c>
      <c r="CT8" s="207"/>
      <c r="CU8" s="211" t="n">
        <v>23199.51284</v>
      </c>
      <c r="CV8" s="207"/>
      <c r="CW8" s="207"/>
      <c r="CX8" s="211" t="n">
        <v>6003.4368</v>
      </c>
      <c r="CY8" s="211" t="n">
        <v>12829.87968</v>
      </c>
      <c r="CZ8" s="207"/>
      <c r="DA8" s="207"/>
      <c r="DB8" s="207"/>
      <c r="DC8" s="212"/>
      <c r="DD8" s="213" t="n">
        <v>74809.31956</v>
      </c>
      <c r="DE8" s="1"/>
      <c r="DF8" s="154"/>
    </row>
    <row r="9" customFormat="false" ht="16.4" hidden="false" customHeight="false" outlineLevel="0" collapsed="false">
      <c r="A9" s="140" t="s">
        <v>930</v>
      </c>
      <c r="B9" s="173"/>
      <c r="C9" s="174" t="n">
        <v>45428</v>
      </c>
      <c r="D9" s="173"/>
      <c r="E9" s="138" t="s">
        <v>131</v>
      </c>
      <c r="F9" s="138" t="s">
        <v>131</v>
      </c>
      <c r="G9" s="140"/>
      <c r="H9" s="173" t="n">
        <v>40033</v>
      </c>
      <c r="I9" s="173" t="n">
        <v>30013</v>
      </c>
      <c r="J9" s="140" t="s">
        <v>904</v>
      </c>
      <c r="K9" s="140"/>
      <c r="L9" s="175" t="n">
        <v>10387.19232</v>
      </c>
      <c r="M9" s="175" t="n">
        <v>9414.48</v>
      </c>
      <c r="N9" s="175" t="n">
        <v>0</v>
      </c>
      <c r="O9" s="175" t="n">
        <v>0</v>
      </c>
      <c r="P9" s="175"/>
      <c r="Q9" s="176"/>
      <c r="R9" s="138" t="n">
        <v>6</v>
      </c>
      <c r="S9" s="177" t="n">
        <v>0</v>
      </c>
      <c r="T9" s="215"/>
      <c r="U9" s="178" t="n">
        <v>0.358173933722525</v>
      </c>
      <c r="V9" s="177" t="n">
        <v>0</v>
      </c>
      <c r="W9" s="177" t="n">
        <v>348.400198034764</v>
      </c>
      <c r="X9" s="179" t="n">
        <v>0.0936453557451799</v>
      </c>
      <c r="Y9" s="177" t="n">
        <v>0</v>
      </c>
      <c r="Z9" s="177" t="n">
        <v>0</v>
      </c>
      <c r="AA9" s="177" t="n">
        <v>360.576923076923</v>
      </c>
      <c r="AB9" s="177" t="n">
        <v>708.977121111687</v>
      </c>
      <c r="AC9" s="177"/>
      <c r="AD9" s="177"/>
      <c r="AE9" s="177" t="n">
        <v>0</v>
      </c>
      <c r="AF9" s="177" t="n">
        <v>-708.977121111687</v>
      </c>
      <c r="AG9" s="181"/>
      <c r="AH9" s="180" t="n">
        <v>348.400198034764</v>
      </c>
      <c r="AI9" s="181"/>
      <c r="AJ9" s="181" t="s">
        <v>895</v>
      </c>
      <c r="AK9" s="181" t="s">
        <v>930</v>
      </c>
      <c r="AL9" s="182" t="n">
        <v>0.470487871310841</v>
      </c>
      <c r="AN9" s="144" t="e">
        <v>#NAME?</v>
      </c>
      <c r="AO9" s="144" t="e">
        <f aca="false">_xlfn.xlookup(AN9,A:A,F:F)</f>
        <v>#NAME?</v>
      </c>
      <c r="AP9" s="144" t="e">
        <f aca="false">_xlfn.xlookup(AN9,A:A,J:J)</f>
        <v>#NAME?</v>
      </c>
      <c r="AQ9" s="144" t="e">
        <f aca="false">_xlfn.xlookup(AN9,A:A,N:N)+_xlfn.xlookup(AN9,A:A,O:O)</f>
        <v>#NAME?</v>
      </c>
      <c r="AR9" s="150" t="e">
        <f aca="false">_xlfn.xlookup(AN9,A:A,AH:AH)</f>
        <v>#NAME?</v>
      </c>
      <c r="AS9" s="150" t="e">
        <f aca="false">_xlfn.xlookup(AN9,A:A,S:S)</f>
        <v>#NAME?</v>
      </c>
      <c r="AT9" s="150" t="e">
        <f aca="false">_xlfn.xlookup(AN9,A:A,AE:AE)</f>
        <v>#NAME?</v>
      </c>
      <c r="AU9" s="150" t="e">
        <f aca="false">_xlfn.xlookup(AN9,A:A,AF:AF)</f>
        <v>#NAME?</v>
      </c>
      <c r="AW9" s="205" t="s">
        <v>760</v>
      </c>
      <c r="AX9" s="206" t="e">
        <f aca="false">#VALUE!</f>
        <v>#VALUE!</v>
      </c>
      <c r="AY9" s="207" t="e">
        <f aca="false">#VALUE!</f>
        <v>#VALUE!</v>
      </c>
      <c r="AZ9" s="207" t="e">
        <f aca="false">#VALUE!</f>
        <v>#VALUE!</v>
      </c>
      <c r="BA9" s="207" t="e">
        <f aca="false">#VALUE!</f>
        <v>#VALUE!</v>
      </c>
      <c r="BB9" s="208" t="e">
        <f aca="false">#VALUE!</f>
        <v>#VALUE!</v>
      </c>
      <c r="BC9" s="0"/>
      <c r="BD9" s="0"/>
      <c r="BE9" s="0"/>
      <c r="BF9" s="187"/>
      <c r="BG9" s="188" t="e">
        <v>#NAME?</v>
      </c>
      <c r="BH9" s="152" t="e">
        <f aca="false">_xlfn.xlookup(BG9,A:A,F:F)</f>
        <v>#NAME?</v>
      </c>
      <c r="BI9" s="188" t="e">
        <f aca="false">_xlfn.xlookup(BG9,A:A,J:J)</f>
        <v>#NAME?</v>
      </c>
      <c r="BJ9" s="153" t="e">
        <f aca="false">_xlfn.xlookup(BG9,A:A,N:N)+_xlfn.xlookup(BG9,A:A,O:O)</f>
        <v>#NAME?</v>
      </c>
      <c r="BK9" s="153" t="e">
        <f aca="false">_xlfn.xlookup(BG9,$A$3:$A$997,$AB$3:$AB$997)</f>
        <v>#NAME?</v>
      </c>
      <c r="BL9" s="188"/>
      <c r="BM9" s="216" t="s">
        <v>790</v>
      </c>
      <c r="BN9" s="217" t="e">
        <f aca="false">#VALUE!</f>
        <v>#VALUE!</v>
      </c>
      <c r="BO9" s="218" t="e">
        <f aca="false">#VALUE!</f>
        <v>#VALUE!</v>
      </c>
      <c r="BT9" s="189"/>
      <c r="BU9" s="189"/>
      <c r="BV9" s="209" t="s">
        <v>925</v>
      </c>
      <c r="BW9" s="214"/>
      <c r="BX9" s="211" t="n">
        <v>1937.55</v>
      </c>
      <c r="BY9" s="211" t="n">
        <v>45202.05288</v>
      </c>
      <c r="BZ9" s="207"/>
      <c r="CA9" s="207"/>
      <c r="CB9" s="207"/>
      <c r="CC9" s="207"/>
      <c r="CD9" s="211" t="n">
        <v>8061.12184</v>
      </c>
      <c r="CE9" s="207"/>
      <c r="CF9" s="207"/>
      <c r="CG9" s="207"/>
      <c r="CH9" s="211" t="n">
        <v>1783.2</v>
      </c>
      <c r="CI9" s="207"/>
      <c r="CJ9" s="207"/>
      <c r="CK9" s="207"/>
      <c r="CL9" s="207"/>
      <c r="CM9" s="212"/>
      <c r="CN9" s="213" t="n">
        <v>56983.92472</v>
      </c>
      <c r="CP9" s="209" t="s">
        <v>931</v>
      </c>
      <c r="CQ9" s="214"/>
      <c r="CR9" s="211" t="n">
        <v>40156.58</v>
      </c>
      <c r="CS9" s="207"/>
      <c r="CT9" s="211" t="n">
        <v>35573.454048</v>
      </c>
      <c r="CU9" s="211" t="n">
        <v>42691.85</v>
      </c>
      <c r="CV9" s="207"/>
      <c r="CW9" s="207"/>
      <c r="CX9" s="211" t="n">
        <v>7445.9</v>
      </c>
      <c r="CY9" s="211" t="n">
        <v>11482.91</v>
      </c>
      <c r="CZ9" s="207"/>
      <c r="DA9" s="207"/>
      <c r="DB9" s="207"/>
      <c r="DC9" s="212"/>
      <c r="DD9" s="213" t="n">
        <v>137350.694048</v>
      </c>
      <c r="DE9" s="1" t="s">
        <v>452</v>
      </c>
      <c r="DF9" s="154" t="n">
        <v>35433.36</v>
      </c>
    </row>
    <row r="10" s="204" customFormat="true" ht="16.4" hidden="false" customHeight="false" outlineLevel="0" collapsed="false">
      <c r="A10" s="219" t="s">
        <v>932</v>
      </c>
      <c r="B10" s="220"/>
      <c r="C10" s="221" t="n">
        <v>45428</v>
      </c>
      <c r="D10" s="220"/>
      <c r="E10" s="222" t="s">
        <v>131</v>
      </c>
      <c r="F10" s="138" t="s">
        <v>131</v>
      </c>
      <c r="G10" s="140" t="s">
        <v>933</v>
      </c>
      <c r="H10" s="220" t="n">
        <v>40033</v>
      </c>
      <c r="I10" s="220" t="n">
        <v>30013</v>
      </c>
      <c r="J10" s="140" t="s">
        <v>904</v>
      </c>
      <c r="K10" s="140"/>
      <c r="L10" s="175"/>
      <c r="M10" s="175"/>
      <c r="N10" s="175"/>
      <c r="O10" s="175"/>
      <c r="P10" s="175"/>
      <c r="Q10" s="176"/>
      <c r="R10" s="138"/>
      <c r="S10" s="177" t="n">
        <v>0</v>
      </c>
      <c r="T10" s="215"/>
      <c r="U10" s="178"/>
      <c r="V10" s="223"/>
      <c r="W10" s="223"/>
      <c r="X10" s="179" t="e">
        <f aca="false">#DIV/0!</f>
        <v>#DIV/0!</v>
      </c>
      <c r="Y10" s="223"/>
      <c r="Z10" s="223"/>
      <c r="AA10" s="223"/>
      <c r="AB10" s="177" t="n">
        <v>0</v>
      </c>
      <c r="AC10" s="223"/>
      <c r="AD10" s="223"/>
      <c r="AE10" s="223"/>
      <c r="AF10" s="177" t="n">
        <v>0</v>
      </c>
      <c r="AG10" s="224"/>
      <c r="AH10" s="180" t="n">
        <v>0</v>
      </c>
      <c r="AI10" s="181"/>
      <c r="AJ10" s="224" t="s">
        <v>895</v>
      </c>
      <c r="AK10" s="181" t="s">
        <v>932</v>
      </c>
      <c r="AL10" s="182"/>
      <c r="AN10" s="204" t="e">
        <v>#NAME?</v>
      </c>
      <c r="AO10" s="204" t="e">
        <f aca="false">_xlfn.xlookup(AN10,A:A,F:F)</f>
        <v>#NAME?</v>
      </c>
      <c r="AP10" s="204" t="e">
        <f aca="false">_xlfn.xlookup(AN10,A:A,J:J)</f>
        <v>#NAME?</v>
      </c>
      <c r="AQ10" s="204" t="e">
        <f aca="false">_xlfn.xlookup(AN10,A:A,N:N)+_xlfn.xlookup(AN10,A:A,O:O)</f>
        <v>#NAME?</v>
      </c>
      <c r="AR10" s="150" t="e">
        <f aca="false">_xlfn.xlookup(AN10,A:A,AH:AH)</f>
        <v>#NAME?</v>
      </c>
      <c r="AS10" s="150" t="e">
        <f aca="false">_xlfn.xlookup(AN10,A:A,S:S)</f>
        <v>#NAME?</v>
      </c>
      <c r="AT10" s="150" t="e">
        <f aca="false">_xlfn.xlookup(AN10,A:A,AE:AE)</f>
        <v>#NAME?</v>
      </c>
      <c r="AU10" s="150" t="e">
        <f aca="false">_xlfn.xlookup(AN10,A:A,AF:AF)</f>
        <v>#NAME?</v>
      </c>
      <c r="AW10" s="216" t="s">
        <v>790</v>
      </c>
      <c r="AX10" s="217" t="e">
        <f aca="false">#VALUE!</f>
        <v>#VALUE!</v>
      </c>
      <c r="AY10" s="225" t="e">
        <f aca="false">#VALUE!</f>
        <v>#VALUE!</v>
      </c>
      <c r="AZ10" s="225" t="e">
        <f aca="false">#VALUE!</f>
        <v>#VALUE!</v>
      </c>
      <c r="BA10" s="225" t="e">
        <f aca="false">#VALUE!</f>
        <v>#VALUE!</v>
      </c>
      <c r="BB10" s="218" t="e">
        <f aca="false">#VALUE!</f>
        <v>#VALUE!</v>
      </c>
      <c r="BC10" s="0"/>
      <c r="BD10" s="0"/>
      <c r="BE10" s="0"/>
      <c r="BF10" s="187"/>
      <c r="BG10" s="188" t="e">
        <v>#NAME?</v>
      </c>
      <c r="BH10" s="152" t="e">
        <f aca="false">_xlfn.xlookup(BG10,A:A,F:F)</f>
        <v>#NAME?</v>
      </c>
      <c r="BI10" s="188" t="e">
        <f aca="false">_xlfn.xlookup(BG10,A:A,J:J)</f>
        <v>#NAME?</v>
      </c>
      <c r="BJ10" s="153" t="e">
        <f aca="false">_xlfn.xlookup(BG10,A:A,N:N)+_xlfn.xlookup(BG10,A:A,O:O)</f>
        <v>#NAME?</v>
      </c>
      <c r="BK10" s="153" t="e">
        <f aca="false">_xlfn.xlookup(BG10,$A$3:$A$997,$AB$3:$AB$997)</f>
        <v>#NAME?</v>
      </c>
      <c r="BL10" s="188"/>
      <c r="BM10" s="194" t="s">
        <v>141</v>
      </c>
      <c r="BN10" s="195" t="e">
        <f aca="false">#VALUE!</f>
        <v>#VALUE!</v>
      </c>
      <c r="BO10" s="197" t="e">
        <f aca="false">#VALUE!</f>
        <v>#VALUE!</v>
      </c>
      <c r="BT10" s="189"/>
      <c r="BU10" s="189"/>
      <c r="BV10" s="209" t="s">
        <v>927</v>
      </c>
      <c r="BW10" s="210" t="n">
        <v>3845.00544</v>
      </c>
      <c r="BX10" s="211" t="n">
        <v>3659.9</v>
      </c>
      <c r="BY10" s="211" t="n">
        <v>101840.87168</v>
      </c>
      <c r="BZ10" s="207"/>
      <c r="CA10" s="207"/>
      <c r="CB10" s="207"/>
      <c r="CC10" s="207"/>
      <c r="CD10" s="211" t="n">
        <v>46709.921</v>
      </c>
      <c r="CE10" s="207"/>
      <c r="CF10" s="207"/>
      <c r="CG10" s="211" t="n">
        <v>4699.21</v>
      </c>
      <c r="CH10" s="211" t="n">
        <v>3760.159</v>
      </c>
      <c r="CI10" s="207"/>
      <c r="CJ10" s="207"/>
      <c r="CK10" s="207"/>
      <c r="CL10" s="207"/>
      <c r="CM10" s="212"/>
      <c r="CN10" s="213" t="n">
        <v>164515.06712</v>
      </c>
      <c r="CP10" s="209" t="s">
        <v>916</v>
      </c>
      <c r="CQ10" s="210" t="n">
        <v>6511.296</v>
      </c>
      <c r="CR10" s="211" t="n">
        <v>25847.096736</v>
      </c>
      <c r="CS10" s="211" t="n">
        <v>12666.426336</v>
      </c>
      <c r="CT10" s="211" t="n">
        <v>128184.702576</v>
      </c>
      <c r="CU10" s="211" t="n">
        <v>9849.70368</v>
      </c>
      <c r="CV10" s="207"/>
      <c r="CW10" s="207"/>
      <c r="CX10" s="211" t="n">
        <v>33695.38816</v>
      </c>
      <c r="CY10" s="211" t="n">
        <v>8164.07784</v>
      </c>
      <c r="CZ10" s="211" t="n">
        <v>735.71376</v>
      </c>
      <c r="DA10" s="211" t="n">
        <v>1205.9472</v>
      </c>
      <c r="DB10" s="211" t="n">
        <v>27659.525056</v>
      </c>
      <c r="DC10" s="212"/>
      <c r="DD10" s="213" t="n">
        <v>254519.877344</v>
      </c>
      <c r="DE10" s="1"/>
      <c r="DF10" s="226"/>
    </row>
    <row r="11" customFormat="false" ht="16.4" hidden="false" customHeight="false" outlineLevel="0" collapsed="false">
      <c r="A11" s="140" t="s">
        <v>934</v>
      </c>
      <c r="B11" s="173"/>
      <c r="C11" s="174" t="n">
        <v>45428</v>
      </c>
      <c r="D11" s="173" t="n">
        <v>161</v>
      </c>
      <c r="E11" s="138" t="s">
        <v>78</v>
      </c>
      <c r="F11" s="138" t="s">
        <v>919</v>
      </c>
      <c r="G11" s="140"/>
      <c r="H11" s="173" t="n">
        <v>40038</v>
      </c>
      <c r="I11" s="173" t="n">
        <v>30015</v>
      </c>
      <c r="J11" s="140" t="s">
        <v>762</v>
      </c>
      <c r="K11" s="140"/>
      <c r="L11" s="175" t="n">
        <v>5310</v>
      </c>
      <c r="M11" s="175" t="n">
        <v>4485</v>
      </c>
      <c r="N11" s="175" t="n">
        <v>780</v>
      </c>
      <c r="O11" s="175" t="n">
        <v>0</v>
      </c>
      <c r="P11" s="175"/>
      <c r="Q11" s="176"/>
      <c r="R11" s="138" t="n">
        <v>2</v>
      </c>
      <c r="S11" s="177" t="n">
        <v>185</v>
      </c>
      <c r="T11" s="215"/>
      <c r="U11" s="178" t="n">
        <v>0.268854241086576</v>
      </c>
      <c r="V11" s="177" t="n">
        <v>209.70630804753</v>
      </c>
      <c r="W11" s="177" t="n">
        <v>12.0984408488959</v>
      </c>
      <c r="X11" s="179" t="n">
        <v>0.00847457627118644</v>
      </c>
      <c r="Y11" s="177" t="n">
        <v>3.15941294117647</v>
      </c>
      <c r="Z11" s="177" t="n">
        <v>21.7</v>
      </c>
      <c r="AA11" s="177" t="n">
        <v>120.192307692308</v>
      </c>
      <c r="AB11" s="177" t="n">
        <v>551.85646952991</v>
      </c>
      <c r="AC11" s="215" t="n">
        <v>0</v>
      </c>
      <c r="AD11" s="215" t="s">
        <v>77</v>
      </c>
      <c r="AE11" s="177" t="n">
        <v>0</v>
      </c>
      <c r="AF11" s="177" t="n">
        <v>-551.85646952991</v>
      </c>
      <c r="AG11" s="181"/>
      <c r="AH11" s="180" t="n">
        <v>221.804748896426</v>
      </c>
      <c r="AI11" s="181"/>
      <c r="AJ11" s="181" t="s">
        <v>895</v>
      </c>
      <c r="AK11" s="181" t="s">
        <v>934</v>
      </c>
      <c r="AL11" s="182" t="n">
        <v>0.707508294269115</v>
      </c>
      <c r="AN11" s="144" t="e">
        <v>#NAME?</v>
      </c>
      <c r="AO11" s="144" t="e">
        <f aca="false">_xlfn.xlookup(AN11,A:A,F:F)</f>
        <v>#NAME?</v>
      </c>
      <c r="AP11" s="144" t="e">
        <f aca="false">_xlfn.xlookup(AN11,A:A,J:J)</f>
        <v>#NAME?</v>
      </c>
      <c r="AQ11" s="144" t="e">
        <f aca="false">_xlfn.xlookup(AN11,A:A,N:N)+_xlfn.xlookup(AN11,A:A,O:O)</f>
        <v>#NAME?</v>
      </c>
      <c r="AR11" s="150" t="e">
        <f aca="false">_xlfn.xlookup(AN11,A:A,AH:AH)</f>
        <v>#NAME?</v>
      </c>
      <c r="AS11" s="150" t="e">
        <f aca="false">_xlfn.xlookup(AN11,A:A,S:S)</f>
        <v>#NAME?</v>
      </c>
      <c r="AT11" s="150" t="e">
        <f aca="false">_xlfn.xlookup(AN11,A:A,AE:AE)</f>
        <v>#NAME?</v>
      </c>
      <c r="AU11" s="150" t="e">
        <f aca="false">_xlfn.xlookup(AN11,A:A,AF:AF)</f>
        <v>#NAME?</v>
      </c>
      <c r="AW11" s="194" t="s">
        <v>935</v>
      </c>
      <c r="AX11" s="195" t="e">
        <f aca="false">#VALUE!</f>
        <v>#VALUE!</v>
      </c>
      <c r="AY11" s="196" t="e">
        <f aca="false">#VALUE!</f>
        <v>#VALUE!</v>
      </c>
      <c r="AZ11" s="196" t="e">
        <f aca="false">#VALUE!</f>
        <v>#VALUE!</v>
      </c>
      <c r="BA11" s="196" t="e">
        <f aca="false">#VALUE!</f>
        <v>#VALUE!</v>
      </c>
      <c r="BB11" s="197" t="e">
        <f aca="false">#VALUE!</f>
        <v>#VALUE!</v>
      </c>
      <c r="BC11" s="0"/>
      <c r="BD11" s="0"/>
      <c r="BE11" s="0"/>
      <c r="BF11" s="187"/>
      <c r="BG11" s="188" t="e">
        <v>#NAME?</v>
      </c>
      <c r="BH11" s="152" t="e">
        <f aca="false">_xlfn.xlookup(BG11,A:A,F:F)</f>
        <v>#NAME?</v>
      </c>
      <c r="BI11" s="188" t="e">
        <f aca="false">_xlfn.xlookup(BG11,A:A,J:J)</f>
        <v>#NAME?</v>
      </c>
      <c r="BJ11" s="153" t="e">
        <f aca="false">_xlfn.xlookup(BG11,A:A,N:N)+_xlfn.xlookup(BG11,A:A,O:O)</f>
        <v>#NAME?</v>
      </c>
      <c r="BK11" s="153" t="e">
        <f aca="false">_xlfn.xlookup(BG11,$A$3:$A$997,$AB$3:$AB$997)</f>
        <v>#NAME?</v>
      </c>
      <c r="BL11" s="188"/>
      <c r="BM11" s="205" t="s">
        <v>764</v>
      </c>
      <c r="BN11" s="206" t="e">
        <f aca="false">#VALUE!</f>
        <v>#VALUE!</v>
      </c>
      <c r="BO11" s="208" t="e">
        <f aca="false">#VALUE!</f>
        <v>#VALUE!</v>
      </c>
      <c r="BQ11" s="144" t="str">
        <f aca="false">IF(VALUE(MONTH(C11))&lt;10,YEAR(C11)&amp;"-0"&amp;MONTH(C11),YEAR(C11)&amp;"-"&amp;MONTH(C11))</f>
        <v>2024-05</v>
      </c>
      <c r="BR11" s="144" t="str">
        <f aca="false">J11</f>
        <v>S15-3</v>
      </c>
      <c r="BS11" s="144" t="str">
        <f aca="false">IF(ISNUMBER(FIND("-", BR11)), LEFT(BR11, FIND("-", BR11) - 1), BR11)</f>
        <v>S15</v>
      </c>
      <c r="BT11" s="189" t="n">
        <f aca="false">L11-M11+O11</f>
        <v>825</v>
      </c>
      <c r="BU11" s="189"/>
      <c r="BV11" s="209" t="s">
        <v>929</v>
      </c>
      <c r="BW11" s="214"/>
      <c r="BX11" s="211" t="n">
        <v>3008.49024</v>
      </c>
      <c r="BY11" s="211" t="n">
        <v>29768</v>
      </c>
      <c r="BZ11" s="207"/>
      <c r="CA11" s="207"/>
      <c r="CB11" s="207"/>
      <c r="CC11" s="207"/>
      <c r="CD11" s="211" t="n">
        <v>23199.51284</v>
      </c>
      <c r="CE11" s="207"/>
      <c r="CF11" s="207"/>
      <c r="CG11" s="211" t="n">
        <v>6003.4368</v>
      </c>
      <c r="CH11" s="211" t="n">
        <v>12829.87968</v>
      </c>
      <c r="CI11" s="207"/>
      <c r="CJ11" s="207"/>
      <c r="CK11" s="207"/>
      <c r="CL11" s="207"/>
      <c r="CM11" s="212"/>
      <c r="CN11" s="213" t="n">
        <v>74809.31956</v>
      </c>
      <c r="CP11" s="209" t="s">
        <v>921</v>
      </c>
      <c r="CQ11" s="210" t="n">
        <v>21579.91464</v>
      </c>
      <c r="CR11" s="211" t="n">
        <v>32715.37632</v>
      </c>
      <c r="CS11" s="211" t="n">
        <v>78978.471744</v>
      </c>
      <c r="CT11" s="211" t="n">
        <v>43679.032276</v>
      </c>
      <c r="CU11" s="207"/>
      <c r="CV11" s="207"/>
      <c r="CW11" s="207"/>
      <c r="CX11" s="211" t="n">
        <v>25944.8964</v>
      </c>
      <c r="CY11" s="211" t="n">
        <v>25026.56352</v>
      </c>
      <c r="CZ11" s="207"/>
      <c r="DA11" s="207"/>
      <c r="DB11" s="211" t="n">
        <v>455.604</v>
      </c>
      <c r="DC11" s="212"/>
      <c r="DD11" s="213" t="n">
        <v>228379.8589</v>
      </c>
      <c r="DE11" s="1" t="s">
        <v>914</v>
      </c>
      <c r="DF11" s="154" t="n">
        <v>77369.04</v>
      </c>
    </row>
    <row r="12" customFormat="false" ht="16.4" hidden="false" customHeight="false" outlineLevel="0" collapsed="false">
      <c r="A12" s="140" t="s">
        <v>936</v>
      </c>
      <c r="B12" s="173"/>
      <c r="C12" s="174" t="n">
        <v>45439</v>
      </c>
      <c r="D12" s="173" t="n">
        <v>162</v>
      </c>
      <c r="E12" s="138" t="s">
        <v>85</v>
      </c>
      <c r="F12" s="138" t="s">
        <v>85</v>
      </c>
      <c r="G12" s="140"/>
      <c r="H12" s="173" t="n">
        <v>40039</v>
      </c>
      <c r="I12" s="173" t="n">
        <v>30012</v>
      </c>
      <c r="J12" s="140" t="s">
        <v>908</v>
      </c>
      <c r="K12" s="140"/>
      <c r="L12" s="175" t="n">
        <v>7115.30784</v>
      </c>
      <c r="M12" s="175" t="n">
        <v>3469.824</v>
      </c>
      <c r="N12" s="175" t="n">
        <v>3612</v>
      </c>
      <c r="O12" s="175" t="n">
        <v>0</v>
      </c>
      <c r="P12" s="175"/>
      <c r="Q12" s="176"/>
      <c r="R12" s="138" t="n">
        <v>2</v>
      </c>
      <c r="S12" s="177" t="n">
        <v>-15</v>
      </c>
      <c r="T12" s="215"/>
      <c r="U12" s="178" t="n">
        <v>0.327974576595346</v>
      </c>
      <c r="V12" s="177" t="n">
        <v>1184.64417066239</v>
      </c>
      <c r="W12" s="177" t="n">
        <v>10.9818482467861</v>
      </c>
      <c r="X12" s="179" t="n">
        <v>0.00470588774975608</v>
      </c>
      <c r="Y12" s="177" t="n">
        <v>14.7325855764706</v>
      </c>
      <c r="Z12" s="177" t="n">
        <v>21.7</v>
      </c>
      <c r="AA12" s="177" t="n">
        <v>120.192307692308</v>
      </c>
      <c r="AB12" s="177" t="n">
        <v>1337.25091217796</v>
      </c>
      <c r="AC12" s="215" t="n">
        <v>0.448</v>
      </c>
      <c r="AD12" s="215" t="s">
        <v>88</v>
      </c>
      <c r="AE12" s="177" t="n">
        <v>1618.176</v>
      </c>
      <c r="AF12" s="177" t="n">
        <v>280.925087822045</v>
      </c>
      <c r="AG12" s="181" t="n">
        <v>0.173606015552106</v>
      </c>
      <c r="AH12" s="180" t="n">
        <v>1195.62601890918</v>
      </c>
      <c r="AI12" s="181" t="n">
        <v>0.738872668306276</v>
      </c>
      <c r="AJ12" s="181"/>
      <c r="AK12" s="181" t="s">
        <v>936</v>
      </c>
      <c r="AL12" s="182" t="n">
        <v>0.370224505032656</v>
      </c>
      <c r="AN12" s="144" t="e">
        <v>#NAME?</v>
      </c>
      <c r="AO12" s="144" t="e">
        <f aca="false">_xlfn.xlookup(AN12,A:A,F:F)</f>
        <v>#NAME?</v>
      </c>
      <c r="AP12" s="144" t="e">
        <f aca="false">_xlfn.xlookup(AN12,A:A,J:J)</f>
        <v>#NAME?</v>
      </c>
      <c r="AQ12" s="144" t="e">
        <f aca="false">_xlfn.xlookup(AN12,A:A,N:N)+_xlfn.xlookup(AN12,A:A,O:O)</f>
        <v>#NAME?</v>
      </c>
      <c r="AR12" s="150" t="e">
        <f aca="false">_xlfn.xlookup(AN12,A:A,AH:AH)</f>
        <v>#NAME?</v>
      </c>
      <c r="AS12" s="150" t="e">
        <f aca="false">_xlfn.xlookup(AN12,A:A,S:S)</f>
        <v>#NAME?</v>
      </c>
      <c r="AT12" s="150" t="e">
        <f aca="false">_xlfn.xlookup(AN12,A:A,AE:AE)</f>
        <v>#NAME?</v>
      </c>
      <c r="AU12" s="150" t="e">
        <f aca="false">_xlfn.xlookup(AN12,A:A,AF:AF)</f>
        <v>#NAME?</v>
      </c>
      <c r="AW12" s="205" t="s">
        <v>740</v>
      </c>
      <c r="AX12" s="206" t="e">
        <f aca="false">#VALUE!</f>
        <v>#VALUE!</v>
      </c>
      <c r="AY12" s="207" t="e">
        <f aca="false">#VALUE!</f>
        <v>#VALUE!</v>
      </c>
      <c r="AZ12" s="207" t="e">
        <f aca="false">#VALUE!</f>
        <v>#VALUE!</v>
      </c>
      <c r="BA12" s="207" t="e">
        <f aca="false">#VALUE!</f>
        <v>#VALUE!</v>
      </c>
      <c r="BB12" s="208" t="e">
        <f aca="false">#VALUE!</f>
        <v>#VALUE!</v>
      </c>
      <c r="BC12" s="0"/>
      <c r="BD12" s="0"/>
      <c r="BE12" s="0"/>
      <c r="BF12" s="187"/>
      <c r="BG12" s="188" t="e">
        <v>#NAME?</v>
      </c>
      <c r="BH12" s="152" t="e">
        <f aca="false">_xlfn.xlookup(BG12,A:A,F:F)</f>
        <v>#NAME?</v>
      </c>
      <c r="BI12" s="188" t="e">
        <f aca="false">_xlfn.xlookup(BG12,A:A,J:J)</f>
        <v>#NAME?</v>
      </c>
      <c r="BJ12" s="153" t="e">
        <f aca="false">_xlfn.xlookup(BG12,A:A,N:N)+_xlfn.xlookup(BG12,A:A,O:O)</f>
        <v>#NAME?</v>
      </c>
      <c r="BK12" s="153" t="e">
        <f aca="false">_xlfn.xlookup(BG12,$A$3:$A$997,$AB$3:$AB$997)</f>
        <v>#NAME?</v>
      </c>
      <c r="BL12" s="188"/>
      <c r="BM12" s="205" t="s">
        <v>904</v>
      </c>
      <c r="BN12" s="206" t="e">
        <f aca="false">#VALUE!</f>
        <v>#VALUE!</v>
      </c>
      <c r="BO12" s="208" t="e">
        <f aca="false">#VALUE!</f>
        <v>#VALUE!</v>
      </c>
      <c r="BQ12" s="144" t="str">
        <f aca="false">IF(VALUE(MONTH(C12))&lt;10,YEAR(C12)&amp;"-0"&amp;MONTH(C12),YEAR(C12)&amp;"-"&amp;MONTH(C12))</f>
        <v>2024-05</v>
      </c>
      <c r="BR12" s="144" t="str">
        <f aca="false">J12</f>
        <v>D21-1</v>
      </c>
      <c r="BS12" s="144" t="str">
        <f aca="false">IF(ISNUMBER(FIND("-", BR12)), LEFT(BR12, FIND("-", BR12) - 1), BR12)</f>
        <v>D21</v>
      </c>
      <c r="BT12" s="189" t="n">
        <f aca="false">L12-M12+O12</f>
        <v>3645.48384</v>
      </c>
      <c r="BU12" s="189"/>
      <c r="BV12" s="209" t="s">
        <v>931</v>
      </c>
      <c r="BW12" s="214"/>
      <c r="BX12" s="211" t="n">
        <v>40156.58</v>
      </c>
      <c r="BY12" s="207"/>
      <c r="BZ12" s="207"/>
      <c r="CA12" s="207"/>
      <c r="CB12" s="207"/>
      <c r="CC12" s="211" t="n">
        <v>35573.454048</v>
      </c>
      <c r="CD12" s="211" t="n">
        <v>42691.85</v>
      </c>
      <c r="CE12" s="207"/>
      <c r="CF12" s="207"/>
      <c r="CG12" s="211" t="n">
        <v>7445.9</v>
      </c>
      <c r="CH12" s="211" t="n">
        <v>11482.91</v>
      </c>
      <c r="CI12" s="207"/>
      <c r="CJ12" s="207"/>
      <c r="CK12" s="207"/>
      <c r="CL12" s="207"/>
      <c r="CM12" s="212"/>
      <c r="CN12" s="213" t="n">
        <v>137350.694048</v>
      </c>
      <c r="CP12" s="209" t="s">
        <v>924</v>
      </c>
      <c r="CQ12" s="214"/>
      <c r="CR12" s="211" t="n">
        <v>7188.0456</v>
      </c>
      <c r="CS12" s="211" t="n">
        <v>113973.046464</v>
      </c>
      <c r="CT12" s="207"/>
      <c r="CU12" s="207"/>
      <c r="CV12" s="207"/>
      <c r="CW12" s="207"/>
      <c r="CX12" s="211" t="n">
        <v>42803.459712</v>
      </c>
      <c r="CY12" s="211" t="n">
        <v>7551.348</v>
      </c>
      <c r="CZ12" s="207"/>
      <c r="DA12" s="207"/>
      <c r="DB12" s="207"/>
      <c r="DC12" s="212"/>
      <c r="DD12" s="213" t="n">
        <v>171515.899776</v>
      </c>
      <c r="DE12" s="1"/>
      <c r="DF12" s="154"/>
    </row>
    <row r="13" customFormat="false" ht="16.4" hidden="false" customHeight="false" outlineLevel="0" collapsed="false">
      <c r="A13" s="140" t="s">
        <v>937</v>
      </c>
      <c r="B13" s="173"/>
      <c r="C13" s="174" t="n">
        <v>45441</v>
      </c>
      <c r="D13" s="173" t="n">
        <v>164</v>
      </c>
      <c r="E13" s="138" t="s">
        <v>89</v>
      </c>
      <c r="F13" s="138" t="s">
        <v>938</v>
      </c>
      <c r="G13" s="140"/>
      <c r="H13" s="173" t="n">
        <v>40045</v>
      </c>
      <c r="I13" s="173" t="n">
        <v>30017</v>
      </c>
      <c r="J13" s="140" t="s">
        <v>768</v>
      </c>
      <c r="K13" s="140"/>
      <c r="L13" s="175" t="n">
        <v>7114.9464</v>
      </c>
      <c r="M13" s="175" t="n">
        <v>5312.37375</v>
      </c>
      <c r="N13" s="175" t="n">
        <v>1800</v>
      </c>
      <c r="O13" s="175" t="n">
        <v>0</v>
      </c>
      <c r="P13" s="175"/>
      <c r="Q13" s="176"/>
      <c r="R13" s="138" t="n">
        <v>1</v>
      </c>
      <c r="S13" s="177" t="n">
        <v>0</v>
      </c>
      <c r="T13" s="215" t="n">
        <v>1.37</v>
      </c>
      <c r="U13" s="178" t="n">
        <v>0.326284886247867</v>
      </c>
      <c r="V13" s="177" t="n">
        <v>587.31279524616</v>
      </c>
      <c r="W13" s="177" t="n">
        <v>0.839416812605596</v>
      </c>
      <c r="X13" s="179" t="n">
        <v>0.000361583890498468</v>
      </c>
      <c r="Y13" s="177" t="n">
        <v>7.29095294117645</v>
      </c>
      <c r="Z13" s="177" t="n">
        <v>10.85</v>
      </c>
      <c r="AA13" s="177" t="n">
        <v>60.0961538461539</v>
      </c>
      <c r="AB13" s="177" t="n">
        <v>666.389318846096</v>
      </c>
      <c r="AC13" s="215" t="n">
        <v>0.34</v>
      </c>
      <c r="AD13" s="215" t="s">
        <v>77</v>
      </c>
      <c r="AE13" s="177" t="n">
        <v>0</v>
      </c>
      <c r="AF13" s="177" t="n">
        <v>-666.389318846096</v>
      </c>
      <c r="AG13" s="181"/>
      <c r="AH13" s="180" t="n">
        <v>588.152212058766</v>
      </c>
      <c r="AI13" s="181"/>
      <c r="AJ13" s="181" t="s">
        <v>895</v>
      </c>
      <c r="AK13" s="181" t="s">
        <v>937</v>
      </c>
      <c r="AL13" s="182" t="n">
        <v>0.370216288247831</v>
      </c>
      <c r="AN13" s="144" t="e">
        <v>#NAME?</v>
      </c>
      <c r="AO13" s="144" t="e">
        <f aca="false">_xlfn.xlookup(AN13,A:A,F:F)</f>
        <v>#NAME?</v>
      </c>
      <c r="AP13" s="144" t="e">
        <f aca="false">_xlfn.xlookup(AN13,A:A,J:J)</f>
        <v>#NAME?</v>
      </c>
      <c r="AQ13" s="144" t="e">
        <f aca="false">_xlfn.xlookup(AN13,A:A,N:N)+_xlfn.xlookup(AN13,A:A,O:O)</f>
        <v>#NAME?</v>
      </c>
      <c r="AR13" s="150" t="e">
        <f aca="false">_xlfn.xlookup(AN13,A:A,AH:AH)</f>
        <v>#NAME?</v>
      </c>
      <c r="AS13" s="150" t="e">
        <f aca="false">_xlfn.xlookup(AN13,A:A,S:S)</f>
        <v>#NAME?</v>
      </c>
      <c r="AT13" s="150" t="e">
        <f aca="false">_xlfn.xlookup(AN13,A:A,AE:AE)</f>
        <v>#NAME?</v>
      </c>
      <c r="AU13" s="150" t="e">
        <f aca="false">_xlfn.xlookup(AN13,A:A,AF:AF)</f>
        <v>#NAME?</v>
      </c>
      <c r="AW13" s="205" t="s">
        <v>905</v>
      </c>
      <c r="AX13" s="206" t="e">
        <f aca="false">#VALUE!</f>
        <v>#VALUE!</v>
      </c>
      <c r="AY13" s="207" t="e">
        <f aca="false">#VALUE!</f>
        <v>#VALUE!</v>
      </c>
      <c r="AZ13" s="207" t="e">
        <f aca="false">#VALUE!</f>
        <v>#VALUE!</v>
      </c>
      <c r="BA13" s="207" t="e">
        <f aca="false">#VALUE!</f>
        <v>#VALUE!</v>
      </c>
      <c r="BB13" s="208" t="e">
        <f aca="false">#VALUE!</f>
        <v>#VALUE!</v>
      </c>
      <c r="BC13" s="0"/>
      <c r="BD13" s="0"/>
      <c r="BE13" s="0"/>
      <c r="BF13" s="187"/>
      <c r="BG13" s="188" t="e">
        <v>#NAME?</v>
      </c>
      <c r="BH13" s="152" t="e">
        <f aca="false">_xlfn.xlookup(BG13,A:A,F:F)</f>
        <v>#NAME?</v>
      </c>
      <c r="BI13" s="188" t="e">
        <f aca="false">_xlfn.xlookup(BG13,A:A,J:J)</f>
        <v>#NAME?</v>
      </c>
      <c r="BJ13" s="153" t="e">
        <f aca="false">_xlfn.xlookup(BG13,A:A,N:N)+_xlfn.xlookup(BG13,A:A,O:O)</f>
        <v>#NAME?</v>
      </c>
      <c r="BK13" s="153" t="e">
        <f aca="false">_xlfn.xlookup(BG13,$A$3:$A$997,$AB$3:$AB$997)</f>
        <v>#NAME?</v>
      </c>
      <c r="BL13" s="188"/>
      <c r="BM13" s="205" t="s">
        <v>908</v>
      </c>
      <c r="BN13" s="206" t="e">
        <f aca="false">#VALUE!</f>
        <v>#VALUE!</v>
      </c>
      <c r="BO13" s="208" t="e">
        <f aca="false">#VALUE!</f>
        <v>#VALUE!</v>
      </c>
      <c r="BQ13" s="144" t="str">
        <f aca="false">IF(VALUE(MONTH(C13))&lt;10,YEAR(C13)&amp;"-0"&amp;MONTH(C13),YEAR(C13)&amp;"-"&amp;MONTH(C13))</f>
        <v>2024-05</v>
      </c>
      <c r="BR13" s="144" t="str">
        <f aca="false">J13</f>
        <v>B25-3</v>
      </c>
      <c r="BS13" s="144" t="str">
        <f aca="false">IF(ISNUMBER(FIND("-", BR13)), LEFT(BR13, FIND("-", BR13) - 1), BR13)</f>
        <v>B25</v>
      </c>
      <c r="BT13" s="189" t="n">
        <f aca="false">L13-M13+O13</f>
        <v>1802.57265</v>
      </c>
      <c r="BU13" s="189"/>
      <c r="BV13" s="209" t="s">
        <v>939</v>
      </c>
      <c r="BW13" s="214"/>
      <c r="BX13" s="211" t="n">
        <v>18023.40792</v>
      </c>
      <c r="BY13" s="211" t="n">
        <v>79575.555312</v>
      </c>
      <c r="BZ13" s="211" t="n">
        <v>15277.30488</v>
      </c>
      <c r="CA13" s="211" t="n">
        <v>66555.479232</v>
      </c>
      <c r="CB13" s="211" t="n">
        <v>43948.908432</v>
      </c>
      <c r="CC13" s="207"/>
      <c r="CD13" s="211" t="n">
        <v>7115.30784</v>
      </c>
      <c r="CE13" s="211" t="n">
        <v>315.391304347826</v>
      </c>
      <c r="CF13" s="207"/>
      <c r="CG13" s="211" t="n">
        <v>60701.804208</v>
      </c>
      <c r="CH13" s="211" t="n">
        <v>88916.18928</v>
      </c>
      <c r="CI13" s="207"/>
      <c r="CJ13" s="207"/>
      <c r="CK13" s="211" t="n">
        <v>133239.42552</v>
      </c>
      <c r="CL13" s="207"/>
      <c r="CM13" s="212"/>
      <c r="CN13" s="213" t="n">
        <v>513668.773928348</v>
      </c>
      <c r="CP13" s="209" t="s">
        <v>939</v>
      </c>
      <c r="CQ13" s="214"/>
      <c r="CR13" s="211" t="n">
        <v>18023.40792</v>
      </c>
      <c r="CS13" s="211" t="n">
        <v>205357.247856</v>
      </c>
      <c r="CT13" s="207"/>
      <c r="CU13" s="211" t="n">
        <v>7115.30784</v>
      </c>
      <c r="CV13" s="211" t="n">
        <v>315.391304347826</v>
      </c>
      <c r="CW13" s="207"/>
      <c r="CX13" s="211" t="n">
        <v>60701.804208</v>
      </c>
      <c r="CY13" s="211" t="n">
        <v>88916.18928</v>
      </c>
      <c r="CZ13" s="207"/>
      <c r="DA13" s="207"/>
      <c r="DB13" s="211" t="n">
        <v>133239.42552</v>
      </c>
      <c r="DC13" s="212"/>
      <c r="DD13" s="213" t="n">
        <v>513668.773928348</v>
      </c>
      <c r="DE13" s="1" t="s">
        <v>484</v>
      </c>
      <c r="DF13" s="154" t="n">
        <v>46226.16</v>
      </c>
    </row>
    <row r="14" customFormat="false" ht="16.4" hidden="false" customHeight="false" outlineLevel="0" collapsed="false">
      <c r="A14" s="140" t="s">
        <v>940</v>
      </c>
      <c r="B14" s="173"/>
      <c r="C14" s="174" t="n">
        <v>45441</v>
      </c>
      <c r="D14" s="173" t="n">
        <v>164</v>
      </c>
      <c r="E14" s="138" t="s">
        <v>89</v>
      </c>
      <c r="F14" s="138" t="s">
        <v>938</v>
      </c>
      <c r="G14" s="140"/>
      <c r="H14" s="173" t="n">
        <v>40045</v>
      </c>
      <c r="I14" s="173" t="n">
        <v>30017</v>
      </c>
      <c r="J14" s="140" t="s">
        <v>768</v>
      </c>
      <c r="K14" s="140"/>
      <c r="L14" s="175" t="n">
        <v>7114.9464</v>
      </c>
      <c r="M14" s="175" t="n">
        <v>5312.37375</v>
      </c>
      <c r="N14" s="175" t="n">
        <v>1800</v>
      </c>
      <c r="O14" s="175" t="n">
        <v>0</v>
      </c>
      <c r="P14" s="175"/>
      <c r="Q14" s="176"/>
      <c r="R14" s="138" t="n">
        <v>1</v>
      </c>
      <c r="S14" s="177" t="n">
        <v>0</v>
      </c>
      <c r="T14" s="215" t="n">
        <v>1.37</v>
      </c>
      <c r="U14" s="178" t="n">
        <v>0.326284886247867</v>
      </c>
      <c r="V14" s="177" t="n">
        <v>587.31279524616</v>
      </c>
      <c r="W14" s="177" t="n">
        <v>0.839416812605596</v>
      </c>
      <c r="X14" s="179" t="n">
        <v>0.000361583890498468</v>
      </c>
      <c r="Y14" s="177" t="n">
        <v>7.29095294117645</v>
      </c>
      <c r="Z14" s="177" t="n">
        <v>10.85</v>
      </c>
      <c r="AA14" s="177" t="n">
        <v>60.0961538461539</v>
      </c>
      <c r="AB14" s="177" t="n">
        <v>666.389318846096</v>
      </c>
      <c r="AC14" s="215" t="n">
        <v>0.34</v>
      </c>
      <c r="AD14" s="215" t="s">
        <v>77</v>
      </c>
      <c r="AE14" s="177" t="n">
        <v>838.44</v>
      </c>
      <c r="AF14" s="177" t="n">
        <v>172.050681153904</v>
      </c>
      <c r="AG14" s="181" t="n">
        <v>0.205203331370049</v>
      </c>
      <c r="AH14" s="180" t="n">
        <v>588.152212058766</v>
      </c>
      <c r="AI14" s="181" t="n">
        <v>0.701483960758988</v>
      </c>
      <c r="AJ14" s="181"/>
      <c r="AK14" s="181" t="s">
        <v>940</v>
      </c>
      <c r="AL14" s="182" t="n">
        <v>0.370216288247831</v>
      </c>
      <c r="AN14" s="144" t="e">
        <v>#NAME?</v>
      </c>
      <c r="AO14" s="144" t="e">
        <f aca="false">_xlfn.xlookup(AN14,A:A,F:F)</f>
        <v>#NAME?</v>
      </c>
      <c r="AP14" s="144" t="e">
        <f aca="false">_xlfn.xlookup(AN14,A:A,J:J)</f>
        <v>#NAME?</v>
      </c>
      <c r="AQ14" s="144" t="e">
        <f aca="false">_xlfn.xlookup(AN14,A:A,N:N)+_xlfn.xlookup(AN14,A:A,O:O)</f>
        <v>#NAME?</v>
      </c>
      <c r="AR14" s="150" t="e">
        <f aca="false">_xlfn.xlookup(AN14,A:A,AH:AH)</f>
        <v>#NAME?</v>
      </c>
      <c r="AS14" s="150" t="e">
        <f aca="false">_xlfn.xlookup(AN14,A:A,S:S)</f>
        <v>#NAME?</v>
      </c>
      <c r="AT14" s="150" t="e">
        <f aca="false">_xlfn.xlookup(AN14,A:A,AE:AE)</f>
        <v>#NAME?</v>
      </c>
      <c r="AU14" s="150" t="e">
        <f aca="false">_xlfn.xlookup(AN14,A:A,AF:AF)</f>
        <v>#NAME?</v>
      </c>
      <c r="AW14" s="216" t="s">
        <v>760</v>
      </c>
      <c r="AX14" s="217" t="e">
        <f aca="false">#VALUE!</f>
        <v>#VALUE!</v>
      </c>
      <c r="AY14" s="225" t="e">
        <f aca="false">#VALUE!</f>
        <v>#VALUE!</v>
      </c>
      <c r="AZ14" s="225" t="e">
        <f aca="false">#VALUE!</f>
        <v>#VALUE!</v>
      </c>
      <c r="BA14" s="225" t="e">
        <f aca="false">#VALUE!</f>
        <v>#VALUE!</v>
      </c>
      <c r="BB14" s="218" t="e">
        <f aca="false">#VALUE!</f>
        <v>#VALUE!</v>
      </c>
      <c r="BC14" s="0"/>
      <c r="BD14" s="0"/>
      <c r="BE14" s="0"/>
      <c r="BF14" s="187"/>
      <c r="BG14" s="188" t="e">
        <v>#NAME?</v>
      </c>
      <c r="BH14" s="152" t="e">
        <f aca="false">_xlfn.xlookup(BG14,A:A,F:F)</f>
        <v>#NAME?</v>
      </c>
      <c r="BI14" s="188" t="e">
        <f aca="false">_xlfn.xlookup(BG14,A:A,J:J)</f>
        <v>#NAME?</v>
      </c>
      <c r="BJ14" s="153" t="e">
        <f aca="false">_xlfn.xlookup(BG14,A:A,N:N)+_xlfn.xlookup(BG14,A:A,O:O)</f>
        <v>#NAME?</v>
      </c>
      <c r="BK14" s="153" t="e">
        <f aca="false">_xlfn.xlookup(BG14,$A$3:$A$997,$AB$3:$AB$997)</f>
        <v>#NAME?</v>
      </c>
      <c r="BL14" s="188"/>
      <c r="BM14" s="205" t="s">
        <v>768</v>
      </c>
      <c r="BN14" s="206" t="e">
        <f aca="false">#VALUE!</f>
        <v>#VALUE!</v>
      </c>
      <c r="BO14" s="208" t="e">
        <f aca="false">#VALUE!</f>
        <v>#VALUE!</v>
      </c>
      <c r="BQ14" s="144" t="str">
        <f aca="false">IF(VALUE(MONTH(C14))&lt;10,YEAR(C14)&amp;"-0"&amp;MONTH(C14),YEAR(C14)&amp;"-"&amp;MONTH(C14))</f>
        <v>2024-05</v>
      </c>
      <c r="BR14" s="144" t="str">
        <f aca="false">J14</f>
        <v>B25-3</v>
      </c>
      <c r="BS14" s="144" t="str">
        <f aca="false">IF(ISNUMBER(FIND("-", BR14)), LEFT(BR14, FIND("-", BR14) - 1), BR14)</f>
        <v>B25</v>
      </c>
      <c r="BT14" s="189" t="n">
        <f aca="false">L14-M14+O14</f>
        <v>1802.57265</v>
      </c>
      <c r="BU14" s="189"/>
      <c r="BV14" s="209" t="s">
        <v>941</v>
      </c>
      <c r="BW14" s="210" t="n">
        <v>3963.312</v>
      </c>
      <c r="BX14" s="211" t="n">
        <v>14785.12808</v>
      </c>
      <c r="BY14" s="207"/>
      <c r="BZ14" s="211" t="n">
        <v>152106.03324</v>
      </c>
      <c r="CA14" s="207"/>
      <c r="CB14" s="207"/>
      <c r="CC14" s="207"/>
      <c r="CD14" s="211" t="n">
        <v>14458.4208</v>
      </c>
      <c r="CE14" s="211" t="n">
        <v>12878.995722</v>
      </c>
      <c r="CF14" s="207"/>
      <c r="CG14" s="211" t="n">
        <v>29126.963468</v>
      </c>
      <c r="CH14" s="211" t="n">
        <v>35971.97964</v>
      </c>
      <c r="CI14" s="211" t="n">
        <v>3651.08208</v>
      </c>
      <c r="CJ14" s="211" t="n">
        <v>7735.02072</v>
      </c>
      <c r="CK14" s="211" t="n">
        <v>50478.13696</v>
      </c>
      <c r="CL14" s="207"/>
      <c r="CM14" s="212"/>
      <c r="CN14" s="213" t="n">
        <v>325155.07271</v>
      </c>
      <c r="CP14" s="209" t="s">
        <v>941</v>
      </c>
      <c r="CQ14" s="210" t="n">
        <v>3963.312</v>
      </c>
      <c r="CR14" s="211" t="n">
        <v>14785.12808</v>
      </c>
      <c r="CS14" s="211" t="n">
        <v>152106.03324</v>
      </c>
      <c r="CT14" s="207"/>
      <c r="CU14" s="211" t="n">
        <v>14458.4208</v>
      </c>
      <c r="CV14" s="211" t="n">
        <v>12878.995722</v>
      </c>
      <c r="CW14" s="207"/>
      <c r="CX14" s="211" t="n">
        <v>29126.963468</v>
      </c>
      <c r="CY14" s="211" t="n">
        <v>35971.97964</v>
      </c>
      <c r="CZ14" s="211" t="n">
        <v>3651.08208</v>
      </c>
      <c r="DA14" s="211" t="n">
        <v>7735.02072</v>
      </c>
      <c r="DB14" s="211" t="n">
        <v>50478.13696</v>
      </c>
      <c r="DC14" s="212"/>
      <c r="DD14" s="213" t="n">
        <v>325155.07271</v>
      </c>
      <c r="DE14" s="1"/>
      <c r="DF14" s="154"/>
    </row>
    <row r="15" customFormat="false" ht="16.4" hidden="false" customHeight="false" outlineLevel="0" collapsed="false">
      <c r="A15" s="140" t="s">
        <v>942</v>
      </c>
      <c r="B15" s="173"/>
      <c r="C15" s="174" t="n">
        <v>45441</v>
      </c>
      <c r="D15" s="173" t="n">
        <v>163</v>
      </c>
      <c r="E15" s="138" t="s">
        <v>85</v>
      </c>
      <c r="F15" s="138" t="s">
        <v>85</v>
      </c>
      <c r="G15" s="140"/>
      <c r="H15" s="173" t="n">
        <v>40044</v>
      </c>
      <c r="I15" s="173" t="n">
        <v>30017</v>
      </c>
      <c r="J15" s="140" t="s">
        <v>768</v>
      </c>
      <c r="K15" s="140"/>
      <c r="L15" s="175" t="n">
        <v>10624.7475</v>
      </c>
      <c r="M15" s="175" t="n">
        <v>6821.55</v>
      </c>
      <c r="N15" s="175" t="n">
        <v>3616.416</v>
      </c>
      <c r="O15" s="175" t="n">
        <v>0</v>
      </c>
      <c r="P15" s="175"/>
      <c r="Q15" s="176"/>
      <c r="R15" s="138" t="n">
        <v>2</v>
      </c>
      <c r="S15" s="177" t="n">
        <v>0</v>
      </c>
      <c r="T15" s="215"/>
      <c r="U15" s="178" t="n">
        <v>0.326284886247867</v>
      </c>
      <c r="V15" s="177" t="n">
        <v>1179.98188318497</v>
      </c>
      <c r="W15" s="177" t="n">
        <v>60.9439804807059</v>
      </c>
      <c r="X15" s="179" t="n">
        <v>0.0175798530741554</v>
      </c>
      <c r="Y15" s="177" t="n">
        <v>14.7325855764706</v>
      </c>
      <c r="Z15" s="177" t="n">
        <v>21.7</v>
      </c>
      <c r="AA15" s="177" t="n">
        <v>120.192307692308</v>
      </c>
      <c r="AB15" s="177" t="n">
        <v>1397.55075693445</v>
      </c>
      <c r="AC15" s="215" t="n">
        <v>0.532</v>
      </c>
      <c r="AD15" s="215" t="s">
        <v>88</v>
      </c>
      <c r="AE15" s="177" t="n">
        <v>1923.933312</v>
      </c>
      <c r="AF15" s="177" t="n">
        <v>526.38255506555</v>
      </c>
      <c r="AG15" s="181" t="n">
        <v>0.273597089765214</v>
      </c>
      <c r="AH15" s="180" t="n">
        <v>1240.92586366567</v>
      </c>
      <c r="AI15" s="181" t="n">
        <v>0.64499421883583</v>
      </c>
      <c r="AJ15" s="181"/>
      <c r="AK15" s="181" t="s">
        <v>942</v>
      </c>
      <c r="AL15" s="182" t="n">
        <v>0.386446348244906</v>
      </c>
      <c r="AN15" s="144" t="e">
        <v>#NAME?</v>
      </c>
      <c r="AO15" s="144" t="e">
        <f aca="false">_xlfn.xlookup(AN15,A:A,F:F)</f>
        <v>#NAME?</v>
      </c>
      <c r="AP15" s="144" t="e">
        <f aca="false">_xlfn.xlookup(AN15,A:A,J:J)</f>
        <v>#NAME?</v>
      </c>
      <c r="AQ15" s="144" t="e">
        <f aca="false">_xlfn.xlookup(AN15,A:A,N:N)+_xlfn.xlookup(AN15,A:A,O:O)</f>
        <v>#NAME?</v>
      </c>
      <c r="AR15" s="150" t="e">
        <f aca="false">_xlfn.xlookup(AN15,A:A,AH:AH)</f>
        <v>#NAME?</v>
      </c>
      <c r="AS15" s="150" t="e">
        <f aca="false">_xlfn.xlookup(AN15,A:A,S:S)</f>
        <v>#NAME?</v>
      </c>
      <c r="AT15" s="150" t="e">
        <f aca="false">_xlfn.xlookup(AN15,A:A,AE:AE)</f>
        <v>#NAME?</v>
      </c>
      <c r="AU15" s="150" t="e">
        <f aca="false">_xlfn.xlookup(AN15,A:A,AF:AF)</f>
        <v>#NAME?</v>
      </c>
      <c r="AW15" s="194" t="s">
        <v>943</v>
      </c>
      <c r="AX15" s="195" t="e">
        <f aca="false">#VALUE!</f>
        <v>#VALUE!</v>
      </c>
      <c r="AY15" s="196" t="e">
        <f aca="false">#VALUE!</f>
        <v>#VALUE!</v>
      </c>
      <c r="AZ15" s="196" t="e">
        <f aca="false">#VALUE!</f>
        <v>#VALUE!</v>
      </c>
      <c r="BA15" s="196" t="e">
        <f aca="false">#VALUE!</f>
        <v>#VALUE!</v>
      </c>
      <c r="BB15" s="197" t="e">
        <f aca="false">#VALUE!</f>
        <v>#VALUE!</v>
      </c>
      <c r="BC15" s="0"/>
      <c r="BD15" s="0"/>
      <c r="BE15" s="0"/>
      <c r="BF15" s="187"/>
      <c r="BG15" s="188" t="e">
        <v>#NAME?</v>
      </c>
      <c r="BH15" s="152" t="e">
        <f aca="false">_xlfn.xlookup(BG15,A:A,F:F)</f>
        <v>#NAME?</v>
      </c>
      <c r="BI15" s="188" t="e">
        <f aca="false">_xlfn.xlookup(BG15,A:A,J:J)</f>
        <v>#NAME?</v>
      </c>
      <c r="BJ15" s="153" t="e">
        <f aca="false">_xlfn.xlookup(BG15,A:A,N:N)+_xlfn.xlookup(BG15,A:A,O:O)</f>
        <v>#NAME?</v>
      </c>
      <c r="BK15" s="153" t="e">
        <f aca="false">_xlfn.xlookup(BG15,$A$3:$A$997,$AB$3:$AB$997)</f>
        <v>#NAME?</v>
      </c>
      <c r="BL15" s="188"/>
      <c r="BM15" s="205" t="s">
        <v>762</v>
      </c>
      <c r="BN15" s="206" t="e">
        <f aca="false">#VALUE!</f>
        <v>#VALUE!</v>
      </c>
      <c r="BO15" s="208" t="e">
        <f aca="false">#VALUE!</f>
        <v>#VALUE!</v>
      </c>
      <c r="BQ15" s="144" t="str">
        <f aca="false">IF(VALUE(MONTH(C15))&lt;10,YEAR(C15)&amp;"-0"&amp;MONTH(C15),YEAR(C15)&amp;"-"&amp;MONTH(C15))</f>
        <v>2024-05</v>
      </c>
      <c r="BR15" s="144" t="str">
        <f aca="false">J15</f>
        <v>B25-3</v>
      </c>
      <c r="BS15" s="144" t="str">
        <f aca="false">IF(ISNUMBER(FIND("-", BR15)), LEFT(BR15, FIND("-", BR15) - 1), BR15)</f>
        <v>B25</v>
      </c>
      <c r="BT15" s="189" t="n">
        <f aca="false">L15-M15+O15</f>
        <v>3803.1975</v>
      </c>
      <c r="BU15" s="189"/>
      <c r="BV15" s="209" t="s">
        <v>944</v>
      </c>
      <c r="BW15" s="210" t="n">
        <v>14808.187824</v>
      </c>
      <c r="BX15" s="211" t="n">
        <v>28204.181808</v>
      </c>
      <c r="BY15" s="207"/>
      <c r="BZ15" s="211" t="n">
        <v>4570.143</v>
      </c>
      <c r="CA15" s="207"/>
      <c r="CB15" s="207"/>
      <c r="CC15" s="207"/>
      <c r="CD15" s="207"/>
      <c r="CE15" s="207"/>
      <c r="CF15" s="207"/>
      <c r="CG15" s="211" t="n">
        <v>32216.62224</v>
      </c>
      <c r="CH15" s="211" t="n">
        <v>14976.009</v>
      </c>
      <c r="CI15" s="207"/>
      <c r="CJ15" s="211" t="n">
        <v>399</v>
      </c>
      <c r="CK15" s="211" t="n">
        <v>50004.15708</v>
      </c>
      <c r="CL15" s="211" t="n">
        <v>0</v>
      </c>
      <c r="CM15" s="212"/>
      <c r="CN15" s="213" t="n">
        <v>145178.300952</v>
      </c>
      <c r="CP15" s="209" t="s">
        <v>944</v>
      </c>
      <c r="CQ15" s="210" t="n">
        <v>14808.187824</v>
      </c>
      <c r="CR15" s="211" t="n">
        <v>28204.181808</v>
      </c>
      <c r="CS15" s="211" t="n">
        <v>4570.143</v>
      </c>
      <c r="CT15" s="207"/>
      <c r="CU15" s="207"/>
      <c r="CV15" s="207"/>
      <c r="CW15" s="207"/>
      <c r="CX15" s="211" t="n">
        <v>32216.62224</v>
      </c>
      <c r="CY15" s="211" t="n">
        <v>14976.009</v>
      </c>
      <c r="CZ15" s="211" t="n">
        <v>0</v>
      </c>
      <c r="DA15" s="211" t="n">
        <v>399</v>
      </c>
      <c r="DB15" s="211" t="n">
        <v>50004.15708</v>
      </c>
      <c r="DC15" s="212"/>
      <c r="DD15" s="213" t="n">
        <v>145178.300952</v>
      </c>
      <c r="DE15" s="1" t="s">
        <v>464</v>
      </c>
      <c r="DF15" s="154" t="n">
        <v>240887.52</v>
      </c>
    </row>
    <row r="16" customFormat="false" ht="16.4" hidden="false" customHeight="false" outlineLevel="0" collapsed="false">
      <c r="A16" s="140" t="s">
        <v>945</v>
      </c>
      <c r="B16" s="173"/>
      <c r="C16" s="174" t="n">
        <v>45446</v>
      </c>
      <c r="D16" s="173" t="n">
        <v>165</v>
      </c>
      <c r="E16" s="138" t="s">
        <v>63</v>
      </c>
      <c r="F16" s="138" t="s">
        <v>500</v>
      </c>
      <c r="G16" s="140"/>
      <c r="H16" s="173" t="n">
        <v>40032</v>
      </c>
      <c r="I16" s="173" t="n">
        <v>30013</v>
      </c>
      <c r="J16" s="140" t="s">
        <v>904</v>
      </c>
      <c r="K16" s="140"/>
      <c r="L16" s="175" t="n">
        <v>42188.67288</v>
      </c>
      <c r="M16" s="175" t="n">
        <v>6706.62</v>
      </c>
      <c r="N16" s="175" t="n">
        <v>35298</v>
      </c>
      <c r="O16" s="175" t="n">
        <v>9720</v>
      </c>
      <c r="P16" s="175"/>
      <c r="Q16" s="176"/>
      <c r="R16" s="138" t="n">
        <v>12</v>
      </c>
      <c r="S16" s="177" t="n">
        <v>-69.48</v>
      </c>
      <c r="T16" s="215" t="n">
        <v>1.37</v>
      </c>
      <c r="U16" s="178" t="n">
        <v>0.358173933722525</v>
      </c>
      <c r="V16" s="177" t="n">
        <v>16124.2741483206</v>
      </c>
      <c r="W16" s="177" t="n">
        <v>65.9229440425593</v>
      </c>
      <c r="X16" s="179" t="n">
        <v>0.00436261364569376</v>
      </c>
      <c r="Y16" s="177" t="n">
        <v>174.982870588235</v>
      </c>
      <c r="Z16" s="177" t="n">
        <v>151.9</v>
      </c>
      <c r="AA16" s="177" t="n">
        <v>721.153846153846</v>
      </c>
      <c r="AB16" s="177" t="n">
        <v>17168.7538091053</v>
      </c>
      <c r="AC16" s="215" t="n">
        <v>0.31</v>
      </c>
      <c r="AD16" s="215" t="s">
        <v>77</v>
      </c>
      <c r="AE16" s="177" t="n">
        <v>19119.1446</v>
      </c>
      <c r="AF16" s="177" t="n">
        <v>1950.39079089473</v>
      </c>
      <c r="AG16" s="181" t="n">
        <v>0.102012450436445</v>
      </c>
      <c r="AH16" s="180" t="n">
        <v>16190.1970923632</v>
      </c>
      <c r="AI16" s="181" t="n">
        <v>0.846805515156949</v>
      </c>
      <c r="AJ16" s="181"/>
      <c r="AK16" s="181" t="s">
        <v>945</v>
      </c>
      <c r="AL16" s="182" t="n">
        <v>0.381375312299642</v>
      </c>
      <c r="AN16" s="144" t="e">
        <v>#NAME?</v>
      </c>
      <c r="AO16" s="144" t="e">
        <f aca="false">_xlfn.xlookup(AN16,A:A,F:F)</f>
        <v>#NAME?</v>
      </c>
      <c r="AP16" s="144" t="e">
        <f aca="false">_xlfn.xlookup(AN16,A:A,J:J)</f>
        <v>#NAME?</v>
      </c>
      <c r="AQ16" s="144" t="e">
        <f aca="false">_xlfn.xlookup(AN16,A:A,N:N)+_xlfn.xlookup(AN16,A:A,O:O)</f>
        <v>#NAME?</v>
      </c>
      <c r="AR16" s="150" t="e">
        <f aca="false">_xlfn.xlookup(AN16,A:A,AH:AH)</f>
        <v>#NAME?</v>
      </c>
      <c r="AS16" s="150" t="e">
        <f aca="false">_xlfn.xlookup(AN16,A:A,S:S)</f>
        <v>#NAME?</v>
      </c>
      <c r="AT16" s="150" t="e">
        <f aca="false">_xlfn.xlookup(AN16,A:A,AE:AE)</f>
        <v>#NAME?</v>
      </c>
      <c r="AU16" s="150" t="e">
        <f aca="false">_xlfn.xlookup(AN16,A:A,AF:AF)</f>
        <v>#NAME?</v>
      </c>
      <c r="AW16" s="216" t="s">
        <v>754</v>
      </c>
      <c r="AX16" s="217" t="e">
        <f aca="false">#VALUE!</f>
        <v>#VALUE!</v>
      </c>
      <c r="AY16" s="225" t="e">
        <f aca="false">#VALUE!</f>
        <v>#VALUE!</v>
      </c>
      <c r="AZ16" s="225" t="e">
        <f aca="false">#VALUE!</f>
        <v>#VALUE!</v>
      </c>
      <c r="BA16" s="225" t="e">
        <f aca="false">#VALUE!</f>
        <v>#VALUE!</v>
      </c>
      <c r="BB16" s="218" t="e">
        <f aca="false">#VALUE!</f>
        <v>#VALUE!</v>
      </c>
      <c r="BC16" s="0"/>
      <c r="BD16" s="0"/>
      <c r="BE16" s="0"/>
      <c r="BF16" s="187"/>
      <c r="BG16" s="188" t="e">
        <v>#NAME?</v>
      </c>
      <c r="BH16" s="152" t="e">
        <f aca="false">_xlfn.xlookup(BG16,A:A,F:F)</f>
        <v>#NAME?</v>
      </c>
      <c r="BI16" s="188" t="e">
        <f aca="false">_xlfn.xlookup(BG16,A:A,J:J)</f>
        <v>#NAME?</v>
      </c>
      <c r="BJ16" s="153" t="e">
        <f aca="false">_xlfn.xlookup(BG16,A:A,N:N)+_xlfn.xlookup(BG16,A:A,O:O)</f>
        <v>#NAME?</v>
      </c>
      <c r="BK16" s="153" t="e">
        <f aca="false">_xlfn.xlookup(BG16,$A$3:$A$997,$AB$3:$AB$997)</f>
        <v>#NAME?</v>
      </c>
      <c r="BL16" s="188"/>
      <c r="BM16" s="205" t="s">
        <v>760</v>
      </c>
      <c r="BN16" s="206" t="e">
        <f aca="false">#VALUE!</f>
        <v>#VALUE!</v>
      </c>
      <c r="BO16" s="208" t="e">
        <f aca="false">#VALUE!</f>
        <v>#VALUE!</v>
      </c>
      <c r="BQ16" s="144" t="str">
        <f aca="false">IF(VALUE(MONTH(C16))&lt;10,YEAR(C16)&amp;"-0"&amp;MONTH(C16),YEAR(C16)&amp;"-"&amp;MONTH(C16))</f>
        <v>2024-06</v>
      </c>
      <c r="BR16" s="144" t="str">
        <f aca="false">J16</f>
        <v>D11-1</v>
      </c>
      <c r="BS16" s="144" t="str">
        <f aca="false">IF(ISNUMBER(FIND("-", BR16)), LEFT(BR16, FIND("-", BR16) - 1), BR16)</f>
        <v>D11</v>
      </c>
      <c r="BT16" s="189" t="n">
        <f aca="false">L16-M16+O16</f>
        <v>45202.05288</v>
      </c>
      <c r="BU16" s="189"/>
      <c r="BV16" s="209" t="s">
        <v>912</v>
      </c>
      <c r="BW16" s="227"/>
      <c r="BX16" s="225"/>
      <c r="BY16" s="225"/>
      <c r="BZ16" s="225"/>
      <c r="CA16" s="225"/>
      <c r="CB16" s="225"/>
      <c r="CC16" s="225"/>
      <c r="CD16" s="225"/>
      <c r="CE16" s="225"/>
      <c r="CF16" s="225"/>
      <c r="CG16" s="225"/>
      <c r="CH16" s="225"/>
      <c r="CI16" s="225"/>
      <c r="CJ16" s="225"/>
      <c r="CK16" s="225"/>
      <c r="CL16" s="225"/>
      <c r="CM16" s="228" t="n">
        <v>0</v>
      </c>
      <c r="CN16" s="229" t="n">
        <v>0</v>
      </c>
      <c r="CP16" s="209" t="s">
        <v>912</v>
      </c>
      <c r="CQ16" s="227"/>
      <c r="CR16" s="225"/>
      <c r="CS16" s="225"/>
      <c r="CT16" s="225"/>
      <c r="CU16" s="225"/>
      <c r="CV16" s="225"/>
      <c r="CW16" s="225"/>
      <c r="CX16" s="225"/>
      <c r="CY16" s="225"/>
      <c r="CZ16" s="225"/>
      <c r="DA16" s="225"/>
      <c r="DB16" s="225"/>
      <c r="DC16" s="228" t="n">
        <v>0</v>
      </c>
      <c r="DD16" s="229" t="n">
        <v>0</v>
      </c>
      <c r="DE16" s="1"/>
      <c r="DF16" s="154"/>
    </row>
    <row r="17" customFormat="false" ht="16.4" hidden="false" customHeight="false" outlineLevel="0" collapsed="false">
      <c r="A17" s="140" t="s">
        <v>946</v>
      </c>
      <c r="B17" s="173"/>
      <c r="C17" s="174" t="n">
        <v>45447</v>
      </c>
      <c r="D17" s="173" t="n">
        <v>166</v>
      </c>
      <c r="E17" s="138" t="s">
        <v>85</v>
      </c>
      <c r="F17" s="138" t="s">
        <v>85</v>
      </c>
      <c r="G17" s="140"/>
      <c r="H17" s="173" t="n">
        <v>40039</v>
      </c>
      <c r="I17" s="173" t="n">
        <v>30012</v>
      </c>
      <c r="J17" s="140" t="s">
        <v>908</v>
      </c>
      <c r="K17" s="140"/>
      <c r="L17" s="175" t="n">
        <v>7115.30784</v>
      </c>
      <c r="M17" s="175" t="n">
        <v>0</v>
      </c>
      <c r="N17" s="175" t="n">
        <v>7007</v>
      </c>
      <c r="O17" s="175" t="n">
        <v>0</v>
      </c>
      <c r="P17" s="175"/>
      <c r="Q17" s="176"/>
      <c r="R17" s="138" t="n">
        <v>4</v>
      </c>
      <c r="S17" s="177" t="n">
        <v>0</v>
      </c>
      <c r="T17" s="215"/>
      <c r="U17" s="178" t="n">
        <v>0.327974576595346</v>
      </c>
      <c r="V17" s="177" t="n">
        <v>2298.11785820359</v>
      </c>
      <c r="W17" s="177" t="n">
        <v>35.5222179659563</v>
      </c>
      <c r="X17" s="179" t="n">
        <v>0.0152218066224946</v>
      </c>
      <c r="Y17" s="177" t="n">
        <v>29.4651711529412</v>
      </c>
      <c r="Z17" s="177" t="n">
        <v>21.7</v>
      </c>
      <c r="AA17" s="177" t="n">
        <v>240.384615384615</v>
      </c>
      <c r="AB17" s="177" t="n">
        <v>2625.1898627071</v>
      </c>
      <c r="AC17" s="215" t="n">
        <v>0.448</v>
      </c>
      <c r="AD17" s="215" t="s">
        <v>88</v>
      </c>
      <c r="AE17" s="177" t="n">
        <v>3139.136</v>
      </c>
      <c r="AF17" s="177" t="n">
        <v>513.946137292896</v>
      </c>
      <c r="AG17" s="181" t="n">
        <v>0.163722163452904</v>
      </c>
      <c r="AH17" s="180" t="n">
        <v>2333.64007616955</v>
      </c>
      <c r="AI17" s="181" t="n">
        <v>0.743402030421602</v>
      </c>
      <c r="AJ17" s="181"/>
      <c r="AK17" s="181" t="s">
        <v>946</v>
      </c>
      <c r="AL17" s="182" t="n">
        <v>0.374652470773099</v>
      </c>
      <c r="AN17" s="144" t="e">
        <v>#NAME?</v>
      </c>
      <c r="AO17" s="144" t="e">
        <f aca="false">_xlfn.xlookup(AN17,A:A,F:F)</f>
        <v>#NAME?</v>
      </c>
      <c r="AP17" s="144" t="e">
        <f aca="false">_xlfn.xlookup(AN17,A:A,J:J)</f>
        <v>#NAME?</v>
      </c>
      <c r="AQ17" s="144" t="e">
        <f aca="false">_xlfn.xlookup(AN17,A:A,N:N)+_xlfn.xlookup(AN17,A:A,O:O)</f>
        <v>#NAME?</v>
      </c>
      <c r="AR17" s="150" t="e">
        <f aca="false">_xlfn.xlookup(AN17,A:A,AH:AH)</f>
        <v>#NAME?</v>
      </c>
      <c r="AS17" s="150" t="e">
        <f aca="false">_xlfn.xlookup(AN17,A:A,S:S)</f>
        <v>#NAME?</v>
      </c>
      <c r="AT17" s="150" t="e">
        <f aca="false">_xlfn.xlookup(AN17,A:A,AE:AE)</f>
        <v>#NAME?</v>
      </c>
      <c r="AU17" s="150" t="e">
        <f aca="false">_xlfn.xlookup(AN17,A:A,AF:AF)</f>
        <v>#NAME?</v>
      </c>
      <c r="AW17" s="194" t="s">
        <v>726</v>
      </c>
      <c r="AX17" s="195" t="e">
        <f aca="false">#VALUE!</f>
        <v>#VALUE!</v>
      </c>
      <c r="AY17" s="196" t="e">
        <f aca="false">#VALUE!</f>
        <v>#VALUE!</v>
      </c>
      <c r="AZ17" s="196" t="e">
        <f aca="false">#VALUE!</f>
        <v>#VALUE!</v>
      </c>
      <c r="BA17" s="196" t="e">
        <f aca="false">#VALUE!</f>
        <v>#VALUE!</v>
      </c>
      <c r="BB17" s="197" t="e">
        <f aca="false">#VALUE!</f>
        <v>#VALUE!</v>
      </c>
      <c r="BC17" s="0"/>
      <c r="BD17" s="0"/>
      <c r="BE17" s="0"/>
      <c r="BF17" s="187"/>
      <c r="BG17" s="188" t="e">
        <v>#NAME?</v>
      </c>
      <c r="BH17" s="152" t="e">
        <f aca="false">_xlfn.xlookup(BG17,A:A,F:F)</f>
        <v>#NAME?</v>
      </c>
      <c r="BI17" s="188" t="e">
        <f aca="false">_xlfn.xlookup(BG17,A:A,J:J)</f>
        <v>#NAME?</v>
      </c>
      <c r="BJ17" s="153" t="e">
        <f aca="false">_xlfn.xlookup(BG17,A:A,N:N)+_xlfn.xlookup(BG17,A:A,O:O)</f>
        <v>#NAME?</v>
      </c>
      <c r="BK17" s="153" t="e">
        <f aca="false">_xlfn.xlookup(BG17,$A$3:$A$997,$AB$3:$AB$997)</f>
        <v>#NAME?</v>
      </c>
      <c r="BL17" s="188"/>
      <c r="BM17" s="216" t="s">
        <v>754</v>
      </c>
      <c r="BN17" s="217" t="e">
        <f aca="false">#VALUE!</f>
        <v>#VALUE!</v>
      </c>
      <c r="BO17" s="218" t="e">
        <f aca="false">#VALUE!</f>
        <v>#VALUE!</v>
      </c>
      <c r="BQ17" s="144" t="str">
        <f aca="false">IF(VALUE(MONTH(C17))&lt;10,YEAR(C17)&amp;"-0"&amp;MONTH(C17),YEAR(C17)&amp;"-"&amp;MONTH(C17))</f>
        <v>2024-06</v>
      </c>
      <c r="BR17" s="144" t="str">
        <f aca="false">J17</f>
        <v>D21-1</v>
      </c>
      <c r="BS17" s="144" t="str">
        <f aca="false">IF(ISNUMBER(FIND("-", BR17)), LEFT(BR17, FIND("-", BR17) - 1), BR17)</f>
        <v>D21</v>
      </c>
      <c r="BT17" s="189" t="n">
        <f aca="false">L17-M17+O17</f>
        <v>7115.30784</v>
      </c>
      <c r="BU17" s="189"/>
      <c r="BV17" s="230" t="s">
        <v>913</v>
      </c>
      <c r="BW17" s="231" t="n">
        <v>50707.715904</v>
      </c>
      <c r="BX17" s="232" t="n">
        <v>182934.099504</v>
      </c>
      <c r="BY17" s="232" t="n">
        <v>461022.530176</v>
      </c>
      <c r="BZ17" s="232" t="n">
        <v>171953.48112</v>
      </c>
      <c r="CA17" s="232" t="n">
        <v>105106.162128</v>
      </c>
      <c r="CB17" s="232" t="n">
        <v>49149.683616</v>
      </c>
      <c r="CC17" s="232" t="n">
        <v>207437.1889</v>
      </c>
      <c r="CD17" s="232" t="n">
        <v>155731.32184</v>
      </c>
      <c r="CE17" s="232" t="n">
        <v>13194.3870263478</v>
      </c>
      <c r="CF17" s="232" t="n">
        <v>2471.4864</v>
      </c>
      <c r="CG17" s="232" t="n">
        <v>245474.009628</v>
      </c>
      <c r="CH17" s="232" t="n">
        <v>210462.31596</v>
      </c>
      <c r="CI17" s="232" t="n">
        <v>4386.79584</v>
      </c>
      <c r="CJ17" s="232" t="n">
        <v>9339.96792</v>
      </c>
      <c r="CK17" s="232" t="n">
        <v>261836.848616</v>
      </c>
      <c r="CL17" s="232" t="n">
        <v>0</v>
      </c>
      <c r="CM17" s="233" t="n">
        <v>0</v>
      </c>
      <c r="CN17" s="234" t="n">
        <v>2131207.99457835</v>
      </c>
      <c r="CP17" s="230" t="s">
        <v>913</v>
      </c>
      <c r="CQ17" s="231" t="n">
        <v>50707.715904</v>
      </c>
      <c r="CR17" s="232" t="n">
        <v>182934.099504</v>
      </c>
      <c r="CS17" s="232" t="n">
        <v>787231.85704</v>
      </c>
      <c r="CT17" s="232" t="n">
        <v>207437.1889</v>
      </c>
      <c r="CU17" s="232" t="n">
        <v>155731.32184</v>
      </c>
      <c r="CV17" s="232" t="n">
        <v>13194.3870263478</v>
      </c>
      <c r="CW17" s="232" t="n">
        <v>2471.4864</v>
      </c>
      <c r="CX17" s="232" t="n">
        <v>245474.009628</v>
      </c>
      <c r="CY17" s="232" t="n">
        <v>210462.31596</v>
      </c>
      <c r="CZ17" s="232" t="n">
        <v>4386.79584</v>
      </c>
      <c r="DA17" s="232" t="n">
        <v>9339.96792</v>
      </c>
      <c r="DB17" s="232" t="n">
        <v>261836.848616</v>
      </c>
      <c r="DC17" s="233" t="n">
        <v>0</v>
      </c>
      <c r="DD17" s="234" t="n">
        <v>2131207.99457835</v>
      </c>
      <c r="DE17" s="1" t="s">
        <v>680</v>
      </c>
      <c r="DF17" s="154" t="n">
        <v>33368.4</v>
      </c>
    </row>
    <row r="18" customFormat="false" ht="16.4" hidden="false" customHeight="false" outlineLevel="0" collapsed="false">
      <c r="A18" s="140" t="s">
        <v>947</v>
      </c>
      <c r="B18" s="173"/>
      <c r="C18" s="174" t="n">
        <v>45453</v>
      </c>
      <c r="D18" s="173" t="n">
        <v>167</v>
      </c>
      <c r="E18" s="138" t="s">
        <v>91</v>
      </c>
      <c r="F18" s="138" t="s">
        <v>91</v>
      </c>
      <c r="G18" s="140"/>
      <c r="H18" s="173" t="n">
        <v>40047</v>
      </c>
      <c r="I18" s="173" t="n">
        <v>30011</v>
      </c>
      <c r="J18" s="140" t="s">
        <v>760</v>
      </c>
      <c r="K18" s="140"/>
      <c r="L18" s="175" t="n">
        <v>5358</v>
      </c>
      <c r="M18" s="175" t="n">
        <v>4296</v>
      </c>
      <c r="N18" s="175" t="n">
        <v>780</v>
      </c>
      <c r="O18" s="175" t="n">
        <v>0</v>
      </c>
      <c r="P18" s="175"/>
      <c r="Q18" s="176"/>
      <c r="R18" s="138" t="n">
        <v>1</v>
      </c>
      <c r="S18" s="177" t="n">
        <v>65</v>
      </c>
      <c r="T18" s="215"/>
      <c r="U18" s="178" t="n">
        <v>0.28357864079936</v>
      </c>
      <c r="V18" s="177" t="n">
        <v>221.191339823501</v>
      </c>
      <c r="W18" s="177" t="n">
        <v>79.9691767054195</v>
      </c>
      <c r="X18" s="179" t="n">
        <v>0.0526315789473684</v>
      </c>
      <c r="Y18" s="177" t="n">
        <v>3.15941294117647</v>
      </c>
      <c r="Z18" s="177" t="n">
        <v>21.7</v>
      </c>
      <c r="AA18" s="177" t="n">
        <v>60.0961538461539</v>
      </c>
      <c r="AB18" s="177" t="n">
        <v>451.116083316251</v>
      </c>
      <c r="AC18" s="215" t="n">
        <v>0.26</v>
      </c>
      <c r="AD18" s="215" t="s">
        <v>77</v>
      </c>
      <c r="AE18" s="177" t="n">
        <v>0</v>
      </c>
      <c r="AF18" s="177" t="n">
        <v>-451.116083316251</v>
      </c>
      <c r="AG18" s="181"/>
      <c r="AH18" s="180" t="n">
        <v>301.16051652892</v>
      </c>
      <c r="AI18" s="181"/>
      <c r="AJ18" s="181" t="s">
        <v>895</v>
      </c>
      <c r="AK18" s="181" t="s">
        <v>947</v>
      </c>
      <c r="AL18" s="182" t="n">
        <v>0.578353952969552</v>
      </c>
      <c r="AN18" s="144" t="e">
        <v>#NAME?</v>
      </c>
      <c r="AO18" s="144" t="e">
        <f aca="false">_xlfn.xlookup(AN18,A:A,F:F)</f>
        <v>#NAME?</v>
      </c>
      <c r="AP18" s="144" t="e">
        <f aca="false">_xlfn.xlookup(AN18,A:A,J:J)</f>
        <v>#NAME?</v>
      </c>
      <c r="AQ18" s="144" t="e">
        <f aca="false">_xlfn.xlookup(AN18,A:A,N:N)+_xlfn.xlookup(AN18,A:A,O:O)</f>
        <v>#NAME?</v>
      </c>
      <c r="AR18" s="150" t="e">
        <f aca="false">_xlfn.xlookup(AN18,A:A,AH:AH)</f>
        <v>#NAME?</v>
      </c>
      <c r="AS18" s="150" t="e">
        <f aca="false">_xlfn.xlookup(AN18,A:A,S:S)</f>
        <v>#NAME?</v>
      </c>
      <c r="AT18" s="150" t="e">
        <f aca="false">_xlfn.xlookup(AN18,A:A,AE:AE)</f>
        <v>#NAME?</v>
      </c>
      <c r="AU18" s="150" t="e">
        <f aca="false">_xlfn.xlookup(AN18,A:A,AF:AF)</f>
        <v>#NAME?</v>
      </c>
      <c r="AW18" s="205" t="s">
        <v>904</v>
      </c>
      <c r="AX18" s="206" t="e">
        <f aca="false">#VALUE!</f>
        <v>#VALUE!</v>
      </c>
      <c r="AY18" s="207" t="e">
        <f aca="false">#VALUE!</f>
        <v>#VALUE!</v>
      </c>
      <c r="AZ18" s="207" t="e">
        <f aca="false">#VALUE!</f>
        <v>#VALUE!</v>
      </c>
      <c r="BA18" s="207" t="e">
        <f aca="false">#VALUE!</f>
        <v>#VALUE!</v>
      </c>
      <c r="BB18" s="208" t="e">
        <f aca="false">#VALUE!</f>
        <v>#VALUE!</v>
      </c>
      <c r="BC18" s="0"/>
      <c r="BD18" s="0"/>
      <c r="BE18" s="0"/>
      <c r="BF18" s="187"/>
      <c r="BG18" s="188" t="e">
        <v>#NAME?</v>
      </c>
      <c r="BH18" s="152" t="e">
        <f aca="false">_xlfn.xlookup(BG18,A:A,F:F)</f>
        <v>#NAME?</v>
      </c>
      <c r="BI18" s="188" t="e">
        <f aca="false">_xlfn.xlookup(BG18,A:A,J:J)</f>
        <v>#NAME?</v>
      </c>
      <c r="BJ18" s="153" t="e">
        <f aca="false">_xlfn.xlookup(BG18,A:A,N:N)+_xlfn.xlookup(BG18,A:A,O:O)</f>
        <v>#NAME?</v>
      </c>
      <c r="BK18" s="153" t="e">
        <f aca="false">_xlfn.xlookup(BG18,$A$3:$A$997,$AB$3:$AB$997)</f>
        <v>#NAME?</v>
      </c>
      <c r="BL18" s="188"/>
      <c r="BM18" s="194" t="s">
        <v>935</v>
      </c>
      <c r="BN18" s="195" t="e">
        <f aca="false">#VALUE!</f>
        <v>#VALUE!</v>
      </c>
      <c r="BO18" s="197" t="e">
        <f aca="false">#VALUE!</f>
        <v>#VALUE!</v>
      </c>
      <c r="BQ18" s="144" t="str">
        <f aca="false">IF(VALUE(MONTH(C18))&lt;10,YEAR(C18)&amp;"-0"&amp;MONTH(C18),YEAR(C18)&amp;"-"&amp;MONTH(C18))</f>
        <v>2024-06</v>
      </c>
      <c r="BR18" s="144" t="str">
        <f aca="false">J18</f>
        <v>S21-1</v>
      </c>
      <c r="BS18" s="144" t="str">
        <f aca="false">IF(ISNUMBER(FIND("-", BR18)), LEFT(BR18, FIND("-", BR18) - 1), BR18)</f>
        <v>S21</v>
      </c>
      <c r="BT18" s="189" t="n">
        <f aca="false">L18-M18+O18</f>
        <v>1062</v>
      </c>
      <c r="BU18" s="189"/>
      <c r="DE18" s="1"/>
      <c r="DF18" s="154"/>
    </row>
    <row r="19" customFormat="false" ht="16.4" hidden="false" customHeight="false" outlineLevel="0" collapsed="false">
      <c r="A19" s="140" t="s">
        <v>948</v>
      </c>
      <c r="B19" s="173"/>
      <c r="C19" s="174" t="n">
        <v>45457</v>
      </c>
      <c r="D19" s="173" t="n">
        <v>168</v>
      </c>
      <c r="E19" s="138" t="s">
        <v>94</v>
      </c>
      <c r="F19" s="138" t="s">
        <v>522</v>
      </c>
      <c r="G19" s="140"/>
      <c r="H19" s="173" t="n">
        <v>40048</v>
      </c>
      <c r="I19" s="173" t="n">
        <v>30011</v>
      </c>
      <c r="J19" s="140" t="s">
        <v>760</v>
      </c>
      <c r="K19" s="140"/>
      <c r="L19" s="175" t="n">
        <v>2040</v>
      </c>
      <c r="M19" s="175" t="n">
        <v>1318.8</v>
      </c>
      <c r="N19" s="175" t="n">
        <v>718.56</v>
      </c>
      <c r="O19" s="175" t="n">
        <v>0</v>
      </c>
      <c r="P19" s="175"/>
      <c r="Q19" s="176"/>
      <c r="R19" s="138" t="n">
        <v>1</v>
      </c>
      <c r="S19" s="177" t="n">
        <v>71.5</v>
      </c>
      <c r="T19" s="215"/>
      <c r="U19" s="178" t="n">
        <v>0.28357864079936</v>
      </c>
      <c r="V19" s="177" t="n">
        <v>203.768268132788</v>
      </c>
      <c r="W19" s="177" t="n">
        <v>0.748647611710339</v>
      </c>
      <c r="X19" s="179" t="n">
        <v>0.00129411764705887</v>
      </c>
      <c r="Y19" s="177" t="n">
        <v>2.91638117647059</v>
      </c>
      <c r="Z19" s="177" t="n">
        <v>21.7</v>
      </c>
      <c r="AA19" s="177" t="n">
        <v>60.0961538461539</v>
      </c>
      <c r="AB19" s="177" t="n">
        <v>360.729450767123</v>
      </c>
      <c r="AC19" s="215" t="n">
        <v>0.27</v>
      </c>
      <c r="AD19" s="215" t="s">
        <v>77</v>
      </c>
      <c r="AE19" s="177" t="n">
        <v>0</v>
      </c>
      <c r="AF19" s="177" t="n">
        <v>-360.729450767123</v>
      </c>
      <c r="AG19" s="181"/>
      <c r="AH19" s="180" t="n">
        <v>204.516915744498</v>
      </c>
      <c r="AI19" s="181"/>
      <c r="AJ19" s="181" t="s">
        <v>895</v>
      </c>
      <c r="AK19" s="181" t="s">
        <v>948</v>
      </c>
      <c r="AL19" s="182" t="n">
        <v>0.502017160386221</v>
      </c>
      <c r="AN19" s="144" t="e">
        <v>#NAME?</v>
      </c>
      <c r="AO19" s="144" t="e">
        <f aca="false">_xlfn.xlookup(AN19,A:A,F:F)</f>
        <v>#NAME?</v>
      </c>
      <c r="AP19" s="144" t="e">
        <f aca="false">_xlfn.xlookup(AN19,A:A,J:J)</f>
        <v>#NAME?</v>
      </c>
      <c r="AQ19" s="144" t="e">
        <f aca="false">_xlfn.xlookup(AN19,A:A,N:N)+_xlfn.xlookup(AN19,A:A,O:O)</f>
        <v>#NAME?</v>
      </c>
      <c r="AR19" s="150" t="e">
        <f aca="false">_xlfn.xlookup(AN19,A:A,AH:AH)</f>
        <v>#NAME?</v>
      </c>
      <c r="AS19" s="150" t="e">
        <f aca="false">_xlfn.xlookup(AN19,A:A,S:S)</f>
        <v>#NAME?</v>
      </c>
      <c r="AT19" s="150" t="e">
        <f aca="false">_xlfn.xlookup(AN19,A:A,AE:AE)</f>
        <v>#NAME?</v>
      </c>
      <c r="AU19" s="150" t="e">
        <f aca="false">_xlfn.xlookup(AN19,A:A,AF:AF)</f>
        <v>#NAME?</v>
      </c>
      <c r="AW19" s="205" t="s">
        <v>740</v>
      </c>
      <c r="AX19" s="206" t="e">
        <f aca="false">#VALUE!</f>
        <v>#VALUE!</v>
      </c>
      <c r="AY19" s="207" t="e">
        <f aca="false">#VALUE!</f>
        <v>#VALUE!</v>
      </c>
      <c r="AZ19" s="207" t="e">
        <f aca="false">#VALUE!</f>
        <v>#VALUE!</v>
      </c>
      <c r="BA19" s="207" t="e">
        <f aca="false">#VALUE!</f>
        <v>#VALUE!</v>
      </c>
      <c r="BB19" s="208" t="e">
        <f aca="false">#VALUE!</f>
        <v>#VALUE!</v>
      </c>
      <c r="BC19" s="0"/>
      <c r="BD19" s="0"/>
      <c r="BE19" s="0"/>
      <c r="BF19" s="187"/>
      <c r="BG19" s="188" t="e">
        <v>#NAME?</v>
      </c>
      <c r="BH19" s="152" t="e">
        <f aca="false">_xlfn.xlookup(BG19,A:A,F:F)</f>
        <v>#NAME?</v>
      </c>
      <c r="BI19" s="188" t="e">
        <f aca="false">_xlfn.xlookup(BG19,A:A,J:J)</f>
        <v>#NAME?</v>
      </c>
      <c r="BJ19" s="153" t="e">
        <f aca="false">_xlfn.xlookup(BG19,A:A,N:N)+_xlfn.xlookup(BG19,A:A,O:O)</f>
        <v>#NAME?</v>
      </c>
      <c r="BK19" s="153" t="e">
        <f aca="false">_xlfn.xlookup(BG19,$A$3:$A$997,$AB$3:$AB$997)</f>
        <v>#NAME?</v>
      </c>
      <c r="BL19" s="188"/>
      <c r="BM19" s="205" t="s">
        <v>768</v>
      </c>
      <c r="BN19" s="206" t="e">
        <f aca="false">#VALUE!</f>
        <v>#VALUE!</v>
      </c>
      <c r="BO19" s="208" t="e">
        <f aca="false">#VALUE!</f>
        <v>#VALUE!</v>
      </c>
      <c r="BQ19" s="144" t="str">
        <f aca="false">IF(VALUE(MONTH(C19))&lt;10,YEAR(C19)&amp;"-0"&amp;MONTH(C19),YEAR(C19)&amp;"-"&amp;MONTH(C19))</f>
        <v>2024-06</v>
      </c>
      <c r="BR19" s="144" t="str">
        <f aca="false">J19</f>
        <v>S21-1</v>
      </c>
      <c r="BS19" s="144" t="str">
        <f aca="false">IF(ISNUMBER(FIND("-", BR19)), LEFT(BR19, FIND("-", BR19) - 1), BR19)</f>
        <v>S21</v>
      </c>
      <c r="BT19" s="189" t="n">
        <f aca="false">L19-M19+O19</f>
        <v>721.2</v>
      </c>
      <c r="BU19" s="189"/>
      <c r="DE19" s="1" t="s">
        <v>495</v>
      </c>
      <c r="DF19" s="154" t="n">
        <v>163662.88824</v>
      </c>
    </row>
    <row r="20" customFormat="false" ht="16.4" hidden="false" customHeight="false" outlineLevel="0" collapsed="false">
      <c r="A20" s="140" t="s">
        <v>949</v>
      </c>
      <c r="B20" s="173"/>
      <c r="C20" s="174" t="n">
        <v>45462</v>
      </c>
      <c r="D20" s="173" t="n">
        <v>169</v>
      </c>
      <c r="E20" s="138" t="s">
        <v>96</v>
      </c>
      <c r="F20" s="138" t="s">
        <v>582</v>
      </c>
      <c r="G20" s="140"/>
      <c r="H20" s="173" t="n">
        <v>40049</v>
      </c>
      <c r="I20" s="173" t="n">
        <v>30012</v>
      </c>
      <c r="J20" s="140" t="s">
        <v>908</v>
      </c>
      <c r="K20" s="140"/>
      <c r="L20" s="175" t="n">
        <v>3469.824</v>
      </c>
      <c r="M20" s="175" t="n">
        <v>2524.01</v>
      </c>
      <c r="N20" s="175" t="n">
        <v>685.21</v>
      </c>
      <c r="O20" s="175" t="n">
        <v>0</v>
      </c>
      <c r="P20" s="175"/>
      <c r="Q20" s="176"/>
      <c r="R20" s="138" t="n">
        <v>1.5</v>
      </c>
      <c r="S20" s="177" t="n">
        <v>65</v>
      </c>
      <c r="T20" s="215"/>
      <c r="U20" s="178" t="n">
        <v>0.327974576595346</v>
      </c>
      <c r="V20" s="177" t="n">
        <v>224.731459628897</v>
      </c>
      <c r="W20" s="177" t="n">
        <v>85.4714865590534</v>
      </c>
      <c r="X20" s="179" t="n">
        <v>0.0751058266932269</v>
      </c>
      <c r="Y20" s="177" t="n">
        <v>3.12903397058824</v>
      </c>
      <c r="Z20" s="177" t="n">
        <v>21.7</v>
      </c>
      <c r="AA20" s="177" t="n">
        <v>90.1442307692308</v>
      </c>
      <c r="AB20" s="177" t="n">
        <v>490.17621092777</v>
      </c>
      <c r="AC20" s="215" t="n">
        <v>0.466</v>
      </c>
      <c r="AD20" s="215" t="s">
        <v>88</v>
      </c>
      <c r="AE20" s="177" t="n">
        <v>0</v>
      </c>
      <c r="AF20" s="177" t="n">
        <v>-490.17621092777</v>
      </c>
      <c r="AG20" s="181"/>
      <c r="AH20" s="180" t="n">
        <v>310.202946187951</v>
      </c>
      <c r="AI20" s="181"/>
      <c r="AJ20" s="181" t="s">
        <v>895</v>
      </c>
      <c r="AK20" s="181" t="s">
        <v>949</v>
      </c>
      <c r="AL20" s="182" t="n">
        <v>0.715366399976313</v>
      </c>
      <c r="AN20" s="144" t="e">
        <v>#NAME?</v>
      </c>
      <c r="AO20" s="144" t="e">
        <f aca="false">_xlfn.xlookup(AN20,A:A,F:F)</f>
        <v>#NAME?</v>
      </c>
      <c r="AP20" s="144" t="e">
        <f aca="false">_xlfn.xlookup(AN20,A:A,J:J)</f>
        <v>#NAME?</v>
      </c>
      <c r="AQ20" s="144" t="e">
        <f aca="false">_xlfn.xlookup(AN20,A:A,N:N)+_xlfn.xlookup(AN20,A:A,O:O)</f>
        <v>#NAME?</v>
      </c>
      <c r="AR20" s="150" t="e">
        <f aca="false">_xlfn.xlookup(AN20,A:A,AH:AH)</f>
        <v>#NAME?</v>
      </c>
      <c r="AS20" s="150" t="e">
        <f aca="false">_xlfn.xlookup(AN20,A:A,S:S)</f>
        <v>#NAME?</v>
      </c>
      <c r="AT20" s="150" t="e">
        <f aca="false">_xlfn.xlookup(AN20,A:A,AE:AE)</f>
        <v>#NAME?</v>
      </c>
      <c r="AU20" s="150" t="e">
        <f aca="false">_xlfn.xlookup(AN20,A:A,AF:AF)</f>
        <v>#NAME?</v>
      </c>
      <c r="AW20" s="205" t="s">
        <v>760</v>
      </c>
      <c r="AX20" s="206" t="e">
        <f aca="false">#VALUE!</f>
        <v>#VALUE!</v>
      </c>
      <c r="AY20" s="207" t="e">
        <f aca="false">#VALUE!</f>
        <v>#VALUE!</v>
      </c>
      <c r="AZ20" s="207" t="e">
        <f aca="false">#VALUE!</f>
        <v>#VALUE!</v>
      </c>
      <c r="BA20" s="207" t="e">
        <f aca="false">#VALUE!</f>
        <v>#VALUE!</v>
      </c>
      <c r="BB20" s="208" t="e">
        <f aca="false">#VALUE!</f>
        <v>#VALUE!</v>
      </c>
      <c r="BC20" s="0"/>
      <c r="BD20" s="0"/>
      <c r="BE20" s="0"/>
      <c r="BF20" s="187"/>
      <c r="BG20" s="188" t="e">
        <v>#NAME?</v>
      </c>
      <c r="BH20" s="152" t="e">
        <f aca="false">_xlfn.xlookup(BG20,A:A,F:F)</f>
        <v>#NAME?</v>
      </c>
      <c r="BI20" s="188" t="e">
        <f aca="false">_xlfn.xlookup(BG20,A:A,J:J)</f>
        <v>#NAME?</v>
      </c>
      <c r="BJ20" s="153" t="e">
        <f aca="false">_xlfn.xlookup(BG20,A:A,N:N)+_xlfn.xlookup(BG20,A:A,O:O)</f>
        <v>#NAME?</v>
      </c>
      <c r="BK20" s="153" t="e">
        <f aca="false">_xlfn.xlookup(BG20,$A$3:$A$997,$AB$3:$AB$997)</f>
        <v>#NAME?</v>
      </c>
      <c r="BL20" s="188"/>
      <c r="BM20" s="205" t="s">
        <v>905</v>
      </c>
      <c r="BN20" s="206" t="e">
        <f aca="false">#VALUE!</f>
        <v>#VALUE!</v>
      </c>
      <c r="BO20" s="208" t="e">
        <f aca="false">#VALUE!</f>
        <v>#VALUE!</v>
      </c>
      <c r="BQ20" s="144" t="str">
        <f aca="false">IF(VALUE(MONTH(C20))&lt;10,YEAR(C20)&amp;"-0"&amp;MONTH(C20),YEAR(C20)&amp;"-"&amp;MONTH(C20))</f>
        <v>2024-06</v>
      </c>
      <c r="BR20" s="144" t="str">
        <f aca="false">J20</f>
        <v>D21-1</v>
      </c>
      <c r="BS20" s="144" t="str">
        <f aca="false">IF(ISNUMBER(FIND("-", BR20)), LEFT(BR20, FIND("-", BR20) - 1), BR20)</f>
        <v>D21</v>
      </c>
      <c r="BT20" s="189" t="n">
        <f aca="false">L20-M20+O20</f>
        <v>945.813999999999</v>
      </c>
      <c r="BU20" s="189"/>
      <c r="CP20" s="138" t="s">
        <v>950</v>
      </c>
      <c r="CQ20" s="175" t="n">
        <v>7</v>
      </c>
      <c r="CR20" s="175" t="n">
        <v>9</v>
      </c>
      <c r="CS20" s="175" t="n">
        <v>7</v>
      </c>
      <c r="CT20" s="175" t="n">
        <v>3</v>
      </c>
      <c r="CU20" s="175" t="n">
        <v>8</v>
      </c>
      <c r="CV20" s="175"/>
      <c r="CW20" s="175"/>
      <c r="CX20" s="175" t="n">
        <v>8</v>
      </c>
      <c r="CY20" s="175" t="n">
        <v>8</v>
      </c>
      <c r="CZ20" s="175"/>
      <c r="DA20" s="175"/>
      <c r="DB20" s="175" t="n">
        <v>4</v>
      </c>
    </row>
    <row r="21" customFormat="false" ht="16.4" hidden="false" customHeight="false" outlineLevel="0" collapsed="false">
      <c r="A21" s="140" t="s">
        <v>951</v>
      </c>
      <c r="B21" s="173"/>
      <c r="C21" s="174" t="n">
        <v>45468</v>
      </c>
      <c r="D21" s="173" t="n">
        <v>170</v>
      </c>
      <c r="E21" s="138" t="s">
        <v>89</v>
      </c>
      <c r="F21" s="138" t="s">
        <v>938</v>
      </c>
      <c r="G21" s="140"/>
      <c r="H21" s="173" t="n">
        <v>40050</v>
      </c>
      <c r="I21" s="173" t="n">
        <v>30017</v>
      </c>
      <c r="J21" s="140" t="s">
        <v>768</v>
      </c>
      <c r="K21" s="140"/>
      <c r="L21" s="175" t="n">
        <v>6821.55</v>
      </c>
      <c r="M21" s="175" t="n">
        <v>4884</v>
      </c>
      <c r="N21" s="175" t="n">
        <v>1800</v>
      </c>
      <c r="O21" s="175"/>
      <c r="P21" s="175"/>
      <c r="Q21" s="176"/>
      <c r="R21" s="138" t="n">
        <v>1</v>
      </c>
      <c r="S21" s="177" t="n">
        <v>0</v>
      </c>
      <c r="T21" s="215" t="n">
        <v>1.37</v>
      </c>
      <c r="U21" s="178" t="n">
        <v>0.326284886247867</v>
      </c>
      <c r="V21" s="177" t="n">
        <v>587.31279524616</v>
      </c>
      <c r="W21" s="177" t="n">
        <v>44.8804861033944</v>
      </c>
      <c r="X21" s="179" t="n">
        <v>0.0201640389647516</v>
      </c>
      <c r="Y21" s="177" t="n">
        <v>14.5819058823529</v>
      </c>
      <c r="Z21" s="177" t="n">
        <v>21.7</v>
      </c>
      <c r="AA21" s="177" t="n">
        <v>60.0961538461539</v>
      </c>
      <c r="AB21" s="177" t="n">
        <v>728.571341078061</v>
      </c>
      <c r="AC21" s="215" t="n">
        <v>0.34</v>
      </c>
      <c r="AD21" s="215" t="s">
        <v>77</v>
      </c>
      <c r="AE21" s="177" t="n">
        <v>838.44</v>
      </c>
      <c r="AF21" s="177" t="n">
        <v>109.868658921939</v>
      </c>
      <c r="AG21" s="181" t="n">
        <v>0.131039381377247</v>
      </c>
      <c r="AH21" s="180" t="n">
        <v>632.193281349555</v>
      </c>
      <c r="AI21" s="181" t="n">
        <v>0.754011356029715</v>
      </c>
      <c r="AJ21" s="181"/>
      <c r="AK21" s="181" t="s">
        <v>951</v>
      </c>
      <c r="AL21" s="182" t="n">
        <v>0.404761856154479</v>
      </c>
      <c r="AN21" s="144" t="e">
        <v>#NAME?</v>
      </c>
      <c r="AO21" s="144" t="e">
        <f aca="false">_xlfn.xlookup(AN21,A:A,F:F)</f>
        <v>#NAME?</v>
      </c>
      <c r="AP21" s="144" t="e">
        <f aca="false">_xlfn.xlookup(AN21,A:A,J:J)</f>
        <v>#NAME?</v>
      </c>
      <c r="AQ21" s="144" t="e">
        <f aca="false">_xlfn.xlookup(AN21,A:A,N:N)+_xlfn.xlookup(AN21,A:A,O:O)</f>
        <v>#NAME?</v>
      </c>
      <c r="AR21" s="150" t="e">
        <f aca="false">_xlfn.xlookup(AN21,A:A,AH:AH)</f>
        <v>#NAME?</v>
      </c>
      <c r="AS21" s="150" t="e">
        <f aca="false">_xlfn.xlookup(AN21,A:A,S:S)</f>
        <v>#NAME?</v>
      </c>
      <c r="AT21" s="150" t="e">
        <f aca="false">_xlfn.xlookup(AN21,A:A,AE:AE)</f>
        <v>#NAME?</v>
      </c>
      <c r="AU21" s="150" t="e">
        <f aca="false">_xlfn.xlookup(AN21,A:A,AF:AF)</f>
        <v>#NAME?</v>
      </c>
      <c r="AW21" s="216" t="s">
        <v>754</v>
      </c>
      <c r="AX21" s="217" t="e">
        <f aca="false">#VALUE!</f>
        <v>#VALUE!</v>
      </c>
      <c r="AY21" s="225" t="e">
        <f aca="false">#VALUE!</f>
        <v>#VALUE!</v>
      </c>
      <c r="AZ21" s="225" t="e">
        <f aca="false">#VALUE!</f>
        <v>#VALUE!</v>
      </c>
      <c r="BA21" s="225" t="e">
        <f aca="false">#VALUE!</f>
        <v>#VALUE!</v>
      </c>
      <c r="BB21" s="218" t="e">
        <f aca="false">#VALUE!</f>
        <v>#VALUE!</v>
      </c>
      <c r="BC21" s="0"/>
      <c r="BD21" s="0"/>
      <c r="BE21" s="0"/>
      <c r="BF21" s="187"/>
      <c r="BG21" s="188" t="e">
        <v>#NAME?</v>
      </c>
      <c r="BH21" s="152" t="e">
        <f aca="false">_xlfn.xlookup(BG21,A:A,F:F)</f>
        <v>#NAME?</v>
      </c>
      <c r="BI21" s="188" t="e">
        <f aca="false">_xlfn.xlookup(BG21,A:A,J:J)</f>
        <v>#NAME?</v>
      </c>
      <c r="BJ21" s="153" t="e">
        <f aca="false">_xlfn.xlookup(BG21,A:A,N:N)+_xlfn.xlookup(BG21,A:A,O:O)</f>
        <v>#NAME?</v>
      </c>
      <c r="BK21" s="153" t="e">
        <f aca="false">_xlfn.xlookup(BG21,$A$3:$A$997,$AB$3:$AB$997)</f>
        <v>#NAME?</v>
      </c>
      <c r="BL21" s="188"/>
      <c r="BM21" s="216" t="s">
        <v>754</v>
      </c>
      <c r="BN21" s="217" t="e">
        <f aca="false">#VALUE!</f>
        <v>#VALUE!</v>
      </c>
      <c r="BO21" s="218" t="e">
        <f aca="false">#VALUE!</f>
        <v>#VALUE!</v>
      </c>
      <c r="BQ21" s="144" t="str">
        <f aca="false">IF(VALUE(MONTH(C21))&lt;10,YEAR(C21)&amp;"-0"&amp;MONTH(C21),YEAR(C21)&amp;"-"&amp;MONTH(C21))</f>
        <v>2024-06</v>
      </c>
      <c r="BR21" s="144" t="str">
        <f aca="false">J21</f>
        <v>B25-3</v>
      </c>
      <c r="BS21" s="144" t="str">
        <f aca="false">IF(ISNUMBER(FIND("-", BR21)), LEFT(BR21, FIND("-", BR21) - 1), BR21)</f>
        <v>B25</v>
      </c>
      <c r="BT21" s="189" t="n">
        <f aca="false">L21-M21+O21</f>
        <v>1937.55</v>
      </c>
      <c r="BU21" s="189"/>
      <c r="CP21" s="138" t="s">
        <v>952</v>
      </c>
      <c r="CQ21" s="175" t="n">
        <f aca="false">GETPIVOTDATA("Utilisée",$CP$2,"Matière 2","B15")/CQ20</f>
        <v>7243.95941485714</v>
      </c>
      <c r="CR21" s="175" t="n">
        <f aca="false">GETPIVOTDATA("Utilisée",$CP$2,"Matière 2","B25")/CR20</f>
        <v>19554.990256</v>
      </c>
      <c r="CS21" s="175" t="n">
        <f aca="false">GETPIVOTDATA("Utilisée",$CP$2,"Matière 2","D11")/CS20</f>
        <v>112346.933148571</v>
      </c>
      <c r="CT21" s="175" t="n">
        <f aca="false">GETPIVOTDATA("Utilisée",$CP$2,"Matière 2","D16")/CT20</f>
        <v>69145.7296333333</v>
      </c>
      <c r="CU21" s="175" t="n">
        <f aca="false">GETPIVOTDATA("Utilisée",$CP$2,"Matière 2","D21")/CU20</f>
        <v>19466.41523</v>
      </c>
      <c r="CV21" s="235" t="str">
        <f aca="false">IFERROR(GETPIVOTDATA("Utilisée",$CP$2,"Matière 2","F70")/CV20,"")</f>
        <v/>
      </c>
      <c r="CW21" s="235" t="str">
        <f aca="false">IFERROR(GETPIVOTDATA("Utilisée",$CP$2,"Matière 2","S11")/CW20,"")</f>
        <v/>
      </c>
      <c r="CX21" s="175" t="n">
        <f aca="false">GETPIVOTDATA("Utilisée",$CP$2,"Matière 2","S15")/CX20</f>
        <v>29767.1581035</v>
      </c>
      <c r="CY21" s="175" t="n">
        <f aca="false">GETPIVOTDATA("Utilisée",$CP$2,"Matière 2","S21")/CY20</f>
        <v>26214.639495</v>
      </c>
      <c r="CZ21" s="235" t="str">
        <f aca="false">IFERROR(GETPIVOTDATA("Utilisée",$CP$2,"Matière 2","S31")/CZ20,"")</f>
        <v/>
      </c>
      <c r="DA21" s="235" t="str">
        <f aca="false">IFERROR(GETPIVOTDATA("Utilisée",$CP$2,"Matière 2","S35")/DA20,"")</f>
        <v/>
      </c>
      <c r="DB21" s="175" t="n">
        <f aca="false">GETPIVOTDATA("Utilisée",$CP$2,"Matière 2","T11")/DB20</f>
        <v>61548.460934</v>
      </c>
    </row>
    <row r="22" customFormat="false" ht="16.4" hidden="false" customHeight="false" outlineLevel="0" collapsed="false">
      <c r="A22" s="140" t="s">
        <v>953</v>
      </c>
      <c r="B22" s="173"/>
      <c r="C22" s="174" t="n">
        <v>45475</v>
      </c>
      <c r="D22" s="173" t="n">
        <v>171</v>
      </c>
      <c r="E22" s="138" t="s">
        <v>63</v>
      </c>
      <c r="F22" s="138" t="s">
        <v>500</v>
      </c>
      <c r="G22" s="140"/>
      <c r="H22" s="173" t="n">
        <v>40033</v>
      </c>
      <c r="I22" s="173" t="n">
        <v>30013</v>
      </c>
      <c r="J22" s="140" t="s">
        <v>904</v>
      </c>
      <c r="K22" s="140"/>
      <c r="L22" s="175" t="n">
        <v>56246</v>
      </c>
      <c r="M22" s="175" t="n">
        <v>8889</v>
      </c>
      <c r="N22" s="175" t="n">
        <v>47220</v>
      </c>
      <c r="O22" s="175"/>
      <c r="P22" s="175"/>
      <c r="Q22" s="176"/>
      <c r="R22" s="138" t="n">
        <v>14</v>
      </c>
      <c r="S22" s="177" t="n">
        <v>-59.53</v>
      </c>
      <c r="T22" s="215" t="n">
        <v>1.37</v>
      </c>
      <c r="U22" s="178" t="n">
        <v>0.358173933722525</v>
      </c>
      <c r="V22" s="177" t="n">
        <v>16912.9731503776</v>
      </c>
      <c r="W22" s="177" t="n">
        <v>49.0698289199859</v>
      </c>
      <c r="X22" s="179" t="n">
        <v>0.00243572876293425</v>
      </c>
      <c r="Y22" s="177" t="n">
        <v>189.564776470588</v>
      </c>
      <c r="Z22" s="177" t="n">
        <v>151.9</v>
      </c>
      <c r="AA22" s="177" t="n">
        <v>841.346153846154</v>
      </c>
      <c r="AB22" s="177" t="n">
        <v>18085.3239096144</v>
      </c>
      <c r="AC22" s="215" t="n">
        <v>0.31</v>
      </c>
      <c r="AD22" s="215" t="s">
        <v>77</v>
      </c>
      <c r="AE22" s="177" t="n">
        <v>20054.334</v>
      </c>
      <c r="AF22" s="177" t="n">
        <v>1969.01009038564</v>
      </c>
      <c r="AG22" s="181" t="n">
        <v>0.0981837686749228</v>
      </c>
      <c r="AH22" s="180" t="n">
        <v>16962.0429792976</v>
      </c>
      <c r="AI22" s="181" t="n">
        <v>0.845804352281039</v>
      </c>
      <c r="AJ22" s="181"/>
      <c r="AK22" s="181" t="s">
        <v>953</v>
      </c>
      <c r="AL22" s="182" t="n">
        <v>0.38300135344376</v>
      </c>
      <c r="AN22" s="144" t="e">
        <v>#NAME?</v>
      </c>
      <c r="AO22" s="144" t="e">
        <f aca="false">_xlfn.xlookup(AN22,A:A,F:F)</f>
        <v>#NAME?</v>
      </c>
      <c r="AP22" s="144" t="e">
        <f aca="false">_xlfn.xlookup(AN22,A:A,J:J)</f>
        <v>#NAME?</v>
      </c>
      <c r="AQ22" s="144" t="e">
        <f aca="false">_xlfn.xlookup(AN22,A:A,N:N)+_xlfn.xlookup(AN22,A:A,O:O)</f>
        <v>#NAME?</v>
      </c>
      <c r="AR22" s="150" t="e">
        <f aca="false">_xlfn.xlookup(AN22,A:A,AH:AH)</f>
        <v>#NAME?</v>
      </c>
      <c r="AS22" s="150" t="e">
        <f aca="false">_xlfn.xlookup(AN22,A:A,S:S)</f>
        <v>#NAME?</v>
      </c>
      <c r="AT22" s="150" t="e">
        <f aca="false">_xlfn.xlookup(AN22,A:A,AE:AE)</f>
        <v>#NAME?</v>
      </c>
      <c r="AU22" s="150" t="e">
        <f aca="false">_xlfn.xlookup(AN22,A:A,AF:AF)</f>
        <v>#NAME?</v>
      </c>
      <c r="AW22" s="194" t="s">
        <v>954</v>
      </c>
      <c r="AX22" s="195" t="e">
        <f aca="false">#VALUE!</f>
        <v>#VALUE!</v>
      </c>
      <c r="AY22" s="196" t="e">
        <f aca="false">#VALUE!</f>
        <v>#VALUE!</v>
      </c>
      <c r="AZ22" s="196" t="e">
        <f aca="false">#VALUE!</f>
        <v>#VALUE!</v>
      </c>
      <c r="BA22" s="196" t="e">
        <f aca="false">#VALUE!</f>
        <v>#VALUE!</v>
      </c>
      <c r="BB22" s="197" t="e">
        <f aca="false">#VALUE!</f>
        <v>#VALUE!</v>
      </c>
      <c r="BC22" s="0"/>
      <c r="BD22" s="0"/>
      <c r="BE22" s="0"/>
      <c r="BF22" s="187"/>
      <c r="BG22" s="188" t="e">
        <v>#NAME?</v>
      </c>
      <c r="BH22" s="152" t="e">
        <f aca="false">_xlfn.xlookup(BG22,A:A,F:F)</f>
        <v>#NAME?</v>
      </c>
      <c r="BI22" s="188" t="e">
        <f aca="false">_xlfn.xlookup(BG22,A:A,J:J)</f>
        <v>#NAME?</v>
      </c>
      <c r="BJ22" s="153" t="e">
        <f aca="false">_xlfn.xlookup(BG22,A:A,N:N)+_xlfn.xlookup(BG22,A:A,O:O)</f>
        <v>#NAME?</v>
      </c>
      <c r="BK22" s="153" t="e">
        <f aca="false">_xlfn.xlookup(BG22,$A$3:$A$997,$AB$3:$AB$997)</f>
        <v>#NAME?</v>
      </c>
      <c r="BL22" s="188"/>
      <c r="BM22" s="194" t="s">
        <v>894</v>
      </c>
      <c r="BN22" s="195" t="e">
        <f aca="false">#VALUE!</f>
        <v>#VALUE!</v>
      </c>
      <c r="BO22" s="197" t="e">
        <f aca="false">#VALUE!</f>
        <v>#VALUE!</v>
      </c>
      <c r="BQ22" s="144" t="str">
        <f aca="false">IF(VALUE(MONTH(C22))&lt;10,YEAR(C22)&amp;"-0"&amp;MONTH(C22),YEAR(C22)&amp;"-"&amp;MONTH(C22))</f>
        <v>2024-07</v>
      </c>
      <c r="BR22" s="144" t="str">
        <f aca="false">J22</f>
        <v>D11-1</v>
      </c>
      <c r="BS22" s="144" t="str">
        <f aca="false">IF(ISNUMBER(FIND("-", BR22)), LEFT(BR22, FIND("-", BR22) - 1), BR22)</f>
        <v>D11</v>
      </c>
      <c r="BT22" s="189" t="n">
        <f aca="false">L22-M22+O22</f>
        <v>47357</v>
      </c>
      <c r="BU22" s="189"/>
      <c r="CP22" s="236" t="n">
        <f aca="false">DF2</f>
        <v>45729</v>
      </c>
      <c r="CQ22" s="175" t="n">
        <f aca="false">IFERROR(_xlfn.xlookup(CQ3,$DE$3:$DE$19,$DF$3:$DF$19),0)</f>
        <v>118819.44</v>
      </c>
      <c r="CR22" s="175" t="n">
        <f aca="false">IFERROR(_xlfn.xlookup(CR3,$DE$3:$DE$19,$DF$3:$DF$19),0)</f>
        <v>0</v>
      </c>
      <c r="CS22" s="175" t="n">
        <f aca="false">IFERROR(_xlfn.xlookup(CS3,$DE$3:$DE$19,$DF$3:$DF$19),0)</f>
        <v>0</v>
      </c>
      <c r="CT22" s="175" t="n">
        <f aca="false">IFERROR(_xlfn.xlookup(CT3,$DE$3:$DE$19,$DF$3:$DF$19),0)</f>
        <v>0</v>
      </c>
      <c r="CU22" s="175" t="n">
        <f aca="false">IFERROR(_xlfn.xlookup(CU3,$DE$3:$DE$19,$DF$3:$DF$19),0)</f>
        <v>0</v>
      </c>
      <c r="CV22" s="175" t="n">
        <f aca="false">IFERROR(_xlfn.xlookup(CV3,$DE$3:$DE$19,$DF$3:$DF$19),0)</f>
        <v>0</v>
      </c>
      <c r="CW22" s="175" t="n">
        <f aca="false">IFERROR(_xlfn.xlookup(CW3,$DE$3:$DE$19,$DF$3:$DF$19),0)</f>
        <v>0</v>
      </c>
      <c r="CX22" s="175" t="n">
        <f aca="false">IFERROR(_xlfn.xlookup(CX3,$DE$3:$DE$19,$DF$3:$DF$19),0)</f>
        <v>0</v>
      </c>
      <c r="CY22" s="175" t="n">
        <f aca="false">IFERROR(_xlfn.xlookup(CY3,$DE$3:$DE$19,$DF$3:$DF$19),0)</f>
        <v>0</v>
      </c>
      <c r="CZ22" s="175" t="n">
        <f aca="false">IFERROR(_xlfn.xlookup(CZ3,$DE$3:$DE$19,$DF$3:$DF$19),0)</f>
        <v>0</v>
      </c>
      <c r="DA22" s="175" t="n">
        <f aca="false">IFERROR(_xlfn.xlookup(DA3,$DE$3:$DE$19,$DF$3:$DF$19),0)</f>
        <v>0</v>
      </c>
      <c r="DB22" s="175" t="n">
        <f aca="false">IFERROR(_xlfn.xlookup(DB3,$DE$3:$DE$19,$DF$3:$DF$19),0)</f>
        <v>0</v>
      </c>
    </row>
    <row r="23" s="204" customFormat="true" ht="16.4" hidden="false" customHeight="false" outlineLevel="0" collapsed="false">
      <c r="A23" s="140" t="s">
        <v>955</v>
      </c>
      <c r="B23" s="173"/>
      <c r="C23" s="174" t="n">
        <v>45475</v>
      </c>
      <c r="D23" s="173" t="n">
        <v>172</v>
      </c>
      <c r="E23" s="138" t="s">
        <v>89</v>
      </c>
      <c r="F23" s="138" t="s">
        <v>938</v>
      </c>
      <c r="G23" s="140"/>
      <c r="H23" s="173" t="n">
        <v>40051</v>
      </c>
      <c r="I23" s="173" t="n">
        <v>30016</v>
      </c>
      <c r="J23" s="140" t="s">
        <v>764</v>
      </c>
      <c r="K23" s="140"/>
      <c r="L23" s="175" t="n">
        <v>14182.18272</v>
      </c>
      <c r="M23" s="175" t="n">
        <v>12230.4</v>
      </c>
      <c r="N23" s="175" t="n">
        <v>1800</v>
      </c>
      <c r="O23" s="175"/>
      <c r="P23" s="175"/>
      <c r="Q23" s="176"/>
      <c r="R23" s="138" t="n">
        <v>1</v>
      </c>
      <c r="S23" s="177" t="n">
        <v>0</v>
      </c>
      <c r="T23" s="215" t="n">
        <v>1.37</v>
      </c>
      <c r="U23" s="178" t="n">
        <v>0.326284886247867</v>
      </c>
      <c r="V23" s="177" t="n">
        <v>587.31279524616</v>
      </c>
      <c r="W23" s="177" t="n">
        <v>49.5244075295922</v>
      </c>
      <c r="X23" s="179" t="n">
        <v>0.0107023525924507</v>
      </c>
      <c r="Y23" s="177" t="n">
        <v>14.5819058823529</v>
      </c>
      <c r="Z23" s="177" t="n">
        <v>21.7</v>
      </c>
      <c r="AA23" s="177" t="n">
        <v>60.0961538461539</v>
      </c>
      <c r="AB23" s="177" t="n">
        <v>733.215262504259</v>
      </c>
      <c r="AC23" s="215" t="n">
        <v>0.34</v>
      </c>
      <c r="AD23" s="215" t="s">
        <v>77</v>
      </c>
      <c r="AE23" s="177" t="n">
        <v>838.44</v>
      </c>
      <c r="AF23" s="177" t="n">
        <v>105.224737495741</v>
      </c>
      <c r="AG23" s="181" t="n">
        <v>0.12550061721261</v>
      </c>
      <c r="AH23" s="180" t="n">
        <v>636.837202775752</v>
      </c>
      <c r="AI23" s="181" t="n">
        <v>0.759550120194352</v>
      </c>
      <c r="AJ23" s="181"/>
      <c r="AK23" s="181" t="s">
        <v>955</v>
      </c>
      <c r="AL23" s="182" t="n">
        <v>0.407341812502366</v>
      </c>
      <c r="AN23" s="204" t="e">
        <v>#NAME?</v>
      </c>
      <c r="AO23" s="204" t="e">
        <f aca="false">_xlfn.xlookup(AN23,A:A,F:F)</f>
        <v>#NAME?</v>
      </c>
      <c r="AP23" s="204" t="e">
        <f aca="false">_xlfn.xlookup(AN23,A:A,J:J)</f>
        <v>#NAME?</v>
      </c>
      <c r="AQ23" s="204" t="e">
        <f aca="false">_xlfn.xlookup(AN23,A:A,N:N)+_xlfn.xlookup(AN23,A:A,O:O)</f>
        <v>#NAME?</v>
      </c>
      <c r="AR23" s="150" t="e">
        <f aca="false">_xlfn.xlookup(AN23,A:A,AH:AH)</f>
        <v>#NAME?</v>
      </c>
      <c r="AS23" s="150" t="e">
        <f aca="false">_xlfn.xlookup(AN23,A:A,S:S)</f>
        <v>#NAME?</v>
      </c>
      <c r="AT23" s="150" t="e">
        <f aca="false">_xlfn.xlookup(AN23,A:A,AE:AE)</f>
        <v>#NAME?</v>
      </c>
      <c r="AU23" s="150" t="e">
        <f aca="false">_xlfn.xlookup(AN23,A:A,AF:AF)</f>
        <v>#NAME?</v>
      </c>
      <c r="AW23" s="216" t="s">
        <v>768</v>
      </c>
      <c r="AX23" s="217" t="e">
        <f aca="false">#VALUE!</f>
        <v>#VALUE!</v>
      </c>
      <c r="AY23" s="225" t="e">
        <f aca="false">#VALUE!</f>
        <v>#VALUE!</v>
      </c>
      <c r="AZ23" s="225" t="e">
        <f aca="false">#VALUE!</f>
        <v>#VALUE!</v>
      </c>
      <c r="BA23" s="225" t="e">
        <f aca="false">#VALUE!</f>
        <v>#VALUE!</v>
      </c>
      <c r="BB23" s="218" t="e">
        <f aca="false">#VALUE!</f>
        <v>#VALUE!</v>
      </c>
      <c r="BC23" s="0"/>
      <c r="BD23" s="0"/>
      <c r="BE23" s="0"/>
      <c r="BF23" s="187"/>
      <c r="BG23" s="188" t="e">
        <v>#NAME?</v>
      </c>
      <c r="BH23" s="152" t="e">
        <f aca="false">_xlfn.xlookup(BG23,A:A,F:F)</f>
        <v>#NAME?</v>
      </c>
      <c r="BI23" s="188" t="e">
        <f aca="false">_xlfn.xlookup(BG23,A:A,J:J)</f>
        <v>#NAME?</v>
      </c>
      <c r="BJ23" s="153" t="e">
        <f aca="false">_xlfn.xlookup(BG23,A:A,N:N)+_xlfn.xlookup(BG23,A:A,O:O)</f>
        <v>#NAME?</v>
      </c>
      <c r="BK23" s="153" t="e">
        <f aca="false">_xlfn.xlookup(BG23,$A$3:$A$997,$AB$3:$AB$997)</f>
        <v>#NAME?</v>
      </c>
      <c r="BL23" s="188"/>
      <c r="BM23" s="205" t="s">
        <v>910</v>
      </c>
      <c r="BN23" s="206" t="e">
        <f aca="false">#VALUE!</f>
        <v>#VALUE!</v>
      </c>
      <c r="BO23" s="208" t="e">
        <f aca="false">#VALUE!</f>
        <v>#VALUE!</v>
      </c>
      <c r="BQ23" s="204" t="str">
        <f aca="false">IF(VALUE(MONTH(C23))&lt;10,YEAR(C23)&amp;"-0"&amp;MONTH(C23),YEAR(C23)&amp;"-"&amp;MONTH(C23))</f>
        <v>2024-07</v>
      </c>
      <c r="BR23" s="204" t="str">
        <f aca="false">J23</f>
        <v>B15-3</v>
      </c>
      <c r="BS23" s="204" t="str">
        <f aca="false">IF(ISNUMBER(FIND("-", BR23)), LEFT(BR23, FIND("-", BR23) - 1), BR23)</f>
        <v>B15</v>
      </c>
      <c r="BT23" s="189" t="n">
        <f aca="false">L23-M23+O23</f>
        <v>1951.78272</v>
      </c>
      <c r="BU23" s="189"/>
      <c r="BX23" s="226"/>
      <c r="BY23" s="226"/>
      <c r="BZ23" s="226"/>
      <c r="CA23" s="226"/>
      <c r="CB23" s="226"/>
      <c r="CC23" s="226"/>
      <c r="CD23" s="226"/>
      <c r="CE23" s="226"/>
      <c r="CF23" s="226"/>
      <c r="CG23" s="226"/>
      <c r="CH23" s="226"/>
      <c r="CI23" s="226"/>
      <c r="CP23" s="237" t="s">
        <v>956</v>
      </c>
      <c r="CQ23" s="238" t="n">
        <f aca="false">CQ22/CQ21</f>
        <v>16.40255462452</v>
      </c>
      <c r="CR23" s="238" t="n">
        <f aca="false">CR22/CR21</f>
        <v>9.91442887272794</v>
      </c>
      <c r="CS23" s="238" t="n">
        <f aca="false">CS22/CS21</f>
        <v>4.03468077620385</v>
      </c>
      <c r="CT23" s="238" t="n">
        <f aca="false">CT22/CT21</f>
        <v>0</v>
      </c>
      <c r="CU23" s="238" t="n">
        <f aca="false">CU22/CU21</f>
        <v>1.82023035989662</v>
      </c>
      <c r="CV23" s="238" t="str">
        <f aca="false">IFERROR(CV22/CV21,"")</f>
        <v/>
      </c>
      <c r="CW23" s="238" t="str">
        <f aca="false">IFERROR(CW22/CW21,"")</f>
        <v/>
      </c>
      <c r="CX23" s="238" t="n">
        <f aca="false">CX22/CX21</f>
        <v>1.55292486569501</v>
      </c>
      <c r="CY23" s="238" t="n">
        <f aca="false">CY22/CY21</f>
        <v>9.18904568746578</v>
      </c>
      <c r="CZ23" s="238" t="str">
        <f aca="false">IFERROR(CZ22/CZ21,"")</f>
        <v/>
      </c>
      <c r="DA23" s="238" t="str">
        <f aca="false">IFERROR(DA22/DA21,"")</f>
        <v/>
      </c>
      <c r="DB23" s="238" t="n">
        <f aca="false">DB22/DB21</f>
        <v>2.659089857917</v>
      </c>
    </row>
    <row r="24" customFormat="false" ht="16.4" hidden="false" customHeight="false" outlineLevel="0" collapsed="false">
      <c r="A24" s="140" t="s">
        <v>957</v>
      </c>
      <c r="B24" s="173"/>
      <c r="C24" s="174" t="n">
        <v>45481</v>
      </c>
      <c r="D24" s="173" t="n">
        <v>174</v>
      </c>
      <c r="E24" s="138" t="s">
        <v>94</v>
      </c>
      <c r="F24" s="138" t="s">
        <v>522</v>
      </c>
      <c r="G24" s="140"/>
      <c r="H24" s="173" t="n">
        <v>40052</v>
      </c>
      <c r="I24" s="173" t="n">
        <v>30015</v>
      </c>
      <c r="J24" s="140" t="s">
        <v>762</v>
      </c>
      <c r="K24" s="140"/>
      <c r="L24" s="175" t="n">
        <v>2655</v>
      </c>
      <c r="M24" s="175" t="n">
        <v>1714.71</v>
      </c>
      <c r="N24" s="175" t="n">
        <v>730.86</v>
      </c>
      <c r="O24" s="175"/>
      <c r="P24" s="175"/>
      <c r="Q24" s="176"/>
      <c r="R24" s="138" t="n">
        <v>0.75</v>
      </c>
      <c r="S24" s="177" t="n">
        <v>19.77</v>
      </c>
      <c r="T24" s="215"/>
      <c r="U24" s="178" t="n">
        <v>0.268854241086576</v>
      </c>
      <c r="V24" s="177" t="n">
        <v>196.494810640535</v>
      </c>
      <c r="W24" s="177" t="n">
        <v>56.3061437107618</v>
      </c>
      <c r="X24" s="179" t="n">
        <v>0.0788813559322035</v>
      </c>
      <c r="Y24" s="177" t="n">
        <v>3.15941294117647</v>
      </c>
      <c r="Z24" s="177" t="n">
        <v>0</v>
      </c>
      <c r="AA24" s="177" t="n">
        <v>45.0721153846154</v>
      </c>
      <c r="AB24" s="177" t="n">
        <v>320.802482677089</v>
      </c>
      <c r="AC24" s="215" t="n">
        <v>0.28</v>
      </c>
      <c r="AD24" s="215" t="s">
        <v>77</v>
      </c>
      <c r="AE24" s="177" t="n">
        <v>0</v>
      </c>
      <c r="AF24" s="177" t="n">
        <v>-320.802482677089</v>
      </c>
      <c r="AG24" s="181"/>
      <c r="AH24" s="180" t="n">
        <v>252.800954351297</v>
      </c>
      <c r="AI24" s="181"/>
      <c r="AJ24" s="181" t="s">
        <v>895</v>
      </c>
      <c r="AK24" s="181" t="s">
        <v>957</v>
      </c>
      <c r="AL24" s="182" t="n">
        <v>0.438938350268299</v>
      </c>
      <c r="AN24" s="144" t="e">
        <v>#NAME?</v>
      </c>
      <c r="AO24" s="144" t="e">
        <f aca="false">_xlfn.xlookup(AN24,A:A,F:F)</f>
        <v>#NAME?</v>
      </c>
      <c r="AP24" s="144" t="e">
        <f aca="false">_xlfn.xlookup(AN24,A:A,J:J)</f>
        <v>#NAME?</v>
      </c>
      <c r="AQ24" s="144" t="e">
        <f aca="false">_xlfn.xlookup(AN24,A:A,N:N)+_xlfn.xlookup(AN24,A:A,O:O)</f>
        <v>#NAME?</v>
      </c>
      <c r="AR24" s="150" t="e">
        <f aca="false">_xlfn.xlookup(AN24,A:A,AH:AH)</f>
        <v>#NAME?</v>
      </c>
      <c r="AS24" s="150" t="e">
        <f aca="false">_xlfn.xlookup(AN24,A:A,S:S)</f>
        <v>#NAME?</v>
      </c>
      <c r="AT24" s="150" t="e">
        <f aca="false">_xlfn.xlookup(AN24,A:A,AE:AE)</f>
        <v>#NAME?</v>
      </c>
      <c r="AU24" s="150" t="e">
        <f aca="false">_xlfn.xlookup(AN24,A:A,AF:AF)</f>
        <v>#NAME?</v>
      </c>
      <c r="AW24" s="194" t="s">
        <v>500</v>
      </c>
      <c r="AX24" s="195" t="e">
        <f aca="false">#VALUE!</f>
        <v>#VALUE!</v>
      </c>
      <c r="AY24" s="196" t="e">
        <f aca="false">#VALUE!</f>
        <v>#VALUE!</v>
      </c>
      <c r="AZ24" s="196" t="e">
        <f aca="false">#VALUE!</f>
        <v>#VALUE!</v>
      </c>
      <c r="BA24" s="196" t="e">
        <f aca="false">#VALUE!</f>
        <v>#VALUE!</v>
      </c>
      <c r="BB24" s="197" t="e">
        <f aca="false">#VALUE!</f>
        <v>#VALUE!</v>
      </c>
      <c r="BC24" s="0"/>
      <c r="BD24" s="0"/>
      <c r="BE24" s="0"/>
      <c r="BF24" s="187"/>
      <c r="BG24" s="188" t="e">
        <v>#NAME?</v>
      </c>
      <c r="BH24" s="152" t="e">
        <f aca="false">_xlfn.xlookup(BG24,A:A,F:F)</f>
        <v>#NAME?</v>
      </c>
      <c r="BI24" s="188" t="e">
        <f aca="false">_xlfn.xlookup(BG24,A:A,J:J)</f>
        <v>#NAME?</v>
      </c>
      <c r="BJ24" s="153" t="e">
        <f aca="false">_xlfn.xlookup(BG24,A:A,N:N)+_xlfn.xlookup(BG24,A:A,O:O)</f>
        <v>#NAME?</v>
      </c>
      <c r="BK24" s="153" t="e">
        <f aca="false">_xlfn.xlookup(BG24,$A$3:$A$997,$AB$3:$AB$997)</f>
        <v>#NAME?</v>
      </c>
      <c r="BL24" s="188"/>
      <c r="BM24" s="205" t="s">
        <v>762</v>
      </c>
      <c r="BN24" s="206" t="e">
        <f aca="false">#VALUE!</f>
        <v>#VALUE!</v>
      </c>
      <c r="BO24" s="208" t="e">
        <f aca="false">#VALUE!</f>
        <v>#VALUE!</v>
      </c>
      <c r="BQ24" s="144" t="str">
        <f aca="false">IF(VALUE(MONTH(C24))&lt;10,YEAR(C24)&amp;"-0"&amp;MONTH(C24),YEAR(C24)&amp;"-"&amp;MONTH(C24))</f>
        <v>2024-07</v>
      </c>
      <c r="BR24" s="144" t="str">
        <f aca="false">J24</f>
        <v>S15-3</v>
      </c>
      <c r="BS24" s="144" t="str">
        <f aca="false">IF(ISNUMBER(FIND("-", BR24)), LEFT(BR24, FIND("-", BR24) - 1), BR24)</f>
        <v>S15</v>
      </c>
      <c r="BT24" s="189" t="n">
        <f aca="false">L24-M24+O24</f>
        <v>940.29</v>
      </c>
      <c r="BU24" s="189"/>
      <c r="CP24" s="138" t="s">
        <v>958</v>
      </c>
      <c r="CQ24" s="175" t="n">
        <v>0</v>
      </c>
      <c r="CR24" s="175" t="n">
        <v>0</v>
      </c>
      <c r="CS24" s="239"/>
      <c r="CT24" s="240" t="n">
        <f aca="false">171360*1.55</f>
        <v>265608</v>
      </c>
      <c r="CU24" s="175" t="n">
        <v>0</v>
      </c>
      <c r="CV24" s="175"/>
      <c r="CW24" s="175" t="n">
        <v>0</v>
      </c>
      <c r="CX24" s="241" t="n">
        <f aca="false">100980*1.55</f>
        <v>156519</v>
      </c>
      <c r="CY24" s="175"/>
      <c r="CZ24" s="175" t="n">
        <f aca="false">25680*1.55</f>
        <v>39804</v>
      </c>
      <c r="DA24" s="175" t="n">
        <f aca="false">18360*1.55</f>
        <v>28458</v>
      </c>
      <c r="DB24" s="175" t="n">
        <f aca="false">167259.6*1.55</f>
        <v>259252.38</v>
      </c>
    </row>
    <row r="25" customFormat="false" ht="16.4" hidden="false" customHeight="false" outlineLevel="0" collapsed="false">
      <c r="A25" s="140" t="s">
        <v>959</v>
      </c>
      <c r="B25" s="173"/>
      <c r="C25" s="174" t="n">
        <v>45481</v>
      </c>
      <c r="D25" s="173" t="n">
        <v>175</v>
      </c>
      <c r="E25" s="138" t="s">
        <v>94</v>
      </c>
      <c r="F25" s="138" t="s">
        <v>522</v>
      </c>
      <c r="G25" s="140"/>
      <c r="H25" s="173" t="n">
        <v>40053</v>
      </c>
      <c r="I25" s="173" t="n">
        <v>30017</v>
      </c>
      <c r="J25" s="140" t="s">
        <v>768</v>
      </c>
      <c r="K25" s="140"/>
      <c r="L25" s="175" t="n">
        <v>3660</v>
      </c>
      <c r="M25" s="175" t="n">
        <v>2464</v>
      </c>
      <c r="N25" s="175" t="n">
        <v>671</v>
      </c>
      <c r="O25" s="175"/>
      <c r="P25" s="175"/>
      <c r="Q25" s="176"/>
      <c r="R25" s="138" t="n">
        <v>1</v>
      </c>
      <c r="S25" s="177" t="n">
        <v>19.77</v>
      </c>
      <c r="T25" s="215"/>
      <c r="U25" s="178" t="n">
        <v>0.326284886247867</v>
      </c>
      <c r="V25" s="177" t="n">
        <v>218.937158672319</v>
      </c>
      <c r="W25" s="177" t="n">
        <v>171.29956528013</v>
      </c>
      <c r="X25" s="179" t="n">
        <v>0.14344262295082</v>
      </c>
      <c r="Y25" s="177" t="n">
        <v>3.15941294117647</v>
      </c>
      <c r="Z25" s="177" t="n">
        <v>0</v>
      </c>
      <c r="AA25" s="177" t="n">
        <v>60.0961538461539</v>
      </c>
      <c r="AB25" s="177" t="n">
        <v>473.262290739779</v>
      </c>
      <c r="AC25" s="215" t="n">
        <v>0.33</v>
      </c>
      <c r="AD25" s="215" t="s">
        <v>77</v>
      </c>
      <c r="AE25" s="177" t="n">
        <v>0</v>
      </c>
      <c r="AF25" s="177" t="n">
        <v>-473.262290739779</v>
      </c>
      <c r="AG25" s="181"/>
      <c r="AH25" s="180" t="n">
        <v>390.236723952449</v>
      </c>
      <c r="AI25" s="181"/>
      <c r="AJ25" s="181" t="s">
        <v>895</v>
      </c>
      <c r="AK25" s="181" t="s">
        <v>959</v>
      </c>
      <c r="AL25" s="182" t="n">
        <v>0.705308928077167</v>
      </c>
      <c r="AN25" s="144" t="e">
        <v>#NAME?</v>
      </c>
      <c r="AO25" s="144" t="e">
        <f aca="false">_xlfn.xlookup(AN25,A:A,F:F)</f>
        <v>#NAME?</v>
      </c>
      <c r="AP25" s="144" t="e">
        <f aca="false">_xlfn.xlookup(AN25,A:A,J:J)</f>
        <v>#NAME?</v>
      </c>
      <c r="AQ25" s="144" t="e">
        <f aca="false">_xlfn.xlookup(AN25,A:A,N:N)+_xlfn.xlookup(AN25,A:A,O:O)</f>
        <v>#NAME?</v>
      </c>
      <c r="AR25" s="150" t="e">
        <f aca="false">_xlfn.xlookup(AN25,A:A,AH:AH)</f>
        <v>#NAME?</v>
      </c>
      <c r="AS25" s="150" t="e">
        <f aca="false">_xlfn.xlookup(AN25,A:A,S:S)</f>
        <v>#NAME?</v>
      </c>
      <c r="AT25" s="150" t="e">
        <f aca="false">_xlfn.xlookup(AN25,A:A,AE:AE)</f>
        <v>#NAME?</v>
      </c>
      <c r="AU25" s="150" t="e">
        <f aca="false">_xlfn.xlookup(AN25,A:A,AF:AF)</f>
        <v>#NAME?</v>
      </c>
      <c r="AW25" s="205" t="s">
        <v>904</v>
      </c>
      <c r="AX25" s="206" t="e">
        <f aca="false">#VALUE!</f>
        <v>#VALUE!</v>
      </c>
      <c r="AY25" s="207" t="e">
        <f aca="false">#VALUE!</f>
        <v>#VALUE!</v>
      </c>
      <c r="AZ25" s="207" t="e">
        <f aca="false">#VALUE!</f>
        <v>#VALUE!</v>
      </c>
      <c r="BA25" s="207" t="e">
        <f aca="false">#VALUE!</f>
        <v>#VALUE!</v>
      </c>
      <c r="BB25" s="208" t="e">
        <f aca="false">#VALUE!</f>
        <v>#VALUE!</v>
      </c>
      <c r="BC25" s="0"/>
      <c r="BD25" s="0"/>
      <c r="BE25" s="0"/>
      <c r="BF25" s="187"/>
      <c r="BG25" s="188" t="e">
        <v>#NAME?</v>
      </c>
      <c r="BH25" s="152" t="e">
        <f aca="false">_xlfn.xlookup(BG25,A:A,F:F)</f>
        <v>#NAME?</v>
      </c>
      <c r="BI25" s="188" t="e">
        <f aca="false">_xlfn.xlookup(BG25,A:A,J:J)</f>
        <v>#NAME?</v>
      </c>
      <c r="BJ25" s="153" t="e">
        <f aca="false">_xlfn.xlookup(BG25,A:A,N:N)+_xlfn.xlookup(BG25,A:A,O:O)</f>
        <v>#NAME?</v>
      </c>
      <c r="BK25" s="153" t="e">
        <f aca="false">_xlfn.xlookup(BG25,$A$3:$A$997,$AB$3:$AB$997)</f>
        <v>#NAME?</v>
      </c>
      <c r="BL25" s="188"/>
      <c r="BM25" s="216" t="s">
        <v>760</v>
      </c>
      <c r="BN25" s="217" t="e">
        <f aca="false">#VALUE!</f>
        <v>#VALUE!</v>
      </c>
      <c r="BO25" s="218" t="e">
        <f aca="false">#VALUE!</f>
        <v>#VALUE!</v>
      </c>
      <c r="BQ25" s="144" t="str">
        <f aca="false">IF(VALUE(MONTH(C25))&lt;10,YEAR(C25)&amp;"-0"&amp;MONTH(C25),YEAR(C25)&amp;"-"&amp;MONTH(C25))</f>
        <v>2024-07</v>
      </c>
      <c r="BR25" s="144" t="str">
        <f aca="false">J25</f>
        <v>B25-3</v>
      </c>
      <c r="BS25" s="144" t="str">
        <f aca="false">IF(ISNUMBER(FIND("-", BR25)), LEFT(BR25, FIND("-", BR25) - 1), BR25)</f>
        <v>B25</v>
      </c>
      <c r="BT25" s="189" t="n">
        <f aca="false">L25-M25+O25</f>
        <v>1196</v>
      </c>
      <c r="BU25" s="189"/>
      <c r="CP25" s="138" t="s">
        <v>960</v>
      </c>
      <c r="CQ25" s="239"/>
      <c r="CR25" s="239"/>
      <c r="CS25" s="239"/>
      <c r="CT25" s="242" t="n">
        <v>45762</v>
      </c>
      <c r="CU25" s="239"/>
      <c r="CV25" s="239"/>
      <c r="CW25" s="239"/>
      <c r="CX25" s="239" t="n">
        <v>45762</v>
      </c>
      <c r="CY25" s="239"/>
      <c r="CZ25" s="239" t="n">
        <v>45762</v>
      </c>
      <c r="DA25" s="239" t="n">
        <v>45762</v>
      </c>
      <c r="DB25" s="239" t="n">
        <v>45762</v>
      </c>
    </row>
    <row r="26" customFormat="false" ht="16.4" hidden="false" customHeight="false" outlineLevel="0" collapsed="false">
      <c r="A26" s="140" t="s">
        <v>961</v>
      </c>
      <c r="B26" s="173"/>
      <c r="C26" s="174" t="n">
        <v>45482</v>
      </c>
      <c r="D26" s="173" t="n">
        <v>188</v>
      </c>
      <c r="E26" s="138" t="s">
        <v>962</v>
      </c>
      <c r="F26" s="138" t="s">
        <v>500</v>
      </c>
      <c r="G26" s="140"/>
      <c r="H26" s="173" t="n">
        <v>40033</v>
      </c>
      <c r="I26" s="173" t="n">
        <v>30013</v>
      </c>
      <c r="J26" s="140" t="s">
        <v>904</v>
      </c>
      <c r="K26" s="140"/>
      <c r="L26" s="175" t="n">
        <v>42180.87168</v>
      </c>
      <c r="M26" s="175" t="n">
        <v>6580</v>
      </c>
      <c r="N26" s="175" t="n">
        <v>34992</v>
      </c>
      <c r="O26" s="175"/>
      <c r="P26" s="175"/>
      <c r="Q26" s="176"/>
      <c r="R26" s="138" t="n">
        <v>16</v>
      </c>
      <c r="S26" s="177" t="n">
        <v>-46.68</v>
      </c>
      <c r="T26" s="215" t="n">
        <v>1.3715</v>
      </c>
      <c r="U26" s="178" t="n">
        <v>0.358173933722525</v>
      </c>
      <c r="V26" s="177" t="n">
        <v>12533.2222888186</v>
      </c>
      <c r="W26" s="177" t="n">
        <v>218.081964757841</v>
      </c>
      <c r="X26" s="179" t="n">
        <v>0.0144347818276286</v>
      </c>
      <c r="Y26" s="177" t="n">
        <v>145.819058823529</v>
      </c>
      <c r="Z26" s="177" t="n">
        <v>108.5</v>
      </c>
      <c r="AA26" s="177" t="n">
        <v>961.538461538462</v>
      </c>
      <c r="AB26" s="177" t="n">
        <v>13920.4817739384</v>
      </c>
      <c r="AC26" s="215" t="n">
        <v>0.31</v>
      </c>
      <c r="AD26" s="215" t="s">
        <v>77</v>
      </c>
      <c r="AE26" s="177" t="n">
        <v>14877.37368</v>
      </c>
      <c r="AF26" s="177" t="n">
        <v>956.891906061575</v>
      </c>
      <c r="AG26" s="181" t="n">
        <v>0.0643186039850533</v>
      </c>
      <c r="AH26" s="180" t="n">
        <v>12751.3042535764</v>
      </c>
      <c r="AI26" s="181" t="n">
        <v>0.857093767209619</v>
      </c>
      <c r="AJ26" s="181"/>
      <c r="AK26" s="181" t="s">
        <v>961</v>
      </c>
      <c r="AL26" s="182" t="n">
        <v>0.397818980736695</v>
      </c>
      <c r="AN26" s="144" t="e">
        <v>#NAME?</v>
      </c>
      <c r="AO26" s="144" t="e">
        <f aca="false">_xlfn.xlookup(AN26,A:A,F:F)</f>
        <v>#NAME?</v>
      </c>
      <c r="AP26" s="144" t="e">
        <f aca="false">_xlfn.xlookup(AN26,A:A,J:J)</f>
        <v>#NAME?</v>
      </c>
      <c r="AQ26" s="144" t="e">
        <f aca="false">_xlfn.xlookup(AN26,A:A,N:N)+_xlfn.xlookup(AN26,A:A,O:O)</f>
        <v>#NAME?</v>
      </c>
      <c r="AR26" s="150" t="e">
        <f aca="false">_xlfn.xlookup(AN26,A:A,AH:AH)</f>
        <v>#NAME?</v>
      </c>
      <c r="AS26" s="150" t="e">
        <f aca="false">_xlfn.xlookup(AN26,A:A,S:S)</f>
        <v>#NAME?</v>
      </c>
      <c r="AT26" s="150" t="e">
        <f aca="false">_xlfn.xlookup(AN26,A:A,AE:AE)</f>
        <v>#NAME?</v>
      </c>
      <c r="AU26" s="150" t="e">
        <f aca="false">_xlfn.xlookup(AN26,A:A,AF:AF)</f>
        <v>#NAME?</v>
      </c>
      <c r="AW26" s="205" t="s">
        <v>740</v>
      </c>
      <c r="AX26" s="206" t="e">
        <f aca="false">#VALUE!</f>
        <v>#VALUE!</v>
      </c>
      <c r="AY26" s="207" t="e">
        <f aca="false">#VALUE!</f>
        <v>#VALUE!</v>
      </c>
      <c r="AZ26" s="207" t="e">
        <f aca="false">#VALUE!</f>
        <v>#VALUE!</v>
      </c>
      <c r="BA26" s="207" t="e">
        <f aca="false">#VALUE!</f>
        <v>#VALUE!</v>
      </c>
      <c r="BB26" s="208" t="e">
        <f aca="false">#VALUE!</f>
        <v>#VALUE!</v>
      </c>
      <c r="BC26" s="0"/>
      <c r="BD26" s="0"/>
      <c r="BE26" s="0"/>
      <c r="BF26" s="187"/>
      <c r="BG26" s="188" t="e">
        <v>#NAME?</v>
      </c>
      <c r="BH26" s="152" t="e">
        <f aca="false">_xlfn.xlookup(BG26,A:A,F:F)</f>
        <v>#NAME?</v>
      </c>
      <c r="BI26" s="188" t="e">
        <f aca="false">_xlfn.xlookup(BG26,A:A,J:J)</f>
        <v>#NAME?</v>
      </c>
      <c r="BJ26" s="153" t="e">
        <f aca="false">_xlfn.xlookup(BG26,A:A,N:N)+_xlfn.xlookup(BG26,A:A,O:O)</f>
        <v>#NAME?</v>
      </c>
      <c r="BK26" s="153" t="e">
        <f aca="false">_xlfn.xlookup(BG26,$A$3:$A$997,$AB$3:$AB$997)</f>
        <v>#NAME?</v>
      </c>
      <c r="BL26" s="188"/>
      <c r="BM26" s="194" t="s">
        <v>943</v>
      </c>
      <c r="BN26" s="195" t="e">
        <f aca="false">#VALUE!</f>
        <v>#VALUE!</v>
      </c>
      <c r="BO26" s="197" t="e">
        <f aca="false">#VALUE!</f>
        <v>#VALUE!</v>
      </c>
      <c r="BQ26" s="144" t="str">
        <f aca="false">IF(VALUE(MONTH(C26))&lt;10,YEAR(C26)&amp;"-0"&amp;MONTH(C26),YEAR(C26)&amp;"-"&amp;MONTH(C26))</f>
        <v>2024-07</v>
      </c>
      <c r="BR26" s="144" t="str">
        <f aca="false">J26</f>
        <v>D11-1</v>
      </c>
      <c r="BS26" s="144" t="str">
        <f aca="false">IF(ISNUMBER(FIND("-", BR26)), LEFT(BR26, FIND("-", BR26) - 1), BR26)</f>
        <v>D11</v>
      </c>
      <c r="BT26" s="189" t="n">
        <f aca="false">L26-M26+O26</f>
        <v>35600.87168</v>
      </c>
      <c r="BU26" s="189"/>
      <c r="CP26" s="138" t="s">
        <v>963</v>
      </c>
      <c r="CQ26" s="175"/>
      <c r="CR26" s="243"/>
      <c r="CS26" s="239"/>
      <c r="CT26" s="243"/>
      <c r="CU26" s="243"/>
      <c r="CV26" s="243"/>
      <c r="CW26" s="243"/>
      <c r="CX26" s="243"/>
      <c r="CY26" s="243"/>
      <c r="CZ26" s="243"/>
      <c r="DA26" s="243"/>
      <c r="DB26" s="243"/>
    </row>
    <row r="27" customFormat="false" ht="16.4" hidden="false" customHeight="false" outlineLevel="0" collapsed="false">
      <c r="A27" s="140" t="s">
        <v>964</v>
      </c>
      <c r="B27" s="173"/>
      <c r="C27" s="174" t="n">
        <v>45488</v>
      </c>
      <c r="D27" s="173" t="n">
        <v>177</v>
      </c>
      <c r="E27" s="138" t="s">
        <v>96</v>
      </c>
      <c r="F27" s="138" t="s">
        <v>582</v>
      </c>
      <c r="G27" s="140"/>
      <c r="H27" s="173" t="n">
        <v>40055</v>
      </c>
      <c r="I27" s="173" t="n">
        <v>30012</v>
      </c>
      <c r="J27" s="140" t="s">
        <v>908</v>
      </c>
      <c r="K27" s="140"/>
      <c r="L27" s="175" t="n">
        <v>7115.30784</v>
      </c>
      <c r="M27" s="175"/>
      <c r="N27" s="175" t="n">
        <v>6984</v>
      </c>
      <c r="O27" s="175"/>
      <c r="P27" s="175"/>
      <c r="Q27" s="176"/>
      <c r="R27" s="138" t="n">
        <v>2</v>
      </c>
      <c r="S27" s="177" t="n">
        <v>0</v>
      </c>
      <c r="T27" s="215"/>
      <c r="U27" s="178" t="n">
        <v>0.327974576595346</v>
      </c>
      <c r="V27" s="177" t="n">
        <v>2290.5744429419</v>
      </c>
      <c r="W27" s="177" t="n">
        <v>43.0656332276496</v>
      </c>
      <c r="X27" s="179" t="n">
        <v>0.0184542739334241</v>
      </c>
      <c r="Y27" s="177" t="n">
        <v>14.5819058823529</v>
      </c>
      <c r="Z27" s="177" t="n">
        <v>43.4</v>
      </c>
      <c r="AA27" s="177" t="n">
        <v>120.192307692308</v>
      </c>
      <c r="AB27" s="177" t="n">
        <v>2511.81428974421</v>
      </c>
      <c r="AC27" s="215" t="n">
        <v>0.466</v>
      </c>
      <c r="AD27" s="215" t="s">
        <v>88</v>
      </c>
      <c r="AE27" s="177" t="n">
        <v>3254.544</v>
      </c>
      <c r="AF27" s="177" t="n">
        <v>742.729710255792</v>
      </c>
      <c r="AG27" s="181" t="n">
        <v>0.22821314145877</v>
      </c>
      <c r="AH27" s="180" t="n">
        <v>2333.64007616955</v>
      </c>
      <c r="AI27" s="181" t="n">
        <v>0.717040567332796</v>
      </c>
      <c r="AJ27" s="181"/>
      <c r="AK27" s="181" t="s">
        <v>964</v>
      </c>
      <c r="AL27" s="182" t="n">
        <v>0.359652676080213</v>
      </c>
      <c r="AN27" s="144" t="e">
        <v>#NAME?</v>
      </c>
      <c r="AO27" s="144" t="e">
        <f aca="false">_xlfn.xlookup(AN27,A:A,F:F)</f>
        <v>#NAME?</v>
      </c>
      <c r="AP27" s="144" t="e">
        <f aca="false">_xlfn.xlookup(AN27,A:A,J:J)</f>
        <v>#NAME?</v>
      </c>
      <c r="AQ27" s="144" t="e">
        <f aca="false">_xlfn.xlookup(AN27,A:A,N:N)+_xlfn.xlookup(AN27,A:A,O:O)</f>
        <v>#NAME?</v>
      </c>
      <c r="AR27" s="150" t="e">
        <f aca="false">_xlfn.xlookup(AN27,A:A,AH:AH)</f>
        <v>#NAME?</v>
      </c>
      <c r="AS27" s="150" t="e">
        <f aca="false">_xlfn.xlookup(AN27,A:A,S:S)</f>
        <v>#NAME?</v>
      </c>
      <c r="AT27" s="150" t="e">
        <f aca="false">_xlfn.xlookup(AN27,A:A,AE:AE)</f>
        <v>#NAME?</v>
      </c>
      <c r="AU27" s="150" t="e">
        <f aca="false">_xlfn.xlookup(AN27,A:A,AF:AF)</f>
        <v>#NAME?</v>
      </c>
      <c r="AW27" s="205" t="s">
        <v>905</v>
      </c>
      <c r="AX27" s="206" t="e">
        <f aca="false">#VALUE!</f>
        <v>#VALUE!</v>
      </c>
      <c r="AY27" s="207" t="e">
        <f aca="false">#VALUE!</f>
        <v>#VALUE!</v>
      </c>
      <c r="AZ27" s="207" t="e">
        <f aca="false">#VALUE!</f>
        <v>#VALUE!</v>
      </c>
      <c r="BA27" s="207" t="e">
        <f aca="false">#VALUE!</f>
        <v>#VALUE!</v>
      </c>
      <c r="BB27" s="208" t="e">
        <f aca="false">#VALUE!</f>
        <v>#VALUE!</v>
      </c>
      <c r="BC27" s="0"/>
      <c r="BD27" s="0"/>
      <c r="BE27" s="0"/>
      <c r="BF27" s="187"/>
      <c r="BG27" s="188" t="e">
        <v>#NAME?</v>
      </c>
      <c r="BH27" s="152" t="e">
        <f aca="false">_xlfn.xlookup(BG27,A:A,F:F)</f>
        <v>#NAME?</v>
      </c>
      <c r="BI27" s="188" t="e">
        <f aca="false">_xlfn.xlookup(BG27,A:A,J:J)</f>
        <v>#NAME?</v>
      </c>
      <c r="BJ27" s="153" t="e">
        <f aca="false">_xlfn.xlookup(BG27,A:A,N:N)+_xlfn.xlookup(BG27,A:A,O:O)</f>
        <v>#NAME?</v>
      </c>
      <c r="BK27" s="153" t="e">
        <f aca="false">_xlfn.xlookup(BG27,$A$3:$A$997,$AB$3:$AB$997)</f>
        <v>#NAME?</v>
      </c>
      <c r="BL27" s="188"/>
      <c r="BM27" s="205" t="s">
        <v>908</v>
      </c>
      <c r="BN27" s="206" t="e">
        <f aca="false">#VALUE!</f>
        <v>#VALUE!</v>
      </c>
      <c r="BO27" s="208" t="e">
        <f aca="false">#VALUE!</f>
        <v>#VALUE!</v>
      </c>
      <c r="BQ27" s="144" t="str">
        <f aca="false">IF(VALUE(MONTH(C27))&lt;10,YEAR(C27)&amp;"-0"&amp;MONTH(C27),YEAR(C27)&amp;"-"&amp;MONTH(C27))</f>
        <v>2024-07</v>
      </c>
      <c r="BR27" s="144" t="str">
        <f aca="false">J27</f>
        <v>D21-1</v>
      </c>
      <c r="BS27" s="144" t="str">
        <f aca="false">IF(ISNUMBER(FIND("-", BR27)), LEFT(BR27, FIND("-", BR27) - 1), BR27)</f>
        <v>D21</v>
      </c>
      <c r="BT27" s="189" t="n">
        <f aca="false">L27-M27+O27</f>
        <v>7115.30784</v>
      </c>
      <c r="BU27" s="189"/>
      <c r="CP27" s="138" t="s">
        <v>960</v>
      </c>
      <c r="CQ27" s="239"/>
      <c r="CR27" s="239"/>
      <c r="CS27" s="239"/>
      <c r="CT27" s="239"/>
      <c r="CU27" s="239"/>
      <c r="CV27" s="239"/>
      <c r="CW27" s="239"/>
      <c r="CX27" s="239"/>
      <c r="CY27" s="239"/>
      <c r="CZ27" s="239"/>
      <c r="DA27" s="239"/>
      <c r="DB27" s="239"/>
    </row>
    <row r="28" customFormat="false" ht="16.4" hidden="false" customHeight="false" outlineLevel="0" collapsed="false">
      <c r="A28" s="140" t="s">
        <v>965</v>
      </c>
      <c r="B28" s="173"/>
      <c r="C28" s="174" t="n">
        <v>45483</v>
      </c>
      <c r="D28" s="173" t="n">
        <v>178</v>
      </c>
      <c r="E28" s="138" t="s">
        <v>85</v>
      </c>
      <c r="F28" s="138" t="s">
        <v>85</v>
      </c>
      <c r="G28" s="140"/>
      <c r="H28" s="173" t="n">
        <v>40058</v>
      </c>
      <c r="I28" s="173" t="n">
        <v>30012</v>
      </c>
      <c r="J28" s="140" t="s">
        <v>908</v>
      </c>
      <c r="K28" s="140"/>
      <c r="L28" s="175" t="n">
        <v>14229.8928</v>
      </c>
      <c r="M28" s="175" t="n">
        <v>6857</v>
      </c>
      <c r="N28" s="175" t="n">
        <v>7200</v>
      </c>
      <c r="O28" s="175"/>
      <c r="P28" s="175"/>
      <c r="Q28" s="176"/>
      <c r="R28" s="138" t="n">
        <v>2.33</v>
      </c>
      <c r="S28" s="177" t="n">
        <v>0</v>
      </c>
      <c r="T28" s="215"/>
      <c r="U28" s="178" t="n">
        <v>0.327974576595346</v>
      </c>
      <c r="V28" s="177" t="n">
        <v>2361.41695148649</v>
      </c>
      <c r="W28" s="177" t="n">
        <v>56.7044428763837</v>
      </c>
      <c r="X28" s="179" t="n">
        <v>0.0121499720644417</v>
      </c>
      <c r="Y28" s="177" t="n">
        <v>22.4804382352941</v>
      </c>
      <c r="Z28" s="177" t="n">
        <v>21.7</v>
      </c>
      <c r="AA28" s="177" t="n">
        <v>140.024038461538</v>
      </c>
      <c r="AB28" s="177" t="n">
        <v>2602.32587105971</v>
      </c>
      <c r="AC28" s="215" t="n">
        <v>0.448</v>
      </c>
      <c r="AD28" s="215" t="s">
        <v>88</v>
      </c>
      <c r="AE28" s="177" t="n">
        <v>3225.6</v>
      </c>
      <c r="AF28" s="177" t="n">
        <v>623.274128940291</v>
      </c>
      <c r="AG28" s="181" t="n">
        <v>0.193227346521668</v>
      </c>
      <c r="AH28" s="180" t="n">
        <v>2418.12139436288</v>
      </c>
      <c r="AI28" s="181" t="n">
        <v>0.749665610851586</v>
      </c>
      <c r="AJ28" s="181"/>
      <c r="AK28" s="181" t="s">
        <v>965</v>
      </c>
      <c r="AL28" s="182" t="n">
        <v>0.361434148758293</v>
      </c>
      <c r="AN28" s="144" t="e">
        <v>#NAME?</v>
      </c>
      <c r="AO28" s="144" t="e">
        <f aca="false">_xlfn.xlookup(AN28,A:A,F:F)</f>
        <v>#NAME?</v>
      </c>
      <c r="AP28" s="144" t="e">
        <f aca="false">_xlfn.xlookup(AN28,A:A,J:J)</f>
        <v>#NAME?</v>
      </c>
      <c r="AQ28" s="144" t="e">
        <f aca="false">_xlfn.xlookup(AN28,A:A,N:N)+_xlfn.xlookup(AN28,A:A,O:O)</f>
        <v>#NAME?</v>
      </c>
      <c r="AR28" s="150" t="e">
        <f aca="false">_xlfn.xlookup(AN28,A:A,AH:AH)</f>
        <v>#NAME?</v>
      </c>
      <c r="AS28" s="150" t="e">
        <f aca="false">_xlfn.xlookup(AN28,A:A,S:S)</f>
        <v>#NAME?</v>
      </c>
      <c r="AT28" s="150" t="e">
        <f aca="false">_xlfn.xlookup(AN28,A:A,AE:AE)</f>
        <v>#NAME?</v>
      </c>
      <c r="AU28" s="150" t="e">
        <f aca="false">_xlfn.xlookup(AN28,A:A,AF:AF)</f>
        <v>#NAME?</v>
      </c>
      <c r="AW28" s="205" t="s">
        <v>906</v>
      </c>
      <c r="AX28" s="206" t="e">
        <f aca="false">#VALUE!</f>
        <v>#VALUE!</v>
      </c>
      <c r="AY28" s="207" t="e">
        <f aca="false">#VALUE!</f>
        <v>#VALUE!</v>
      </c>
      <c r="AZ28" s="207" t="e">
        <f aca="false">#VALUE!</f>
        <v>#VALUE!</v>
      </c>
      <c r="BA28" s="207" t="e">
        <f aca="false">#VALUE!</f>
        <v>#VALUE!</v>
      </c>
      <c r="BB28" s="208" t="e">
        <f aca="false">#VALUE!</f>
        <v>#VALUE!</v>
      </c>
      <c r="BC28" s="0"/>
      <c r="BD28" s="0"/>
      <c r="BE28" s="0"/>
      <c r="BF28" s="187"/>
      <c r="BG28" s="188" t="e">
        <v>#NAME?</v>
      </c>
      <c r="BH28" s="152" t="e">
        <f aca="false">_xlfn.xlookup(BG28,A:A,F:F)</f>
        <v>#NAME?</v>
      </c>
      <c r="BI28" s="188" t="e">
        <f aca="false">_xlfn.xlookup(BG28,A:A,J:J)</f>
        <v>#NAME?</v>
      </c>
      <c r="BJ28" s="153" t="e">
        <f aca="false">_xlfn.xlookup(BG28,A:A,N:N)+_xlfn.xlookup(BG28,A:A,O:O)</f>
        <v>#NAME?</v>
      </c>
      <c r="BK28" s="153" t="e">
        <f aca="false">_xlfn.xlookup(BG28,$A$3:$A$997,$AB$3:$AB$997)</f>
        <v>#NAME?</v>
      </c>
      <c r="BL28" s="188"/>
      <c r="BM28" s="216" t="s">
        <v>754</v>
      </c>
      <c r="BN28" s="217" t="e">
        <f aca="false">#VALUE!</f>
        <v>#VALUE!</v>
      </c>
      <c r="BO28" s="218" t="e">
        <f aca="false">#VALUE!</f>
        <v>#VALUE!</v>
      </c>
      <c r="BQ28" s="144" t="str">
        <f aca="false">IF(VALUE(MONTH(C28))&lt;10,YEAR(C28)&amp;"-0"&amp;MONTH(C28),YEAR(C28)&amp;"-"&amp;MONTH(C28))</f>
        <v>2024-07</v>
      </c>
      <c r="BR28" s="144" t="str">
        <f aca="false">J28</f>
        <v>D21-1</v>
      </c>
      <c r="BS28" s="144" t="str">
        <f aca="false">IF(ISNUMBER(FIND("-", BR28)), LEFT(BR28, FIND("-", BR28) - 1), BR28)</f>
        <v>D21</v>
      </c>
      <c r="BT28" s="189" t="n">
        <f aca="false">L28-M28+O28</f>
        <v>7372.8928</v>
      </c>
      <c r="BU28" s="189"/>
      <c r="CP28" s="138" t="s">
        <v>966</v>
      </c>
      <c r="CQ28" s="175"/>
      <c r="CR28" s="175"/>
      <c r="CS28" s="175"/>
      <c r="CT28" s="175"/>
      <c r="CU28" s="175"/>
      <c r="CV28" s="175"/>
      <c r="CW28" s="175"/>
      <c r="CX28" s="175"/>
      <c r="CY28" s="175"/>
      <c r="CZ28" s="175"/>
      <c r="DA28" s="175"/>
      <c r="DB28" s="175"/>
    </row>
    <row r="29" customFormat="false" ht="16.4" hidden="false" customHeight="false" outlineLevel="0" collapsed="false">
      <c r="A29" s="140" t="s">
        <v>967</v>
      </c>
      <c r="B29" s="173"/>
      <c r="C29" s="174" t="n">
        <v>45484</v>
      </c>
      <c r="D29" s="173" t="n">
        <v>173</v>
      </c>
      <c r="E29" s="138" t="s">
        <v>94</v>
      </c>
      <c r="F29" s="138" t="s">
        <v>522</v>
      </c>
      <c r="G29" s="140"/>
      <c r="H29" s="173" t="n">
        <v>40048</v>
      </c>
      <c r="I29" s="173" t="n">
        <v>30011</v>
      </c>
      <c r="J29" s="140" t="s">
        <v>760</v>
      </c>
      <c r="K29" s="140"/>
      <c r="L29" s="175" t="n">
        <v>7116.489</v>
      </c>
      <c r="M29" s="175" t="n">
        <v>3356.33</v>
      </c>
      <c r="N29" s="175" t="n">
        <v>3600</v>
      </c>
      <c r="O29" s="175"/>
      <c r="P29" s="175"/>
      <c r="Q29" s="176"/>
      <c r="R29" s="138" t="n">
        <v>1.1</v>
      </c>
      <c r="S29" s="177" t="n">
        <v>39.54</v>
      </c>
      <c r="T29" s="215" t="n">
        <v>1.365</v>
      </c>
      <c r="U29" s="178" t="n">
        <v>0.28357864079936</v>
      </c>
      <c r="V29" s="177" t="n">
        <v>1020.8831068777</v>
      </c>
      <c r="W29" s="177" t="n">
        <v>45.4176715317846</v>
      </c>
      <c r="X29" s="179" t="n">
        <v>0.0225053393604627</v>
      </c>
      <c r="Y29" s="177" t="n">
        <v>14.5819058823529</v>
      </c>
      <c r="Z29" s="177" t="n">
        <v>21.7</v>
      </c>
      <c r="AA29" s="177" t="n">
        <v>66.1057692307692</v>
      </c>
      <c r="AB29" s="177" t="n">
        <v>1208.2284535226</v>
      </c>
      <c r="AC29" s="215" t="n">
        <v>0.27</v>
      </c>
      <c r="AD29" s="215" t="s">
        <v>77</v>
      </c>
      <c r="AE29" s="177" t="n">
        <v>1326.78</v>
      </c>
      <c r="AF29" s="177" t="n">
        <v>118.551546477398</v>
      </c>
      <c r="AG29" s="181" t="n">
        <v>0.0893528290126453</v>
      </c>
      <c r="AH29" s="180" t="n">
        <v>1066.30077840948</v>
      </c>
      <c r="AI29" s="181" t="n">
        <v>0.803675649625017</v>
      </c>
      <c r="AJ29" s="181"/>
      <c r="AK29" s="181" t="s">
        <v>967</v>
      </c>
      <c r="AL29" s="182" t="n">
        <v>0.33561901486739</v>
      </c>
      <c r="AN29" s="144" t="e">
        <v>#NAME?</v>
      </c>
      <c r="AO29" s="144" t="e">
        <f aca="false">_xlfn.xlookup(AN29,A:A,F:F)</f>
        <v>#NAME?</v>
      </c>
      <c r="AP29" s="144" t="e">
        <f aca="false">_xlfn.xlookup(AN29,A:A,J:J)</f>
        <v>#NAME?</v>
      </c>
      <c r="AQ29" s="144" t="e">
        <f aca="false">_xlfn.xlookup(AN29,A:A,N:N)+_xlfn.xlookup(AN29,A:A,O:O)</f>
        <v>#NAME?</v>
      </c>
      <c r="AR29" s="150" t="e">
        <f aca="false">_xlfn.xlookup(AN29,A:A,AH:AH)</f>
        <v>#NAME?</v>
      </c>
      <c r="AS29" s="150" t="e">
        <f aca="false">_xlfn.xlookup(AN29,A:A,S:S)</f>
        <v>#NAME?</v>
      </c>
      <c r="AT29" s="150" t="e">
        <f aca="false">_xlfn.xlookup(AN29,A:A,AE:AE)</f>
        <v>#NAME?</v>
      </c>
      <c r="AU29" s="150" t="e">
        <f aca="false">_xlfn.xlookup(AN29,A:A,AF:AF)</f>
        <v>#NAME?</v>
      </c>
      <c r="AW29" s="216" t="s">
        <v>907</v>
      </c>
      <c r="AX29" s="217" t="e">
        <f aca="false">#VALUE!</f>
        <v>#VALUE!</v>
      </c>
      <c r="AY29" s="225" t="e">
        <f aca="false">#VALUE!</f>
        <v>#VALUE!</v>
      </c>
      <c r="AZ29" s="225" t="e">
        <f aca="false">#VALUE!</f>
        <v>#VALUE!</v>
      </c>
      <c r="BA29" s="225" t="e">
        <f aca="false">#VALUE!</f>
        <v>#VALUE!</v>
      </c>
      <c r="BB29" s="218" t="e">
        <f aca="false">#VALUE!</f>
        <v>#VALUE!</v>
      </c>
      <c r="BC29" s="0"/>
      <c r="BD29" s="0"/>
      <c r="BE29" s="0"/>
      <c r="BF29" s="187"/>
      <c r="BG29" s="188" t="e">
        <v>#NAME?</v>
      </c>
      <c r="BH29" s="152" t="e">
        <f aca="false">_xlfn.xlookup(BG29,A:A,F:F)</f>
        <v>#NAME?</v>
      </c>
      <c r="BI29" s="188" t="e">
        <f aca="false">_xlfn.xlookup(BG29,A:A,J:J)</f>
        <v>#NAME?</v>
      </c>
      <c r="BJ29" s="153" t="e">
        <f aca="false">_xlfn.xlookup(BG29,A:A,N:N)+_xlfn.xlookup(BG29,A:A,O:O)</f>
        <v>#NAME?</v>
      </c>
      <c r="BK29" s="153" t="e">
        <f aca="false">_xlfn.xlookup(BG29,$A$3:$A$997,$AB$3:$AB$997)</f>
        <v>#NAME?</v>
      </c>
      <c r="BL29" s="188"/>
      <c r="BM29" s="194" t="s">
        <v>968</v>
      </c>
      <c r="BN29" s="195" t="e">
        <f aca="false">#VALUE!</f>
        <v>#VALUE!</v>
      </c>
      <c r="BO29" s="197" t="e">
        <f aca="false">#VALUE!</f>
        <v>#VALUE!</v>
      </c>
      <c r="BQ29" s="144" t="str">
        <f aca="false">IF(VALUE(MONTH(C29))&lt;10,YEAR(C29)&amp;"-0"&amp;MONTH(C29),YEAR(C29)&amp;"-"&amp;MONTH(C29))</f>
        <v>2024-07</v>
      </c>
      <c r="BR29" s="144" t="str">
        <f aca="false">J29</f>
        <v>S21-1</v>
      </c>
      <c r="BS29" s="144" t="str">
        <f aca="false">IF(ISNUMBER(FIND("-", BR29)), LEFT(BR29, FIND("-", BR29) - 1), BR29)</f>
        <v>S21</v>
      </c>
      <c r="BT29" s="189" t="n">
        <f aca="false">L29-M29+O29</f>
        <v>3760.159</v>
      </c>
      <c r="BU29" s="189"/>
      <c r="CP29" s="138" t="s">
        <v>960</v>
      </c>
      <c r="CQ29" s="239"/>
      <c r="CR29" s="239"/>
      <c r="CS29" s="239"/>
      <c r="CT29" s="239"/>
      <c r="CU29" s="239"/>
      <c r="CV29" s="239"/>
      <c r="CW29" s="239"/>
      <c r="CX29" s="239"/>
      <c r="CY29" s="239"/>
      <c r="CZ29" s="239"/>
      <c r="DA29" s="239"/>
      <c r="DB29" s="239"/>
    </row>
    <row r="30" customFormat="false" ht="16.4" hidden="false" customHeight="false" outlineLevel="0" collapsed="false">
      <c r="A30" s="140" t="s">
        <v>969</v>
      </c>
      <c r="B30" s="173"/>
      <c r="C30" s="174" t="n">
        <v>45488</v>
      </c>
      <c r="D30" s="173" t="n">
        <v>177</v>
      </c>
      <c r="E30" s="138" t="s">
        <v>96</v>
      </c>
      <c r="F30" s="138" t="s">
        <v>582</v>
      </c>
      <c r="G30" s="140"/>
      <c r="H30" s="173" t="n">
        <v>40060</v>
      </c>
      <c r="I30" s="173" t="n">
        <v>30012</v>
      </c>
      <c r="J30" s="140" t="s">
        <v>908</v>
      </c>
      <c r="K30" s="140"/>
      <c r="L30" s="175" t="n">
        <v>28461.23136</v>
      </c>
      <c r="M30" s="175" t="n">
        <v>0</v>
      </c>
      <c r="N30" s="175" t="n">
        <v>27894.75</v>
      </c>
      <c r="O30" s="175"/>
      <c r="P30" s="175"/>
      <c r="Q30" s="176"/>
      <c r="R30" s="138" t="n">
        <v>8.5</v>
      </c>
      <c r="S30" s="177" t="n">
        <v>0</v>
      </c>
      <c r="T30" s="215"/>
      <c r="U30" s="178" t="n">
        <v>0.327974576595346</v>
      </c>
      <c r="V30" s="177" t="n">
        <v>9148.76882048303</v>
      </c>
      <c r="W30" s="177" t="n">
        <v>185.791484195155</v>
      </c>
      <c r="X30" s="179" t="n">
        <v>0.0199036138962049</v>
      </c>
      <c r="Y30" s="177" t="n">
        <v>51.0366705882353</v>
      </c>
      <c r="Z30" s="177" t="n">
        <v>130.2</v>
      </c>
      <c r="AA30" s="177" t="n">
        <v>510.817307692308</v>
      </c>
      <c r="AB30" s="177" t="n">
        <v>10026.6142829587</v>
      </c>
      <c r="AC30" s="215" t="n">
        <v>0.466</v>
      </c>
      <c r="AD30" s="215" t="s">
        <v>88</v>
      </c>
      <c r="AE30" s="177" t="n">
        <v>12998.9535</v>
      </c>
      <c r="AF30" s="177" t="n">
        <v>2972.33921704127</v>
      </c>
      <c r="AG30" s="181" t="n">
        <v>0.228659885354715</v>
      </c>
      <c r="AH30" s="180" t="n">
        <v>9334.56030467819</v>
      </c>
      <c r="AI30" s="181" t="n">
        <v>0.718100907482913</v>
      </c>
      <c r="AJ30" s="181"/>
      <c r="AK30" s="181" t="s">
        <v>969</v>
      </c>
      <c r="AL30" s="182" t="n">
        <v>0.359444493424703</v>
      </c>
      <c r="AN30" s="144" t="e">
        <v>#NAME?</v>
      </c>
      <c r="AO30" s="144" t="e">
        <f aca="false">_xlfn.xlookup(AN30,A:A,F:F)</f>
        <v>#NAME?</v>
      </c>
      <c r="AP30" s="144" t="e">
        <f aca="false">_xlfn.xlookup(AN30,A:A,J:J)</f>
        <v>#NAME?</v>
      </c>
      <c r="AQ30" s="144" t="e">
        <f aca="false">_xlfn.xlookup(AN30,A:A,N:N)+_xlfn.xlookup(AN30,A:A,O:O)</f>
        <v>#NAME?</v>
      </c>
      <c r="AR30" s="150" t="e">
        <f aca="false">_xlfn.xlookup(AN30,A:A,AH:AH)</f>
        <v>#NAME?</v>
      </c>
      <c r="AS30" s="150" t="e">
        <f aca="false">_xlfn.xlookup(AN30,A:A,S:S)</f>
        <v>#NAME?</v>
      </c>
      <c r="AT30" s="150" t="e">
        <f aca="false">_xlfn.xlookup(AN30,A:A,AE:AE)</f>
        <v>#NAME?</v>
      </c>
      <c r="AU30" s="150" t="e">
        <f aca="false">_xlfn.xlookup(AN30,A:A,AF:AF)</f>
        <v>#NAME?</v>
      </c>
      <c r="AW30" s="194" t="s">
        <v>85</v>
      </c>
      <c r="AX30" s="195" t="e">
        <f aca="false">#VALUE!</f>
        <v>#VALUE!</v>
      </c>
      <c r="AY30" s="196" t="e">
        <f aca="false">#VALUE!</f>
        <v>#VALUE!</v>
      </c>
      <c r="AZ30" s="196" t="e">
        <f aca="false">#VALUE!</f>
        <v>#VALUE!</v>
      </c>
      <c r="BA30" s="196" t="e">
        <f aca="false">#VALUE!</f>
        <v>#VALUE!</v>
      </c>
      <c r="BB30" s="197" t="e">
        <f aca="false">#VALUE!</f>
        <v>#VALUE!</v>
      </c>
      <c r="BC30" s="0"/>
      <c r="BD30" s="0"/>
      <c r="BE30" s="0"/>
      <c r="BF30" s="187"/>
      <c r="BG30" s="188" t="e">
        <v>#NAME?</v>
      </c>
      <c r="BH30" s="152" t="e">
        <f aca="false">_xlfn.xlookup(BG30,A:A,F:F)</f>
        <v>#NAME?</v>
      </c>
      <c r="BI30" s="188" t="e">
        <f aca="false">_xlfn.xlookup(BG30,A:A,J:J)</f>
        <v>#NAME?</v>
      </c>
      <c r="BJ30" s="153" t="e">
        <f aca="false">_xlfn.xlookup(BG30,A:A,N:N)+_xlfn.xlookup(BG30,A:A,O:O)</f>
        <v>#NAME?</v>
      </c>
      <c r="BK30" s="153" t="e">
        <f aca="false">_xlfn.xlookup(BG30,$A$3:$A$997,$AB$3:$AB$997)</f>
        <v>#NAME?</v>
      </c>
      <c r="BL30" s="188"/>
      <c r="BM30" s="205" t="s">
        <v>904</v>
      </c>
      <c r="BN30" s="206" t="e">
        <f aca="false">#VALUE!</f>
        <v>#VALUE!</v>
      </c>
      <c r="BO30" s="208" t="e">
        <f aca="false">#VALUE!</f>
        <v>#VALUE!</v>
      </c>
      <c r="BQ30" s="144" t="str">
        <f aca="false">IF(VALUE(MONTH(C30))&lt;10,YEAR(C30)&amp;"-0"&amp;MONTH(C30),YEAR(C30)&amp;"-"&amp;MONTH(C30))</f>
        <v>2024-07</v>
      </c>
      <c r="BR30" s="144" t="str">
        <f aca="false">J30</f>
        <v>D21-1</v>
      </c>
      <c r="BS30" s="144" t="str">
        <f aca="false">IF(ISNUMBER(FIND("-", BR30)), LEFT(BR30, FIND("-", BR30) - 1), BR30)</f>
        <v>D21</v>
      </c>
      <c r="BT30" s="189" t="n">
        <f aca="false">L30-M30+O30</f>
        <v>28461.23136</v>
      </c>
      <c r="BU30" s="189"/>
      <c r="CP30" s="138" t="s">
        <v>970</v>
      </c>
      <c r="CQ30" s="175" t="n">
        <f aca="false">CQ22+CQ24+CQ26+CQ28</f>
        <v>118819.44</v>
      </c>
      <c r="CR30" s="175" t="n">
        <f aca="false">CR22+CR24+CR26+CR28</f>
        <v>0</v>
      </c>
      <c r="CS30" s="175" t="n">
        <f aca="false">CS22+CS24+CS26+CS28</f>
        <v>0</v>
      </c>
      <c r="CT30" s="175" t="n">
        <f aca="false">CT22+CT24+CT26+CT28</f>
        <v>265608</v>
      </c>
      <c r="CU30" s="175" t="n">
        <f aca="false">CU22+CU24+CU26+CU28</f>
        <v>35433.36</v>
      </c>
      <c r="CV30" s="175" t="n">
        <f aca="false">CV22+CV24+CV26+CV28</f>
        <v>0</v>
      </c>
      <c r="CW30" s="175" t="n">
        <f aca="false">CW22+CW24+CW26+CW28</f>
        <v>0</v>
      </c>
      <c r="CX30" s="175" t="n">
        <f aca="false">CX22+CX24+CX26+CX28</f>
        <v>156519</v>
      </c>
      <c r="CY30" s="175" t="n">
        <f aca="false">CY22+CY24+CY26+CY28</f>
        <v>0</v>
      </c>
      <c r="CZ30" s="175" t="n">
        <f aca="false">CZ22+CZ24+CZ26+CZ28</f>
        <v>39804</v>
      </c>
      <c r="DA30" s="175" t="n">
        <f aca="false">DA22+DA24+DA26+DA28</f>
        <v>28458</v>
      </c>
      <c r="DB30" s="175" t="n">
        <f aca="false">DB22+DB24+DB26+DB28</f>
        <v>259252.38</v>
      </c>
    </row>
    <row r="31" customFormat="false" ht="16.4" hidden="false" customHeight="false" outlineLevel="0" collapsed="false">
      <c r="A31" s="140" t="s">
        <v>971</v>
      </c>
      <c r="B31" s="173"/>
      <c r="C31" s="174" t="n">
        <v>45481</v>
      </c>
      <c r="D31" s="173" t="n">
        <v>177</v>
      </c>
      <c r="E31" s="138" t="s">
        <v>96</v>
      </c>
      <c r="F31" s="138" t="s">
        <v>582</v>
      </c>
      <c r="G31" s="140"/>
      <c r="H31" s="173" t="n">
        <v>40056</v>
      </c>
      <c r="I31" s="173" t="n">
        <v>30012</v>
      </c>
      <c r="J31" s="140" t="s">
        <v>908</v>
      </c>
      <c r="K31" s="140"/>
      <c r="L31" s="175" t="n">
        <v>7116.489</v>
      </c>
      <c r="M31" s="175" t="n">
        <v>3356</v>
      </c>
      <c r="N31" s="175" t="n">
        <v>3600</v>
      </c>
      <c r="O31" s="175"/>
      <c r="P31" s="175"/>
      <c r="Q31" s="176"/>
      <c r="R31" s="138" t="n">
        <v>2</v>
      </c>
      <c r="S31" s="177" t="n">
        <v>0</v>
      </c>
      <c r="T31" s="215"/>
      <c r="U31" s="178" t="n">
        <v>0.327974576595346</v>
      </c>
      <c r="V31" s="177" t="n">
        <v>1180.70847574325</v>
      </c>
      <c r="W31" s="177" t="n">
        <v>52.6363118232104</v>
      </c>
      <c r="X31" s="179" t="n">
        <v>0.0225517105415324</v>
      </c>
      <c r="Y31" s="177" t="n">
        <v>14.5819058823529</v>
      </c>
      <c r="Z31" s="177" t="n">
        <v>21.7</v>
      </c>
      <c r="AA31" s="177" t="n">
        <v>120.192307692308</v>
      </c>
      <c r="AB31" s="177" t="n">
        <v>1389.81900114112</v>
      </c>
      <c r="AC31" s="215" t="n">
        <v>0.466</v>
      </c>
      <c r="AD31" s="215" t="s">
        <v>88</v>
      </c>
      <c r="AE31" s="177" t="n">
        <v>1677.6</v>
      </c>
      <c r="AF31" s="177" t="n">
        <v>287.780998858883</v>
      </c>
      <c r="AG31" s="181" t="n">
        <v>0.171543275428519</v>
      </c>
      <c r="AH31" s="180" t="n">
        <v>1233.34478756646</v>
      </c>
      <c r="AI31" s="181" t="n">
        <v>0.735184065072995</v>
      </c>
      <c r="AJ31" s="181"/>
      <c r="AK31" s="181" t="s">
        <v>971</v>
      </c>
      <c r="AL31" s="182" t="n">
        <v>0.38606083365031</v>
      </c>
      <c r="AN31" s="144" t="e">
        <v>#NAME?</v>
      </c>
      <c r="AO31" s="144" t="e">
        <f aca="false">_xlfn.xlookup(AN31,A:A,F:F)</f>
        <v>#NAME?</v>
      </c>
      <c r="AP31" s="144" t="e">
        <f aca="false">_xlfn.xlookup(AN31,A:A,J:J)</f>
        <v>#NAME?</v>
      </c>
      <c r="AQ31" s="144" t="e">
        <f aca="false">_xlfn.xlookup(AN31,A:A,N:N)+_xlfn.xlookup(AN31,A:A,O:O)</f>
        <v>#NAME?</v>
      </c>
      <c r="AR31" s="150" t="e">
        <f aca="false">_xlfn.xlookup(AN31,A:A,AH:AH)</f>
        <v>#NAME?</v>
      </c>
      <c r="AS31" s="150" t="e">
        <f aca="false">_xlfn.xlookup(AN31,A:A,S:S)</f>
        <v>#NAME?</v>
      </c>
      <c r="AT31" s="150" t="e">
        <f aca="false">_xlfn.xlookup(AN31,A:A,AE:AE)</f>
        <v>#NAME?</v>
      </c>
      <c r="AU31" s="150" t="e">
        <f aca="false">_xlfn.xlookup(AN31,A:A,AF:AF)</f>
        <v>#NAME?</v>
      </c>
      <c r="AW31" s="205" t="s">
        <v>764</v>
      </c>
      <c r="AX31" s="206" t="e">
        <f aca="false">#VALUE!</f>
        <v>#VALUE!</v>
      </c>
      <c r="AY31" s="207" t="e">
        <f aca="false">#VALUE!</f>
        <v>#VALUE!</v>
      </c>
      <c r="AZ31" s="207" t="e">
        <f aca="false">#VALUE!</f>
        <v>#VALUE!</v>
      </c>
      <c r="BA31" s="207" t="e">
        <f aca="false">#VALUE!</f>
        <v>#VALUE!</v>
      </c>
      <c r="BB31" s="208" t="e">
        <f aca="false">#VALUE!</f>
        <v>#VALUE!</v>
      </c>
      <c r="BC31" s="0"/>
      <c r="BD31" s="0"/>
      <c r="BE31" s="0"/>
      <c r="BF31" s="187"/>
      <c r="BG31" s="144" t="e">
        <v>#NAME?</v>
      </c>
      <c r="BH31" s="152" t="e">
        <f aca="false">_xlfn.xlookup(BG31,A:A,F:F)</f>
        <v>#NAME?</v>
      </c>
      <c r="BI31" s="144" t="e">
        <f aca="false">_xlfn.xlookup(BG31,A:A,J:J)</f>
        <v>#NAME?</v>
      </c>
      <c r="BJ31" s="153" t="e">
        <f aca="false">_xlfn.xlookup(BG31,A:A,N:N)+_xlfn.xlookup(BG31,A:A,O:O)</f>
        <v>#NAME?</v>
      </c>
      <c r="BK31" s="153" t="e">
        <f aca="false">_xlfn.xlookup(BG31,$A$3:$A$997,$AB$3:$AB$997)</f>
        <v>#NAME?</v>
      </c>
      <c r="BM31" s="205" t="s">
        <v>760</v>
      </c>
      <c r="BN31" s="206" t="e">
        <f aca="false">#VALUE!</f>
        <v>#VALUE!</v>
      </c>
      <c r="BO31" s="208" t="e">
        <f aca="false">#VALUE!</f>
        <v>#VALUE!</v>
      </c>
      <c r="BQ31" s="144" t="str">
        <f aca="false">IF(VALUE(MONTH(C31))&lt;10,YEAR(C31)&amp;"-0"&amp;MONTH(C31),YEAR(C31)&amp;"-"&amp;MONTH(C31))</f>
        <v>2024-07</v>
      </c>
      <c r="BR31" s="144" t="str">
        <f aca="false">J31</f>
        <v>D21-1</v>
      </c>
      <c r="BS31" s="144" t="str">
        <f aca="false">IF(ISNUMBER(FIND("-", BR31)), LEFT(BR31, FIND("-", BR31) - 1), BR31)</f>
        <v>D21</v>
      </c>
      <c r="BT31" s="189" t="n">
        <f aca="false">L31-M31+O31</f>
        <v>3760.489</v>
      </c>
      <c r="BU31" s="189"/>
      <c r="CP31" s="237" t="s">
        <v>972</v>
      </c>
      <c r="CQ31" s="244" t="n">
        <f aca="false">IFERROR(CQ30/CQ21,"")</f>
        <v>16.40255462452</v>
      </c>
      <c r="CR31" s="244" t="n">
        <f aca="false">IFERROR(CR30/CR21,"")</f>
        <v>0</v>
      </c>
      <c r="CS31" s="244" t="n">
        <f aca="false">IFERROR(CS30/CS21,"")</f>
        <v>0</v>
      </c>
      <c r="CT31" s="244" t="n">
        <f aca="false">IFERROR(CT30/CT21,"")</f>
        <v>3.84127843336774</v>
      </c>
      <c r="CU31" s="244" t="n">
        <f aca="false">IFERROR(CU30/CU21,"")</f>
        <v>1.82023035989662</v>
      </c>
      <c r="CV31" s="244" t="str">
        <f aca="false">IFERROR(CV30/CV21,"")</f>
        <v/>
      </c>
      <c r="CW31" s="244" t="str">
        <f aca="false">IFERROR(CW30/CW21,"")</f>
        <v/>
      </c>
      <c r="CX31" s="244" t="n">
        <f aca="false">IFERROR(CX30/CX21,"")</f>
        <v>5.25811027897878</v>
      </c>
      <c r="CY31" s="244" t="n">
        <f aca="false">IFERROR(CY30/CY21,"")</f>
        <v>0</v>
      </c>
      <c r="CZ31" s="244" t="str">
        <f aca="false">IFERROR(CZ30/CZ21,"")</f>
        <v/>
      </c>
      <c r="DA31" s="244" t="str">
        <f aca="false">IFERROR(DA30/DA21,"")</f>
        <v/>
      </c>
      <c r="DB31" s="244" t="n">
        <f aca="false">IFERROR(DB30/DB21,"")</f>
        <v>4.21216673927887</v>
      </c>
    </row>
    <row r="32" customFormat="false" ht="16.4" hidden="false" customHeight="false" outlineLevel="0" collapsed="false">
      <c r="A32" s="140" t="s">
        <v>973</v>
      </c>
      <c r="B32" s="173"/>
      <c r="C32" s="174" t="n">
        <v>45482</v>
      </c>
      <c r="D32" s="173" t="n">
        <v>176</v>
      </c>
      <c r="E32" s="138" t="s">
        <v>63</v>
      </c>
      <c r="F32" s="138" t="s">
        <v>500</v>
      </c>
      <c r="G32" s="140"/>
      <c r="H32" s="173" t="n">
        <v>40054</v>
      </c>
      <c r="I32" s="173" t="n">
        <v>30013</v>
      </c>
      <c r="J32" s="140" t="s">
        <v>904</v>
      </c>
      <c r="K32" s="140"/>
      <c r="L32" s="175" t="n">
        <v>0</v>
      </c>
      <c r="M32" s="175" t="n">
        <v>0</v>
      </c>
      <c r="N32" s="175"/>
      <c r="O32" s="175" t="n">
        <v>18883</v>
      </c>
      <c r="P32" s="175"/>
      <c r="Q32" s="176"/>
      <c r="R32" s="138" t="n">
        <v>6</v>
      </c>
      <c r="S32" s="177" t="n">
        <v>-56.41</v>
      </c>
      <c r="T32" s="215" t="n">
        <v>1.3635</v>
      </c>
      <c r="U32" s="178" t="n">
        <v>0.358173933722525</v>
      </c>
      <c r="V32" s="177" t="n">
        <v>6763.39839048244</v>
      </c>
      <c r="W32" s="177" t="n">
        <v>0</v>
      </c>
      <c r="X32" s="179" t="e">
        <f aca="false">#DIV/0!</f>
        <v>#DIV/0!</v>
      </c>
      <c r="Y32" s="177" t="n">
        <v>0</v>
      </c>
      <c r="Z32" s="177" t="n">
        <v>65.1</v>
      </c>
      <c r="AA32" s="177" t="n">
        <v>360.576923076923</v>
      </c>
      <c r="AB32" s="177" t="n">
        <v>7132.66531355936</v>
      </c>
      <c r="AC32" s="215" t="n">
        <v>0.31</v>
      </c>
      <c r="AD32" s="215" t="s">
        <v>77</v>
      </c>
      <c r="AE32" s="177" t="n">
        <v>7589.75913</v>
      </c>
      <c r="AF32" s="177" t="n">
        <v>457.093816440637</v>
      </c>
      <c r="AG32" s="181" t="n">
        <v>0.06022507547491</v>
      </c>
      <c r="AH32" s="180" t="n">
        <v>6763.39839048244</v>
      </c>
      <c r="AI32" s="181" t="n">
        <v>0.891121611982229</v>
      </c>
      <c r="AJ32" s="181"/>
      <c r="AK32" s="181" t="s">
        <v>973</v>
      </c>
      <c r="AL32" s="182" t="n">
        <v>0.377729455783475</v>
      </c>
      <c r="AN32" s="144" t="e">
        <v>#NAME?</v>
      </c>
      <c r="AO32" s="144" t="e">
        <f aca="false">_xlfn.xlookup(AN32,A:A,F:F)</f>
        <v>#NAME?</v>
      </c>
      <c r="AP32" s="144" t="e">
        <f aca="false">_xlfn.xlookup(AN32,A:A,J:J)</f>
        <v>#NAME?</v>
      </c>
      <c r="AQ32" s="144" t="e">
        <f aca="false">_xlfn.xlookup(AN32,A:A,N:N)+_xlfn.xlookup(AN32,A:A,O:O)</f>
        <v>#NAME?</v>
      </c>
      <c r="AR32" s="150" t="e">
        <f aca="false">_xlfn.xlookup(AN32,A:A,AH:AH)</f>
        <v>#NAME?</v>
      </c>
      <c r="AS32" s="150" t="e">
        <f aca="false">_xlfn.xlookup(AN32,A:A,S:S)</f>
        <v>#NAME?</v>
      </c>
      <c r="AT32" s="150" t="e">
        <f aca="false">_xlfn.xlookup(AN32,A:A,AE:AE)</f>
        <v>#NAME?</v>
      </c>
      <c r="AU32" s="150" t="e">
        <f aca="false">_xlfn.xlookup(AN32,A:A,AF:AF)</f>
        <v>#NAME?</v>
      </c>
      <c r="AW32" s="205" t="s">
        <v>768</v>
      </c>
      <c r="AX32" s="206" t="e">
        <f aca="false">#VALUE!</f>
        <v>#VALUE!</v>
      </c>
      <c r="AY32" s="207" t="e">
        <f aca="false">#VALUE!</f>
        <v>#VALUE!</v>
      </c>
      <c r="AZ32" s="207" t="e">
        <f aca="false">#VALUE!</f>
        <v>#VALUE!</v>
      </c>
      <c r="BA32" s="207" t="e">
        <f aca="false">#VALUE!</f>
        <v>#VALUE!</v>
      </c>
      <c r="BB32" s="208" t="e">
        <f aca="false">#VALUE!</f>
        <v>#VALUE!</v>
      </c>
      <c r="BC32" s="0"/>
      <c r="BD32" s="0"/>
      <c r="BE32" s="0"/>
      <c r="BF32" s="187"/>
      <c r="BG32" s="144" t="e">
        <v>#NAME?</v>
      </c>
      <c r="BH32" s="152" t="e">
        <f aca="false">_xlfn.xlookup(BG32,A:A,F:F)</f>
        <v>#NAME?</v>
      </c>
      <c r="BI32" s="144" t="e">
        <f aca="false">_xlfn.xlookup(BG32,A:A,J:J)</f>
        <v>#NAME?</v>
      </c>
      <c r="BJ32" s="153" t="e">
        <f aca="false">_xlfn.xlookup(BG32,A:A,N:N)+_xlfn.xlookup(BG32,A:A,O:O)</f>
        <v>#NAME?</v>
      </c>
      <c r="BK32" s="153" t="e">
        <f aca="false">_xlfn.xlookup(BG32,$A$3:$A$997,$AB$3:$AB$997)</f>
        <v>#NAME?</v>
      </c>
      <c r="BM32" s="216" t="s">
        <v>754</v>
      </c>
      <c r="BN32" s="217" t="e">
        <f aca="false">#VALUE!</f>
        <v>#VALUE!</v>
      </c>
      <c r="BO32" s="218" t="e">
        <f aca="false">#VALUE!</f>
        <v>#VALUE!</v>
      </c>
      <c r="BQ32" s="144" t="str">
        <f aca="false">IF(VALUE(MONTH(C32))&lt;10,YEAR(C32)&amp;"-0"&amp;MONTH(C32),YEAR(C32)&amp;"-"&amp;MONTH(C32))</f>
        <v>2024-07</v>
      </c>
      <c r="BR32" s="144" t="str">
        <f aca="false">J32</f>
        <v>D11-1</v>
      </c>
      <c r="BS32" s="144" t="str">
        <f aca="false">IF(ISNUMBER(FIND("-", BR32)), LEFT(BR32, FIND("-", BR32) - 1), BR32)</f>
        <v>D11</v>
      </c>
      <c r="BT32" s="189" t="n">
        <f aca="false">L32-M32+O32</f>
        <v>18883</v>
      </c>
      <c r="BU32" s="189"/>
    </row>
    <row r="33" customFormat="false" ht="16.4" hidden="false" customHeight="false" outlineLevel="0" collapsed="false">
      <c r="A33" s="140" t="s">
        <v>974</v>
      </c>
      <c r="B33" s="173"/>
      <c r="C33" s="174" t="n">
        <v>45488</v>
      </c>
      <c r="D33" s="173" t="n">
        <v>179</v>
      </c>
      <c r="E33" s="138" t="s">
        <v>89</v>
      </c>
      <c r="F33" s="138" t="s">
        <v>938</v>
      </c>
      <c r="G33" s="140"/>
      <c r="H33" s="173" t="n">
        <v>40062</v>
      </c>
      <c r="I33" s="173" t="n">
        <v>30017</v>
      </c>
      <c r="J33" s="140" t="s">
        <v>768</v>
      </c>
      <c r="K33" s="140"/>
      <c r="L33" s="175" t="n">
        <v>2463.9</v>
      </c>
      <c r="M33" s="175" t="n">
        <v>0</v>
      </c>
      <c r="N33" s="175" t="n">
        <v>2187</v>
      </c>
      <c r="O33" s="175" t="n">
        <v>0</v>
      </c>
      <c r="P33" s="175"/>
      <c r="Q33" s="176"/>
      <c r="R33" s="138" t="n">
        <v>1.5</v>
      </c>
      <c r="S33" s="177" t="n">
        <v>0</v>
      </c>
      <c r="T33" s="215" t="n">
        <v>1.3686</v>
      </c>
      <c r="U33" s="178" t="n">
        <v>0.326284886247867</v>
      </c>
      <c r="V33" s="177" t="n">
        <v>713.585046224085</v>
      </c>
      <c r="W33" s="177" t="n">
        <v>90.3482850020343</v>
      </c>
      <c r="X33" s="179" t="n">
        <v>0.112382807743821</v>
      </c>
      <c r="Y33" s="177" t="n">
        <v>10.9364294117647</v>
      </c>
      <c r="Z33" s="177" t="n">
        <v>21.7</v>
      </c>
      <c r="AA33" s="177" t="n">
        <v>90.1442307692308</v>
      </c>
      <c r="AB33" s="177" t="n">
        <v>926.713991407115</v>
      </c>
      <c r="AC33" s="215" t="n">
        <v>0.34</v>
      </c>
      <c r="AD33" s="215" t="s">
        <v>77</v>
      </c>
      <c r="AE33" s="177" t="n">
        <v>1017.663588</v>
      </c>
      <c r="AF33" s="177" t="n">
        <v>90.9495965928857</v>
      </c>
      <c r="AG33" s="181" t="n">
        <v>0.0893709843462393</v>
      </c>
      <c r="AH33" s="180" t="n">
        <v>803.933331226119</v>
      </c>
      <c r="AI33" s="181" t="n">
        <v>0.789979459524613</v>
      </c>
      <c r="AJ33" s="181"/>
      <c r="AK33" s="181" t="s">
        <v>974</v>
      </c>
      <c r="AL33" s="182" t="n">
        <v>0.423737536080071</v>
      </c>
      <c r="AN33" s="144" t="e">
        <v>#NAME?</v>
      </c>
      <c r="AO33" s="144" t="e">
        <f aca="false">_xlfn.xlookup(AN33,A:A,F:F)</f>
        <v>#NAME?</v>
      </c>
      <c r="AP33" s="144" t="e">
        <f aca="false">_xlfn.xlookup(AN33,A:A,J:J)</f>
        <v>#NAME?</v>
      </c>
      <c r="AQ33" s="144" t="e">
        <f aca="false">_xlfn.xlookup(AN33,A:A,N:N)+_xlfn.xlookup(AN33,A:A,O:O)</f>
        <v>#NAME?</v>
      </c>
      <c r="AR33" s="150" t="e">
        <f aca="false">_xlfn.xlookup(AN33,A:A,AH:AH)</f>
        <v>#NAME?</v>
      </c>
      <c r="AS33" s="150" t="e">
        <f aca="false">_xlfn.xlookup(AN33,A:A,S:S)</f>
        <v>#NAME?</v>
      </c>
      <c r="AT33" s="150" t="e">
        <f aca="false">_xlfn.xlookup(AN33,A:A,AE:AE)</f>
        <v>#NAME?</v>
      </c>
      <c r="AU33" s="150" t="e">
        <f aca="false">_xlfn.xlookup(AN33,A:A,AF:AF)</f>
        <v>#NAME?</v>
      </c>
      <c r="AW33" s="216" t="s">
        <v>908</v>
      </c>
      <c r="AX33" s="217" t="e">
        <f aca="false">#VALUE!</f>
        <v>#VALUE!</v>
      </c>
      <c r="AY33" s="225" t="e">
        <f aca="false">#VALUE!</f>
        <v>#VALUE!</v>
      </c>
      <c r="AZ33" s="225" t="e">
        <f aca="false">#VALUE!</f>
        <v>#VALUE!</v>
      </c>
      <c r="BA33" s="225" t="e">
        <f aca="false">#VALUE!</f>
        <v>#VALUE!</v>
      </c>
      <c r="BB33" s="218" t="e">
        <f aca="false">#VALUE!</f>
        <v>#VALUE!</v>
      </c>
      <c r="BC33" s="0"/>
      <c r="BD33" s="0"/>
      <c r="BE33" s="0"/>
      <c r="BF33" s="187"/>
      <c r="BG33" s="144" t="e">
        <v>#NAME?</v>
      </c>
      <c r="BH33" s="152" t="e">
        <f aca="false">_xlfn.xlookup(BG33,A:A,F:F)</f>
        <v>#NAME?</v>
      </c>
      <c r="BI33" s="144" t="e">
        <f aca="false">_xlfn.xlookup(BG33,A:A,J:J)</f>
        <v>#NAME?</v>
      </c>
      <c r="BJ33" s="153" t="e">
        <f aca="false">_xlfn.xlookup(BG33,A:A,N:N)+_xlfn.xlookup(BG33,A:A,O:O)</f>
        <v>#NAME?</v>
      </c>
      <c r="BK33" s="153" t="e">
        <f aca="false">_xlfn.xlookup(BG33,$A$3:$A$997,$AB$3:$AB$997)</f>
        <v>#NAME?</v>
      </c>
      <c r="BM33" s="194" t="s">
        <v>726</v>
      </c>
      <c r="BN33" s="195" t="e">
        <f aca="false">#VALUE!</f>
        <v>#VALUE!</v>
      </c>
      <c r="BO33" s="197" t="e">
        <f aca="false">#VALUE!</f>
        <v>#VALUE!</v>
      </c>
      <c r="BQ33" s="144" t="str">
        <f aca="false">IF(VALUE(MONTH(C33))&lt;10,YEAR(C33)&amp;"-0"&amp;MONTH(C33),YEAR(C33)&amp;"-"&amp;MONTH(C33))</f>
        <v>2024-07</v>
      </c>
      <c r="BR33" s="144" t="str">
        <f aca="false">J33</f>
        <v>B25-3</v>
      </c>
      <c r="BS33" s="144" t="str">
        <f aca="false">IF(ISNUMBER(FIND("-", BR33)), LEFT(BR33, FIND("-", BR33) - 1), BR33)</f>
        <v>B25</v>
      </c>
      <c r="BT33" s="189" t="n">
        <f aca="false">L33-M33+O33</f>
        <v>2463.9</v>
      </c>
      <c r="BU33" s="189"/>
      <c r="CP33" s="144" t="s">
        <v>975</v>
      </c>
    </row>
    <row r="34" customFormat="false" ht="16.4" hidden="false" customHeight="false" outlineLevel="0" collapsed="false">
      <c r="A34" s="140" t="s">
        <v>976</v>
      </c>
      <c r="B34" s="173"/>
      <c r="C34" s="174" t="n">
        <v>45491</v>
      </c>
      <c r="D34" s="173" t="n">
        <v>181</v>
      </c>
      <c r="E34" s="138" t="s">
        <v>94</v>
      </c>
      <c r="F34" s="138" t="s">
        <v>522</v>
      </c>
      <c r="G34" s="140"/>
      <c r="H34" s="173" t="n">
        <v>40067</v>
      </c>
      <c r="I34" s="173" t="n">
        <v>30015</v>
      </c>
      <c r="J34" s="140" t="s">
        <v>762</v>
      </c>
      <c r="K34" s="140"/>
      <c r="L34" s="175" t="n">
        <v>6505.92</v>
      </c>
      <c r="M34" s="175" t="n">
        <v>2747</v>
      </c>
      <c r="N34" s="175" t="n">
        <v>3600</v>
      </c>
      <c r="O34" s="175" t="n">
        <v>0</v>
      </c>
      <c r="P34" s="175"/>
      <c r="Q34" s="176"/>
      <c r="R34" s="138" t="n">
        <v>1.5</v>
      </c>
      <c r="S34" s="177" t="n">
        <v>-5.45</v>
      </c>
      <c r="T34" s="215" t="n">
        <v>1.3696</v>
      </c>
      <c r="U34" s="178" t="n">
        <v>0.268854241086576</v>
      </c>
      <c r="V34" s="177" t="n">
        <v>967.875267911675</v>
      </c>
      <c r="W34" s="177" t="n">
        <v>42.7263159934787</v>
      </c>
      <c r="X34" s="179" t="n">
        <v>0.0244269834243274</v>
      </c>
      <c r="Y34" s="177" t="n">
        <v>14.5819058823529</v>
      </c>
      <c r="Z34" s="177" t="n">
        <v>21.7</v>
      </c>
      <c r="AA34" s="177" t="n">
        <v>90.1442307692308</v>
      </c>
      <c r="AB34" s="177" t="n">
        <v>1131.57772055674</v>
      </c>
      <c r="AC34" s="215" t="n">
        <v>0.28</v>
      </c>
      <c r="AD34" s="215" t="s">
        <v>77</v>
      </c>
      <c r="AE34" s="177" t="n">
        <v>1380.5568</v>
      </c>
      <c r="AF34" s="177" t="n">
        <v>248.979079443263</v>
      </c>
      <c r="AG34" s="181" t="n">
        <v>0.180346856748859</v>
      </c>
      <c r="AH34" s="180" t="n">
        <v>1010.60158390515</v>
      </c>
      <c r="AI34" s="181" t="n">
        <v>0.732024632311509</v>
      </c>
      <c r="AJ34" s="181"/>
      <c r="AK34" s="181" t="s">
        <v>976</v>
      </c>
      <c r="AL34" s="182" t="n">
        <v>0.314327144599094</v>
      </c>
      <c r="AN34" s="144" t="e">
        <v>#NAME?</v>
      </c>
      <c r="AO34" s="144" t="e">
        <f aca="false">_xlfn.xlookup(AN34,A:A,F:F)</f>
        <v>#NAME?</v>
      </c>
      <c r="AP34" s="144" t="e">
        <f aca="false">_xlfn.xlookup(AN34,A:A,J:J)</f>
        <v>#NAME?</v>
      </c>
      <c r="AQ34" s="144" t="e">
        <f aca="false">_xlfn.xlookup(AN34,A:A,N:N)+_xlfn.xlookup(AN34,A:A,O:O)</f>
        <v>#NAME?</v>
      </c>
      <c r="AR34" s="150" t="e">
        <f aca="false">_xlfn.xlookup(AN34,A:A,AH:AH)</f>
        <v>#NAME?</v>
      </c>
      <c r="AS34" s="150" t="e">
        <f aca="false">_xlfn.xlookup(AN34,A:A,S:S)</f>
        <v>#NAME?</v>
      </c>
      <c r="AT34" s="150" t="e">
        <f aca="false">_xlfn.xlookup(AN34,A:A,AE:AE)</f>
        <v>#NAME?</v>
      </c>
      <c r="AU34" s="150" t="e">
        <f aca="false">_xlfn.xlookup(AN34,A:A,AF:AF)</f>
        <v>#NAME?</v>
      </c>
      <c r="AW34" s="194" t="s">
        <v>977</v>
      </c>
      <c r="AX34" s="195" t="e">
        <f aca="false">#VALUE!</f>
        <v>#VALUE!</v>
      </c>
      <c r="AY34" s="196" t="e">
        <f aca="false">#VALUE!</f>
        <v>#VALUE!</v>
      </c>
      <c r="AZ34" s="196" t="e">
        <f aca="false">#VALUE!</f>
        <v>#VALUE!</v>
      </c>
      <c r="BA34" s="196" t="e">
        <f aca="false">#VALUE!</f>
        <v>#VALUE!</v>
      </c>
      <c r="BB34" s="197" t="e">
        <f aca="false">#VALUE!</f>
        <v>#VALUE!</v>
      </c>
      <c r="BC34" s="0"/>
      <c r="BD34" s="0"/>
      <c r="BE34" s="0"/>
      <c r="BF34" s="187"/>
      <c r="BG34" s="144" t="e">
        <v>#NAME?</v>
      </c>
      <c r="BH34" s="152" t="e">
        <f aca="false">_xlfn.xlookup(BG34,A:A,F:F)</f>
        <v>#NAME?</v>
      </c>
      <c r="BI34" s="144" t="e">
        <f aca="false">_xlfn.xlookup(BG34,A:A,J:J)</f>
        <v>#NAME?</v>
      </c>
      <c r="BJ34" s="153" t="e">
        <f aca="false">_xlfn.xlookup(BG34,A:A,N:N)+_xlfn.xlookup(BG34,A:A,O:O)</f>
        <v>#NAME?</v>
      </c>
      <c r="BK34" s="153" t="e">
        <f aca="false">_xlfn.xlookup(BG34,$A$3:$A$997,$AB$3:$AB$997)</f>
        <v>#NAME?</v>
      </c>
      <c r="BM34" s="205" t="s">
        <v>904</v>
      </c>
      <c r="BN34" s="206" t="e">
        <f aca="false">#VALUE!</f>
        <v>#VALUE!</v>
      </c>
      <c r="BO34" s="208" t="e">
        <f aca="false">#VALUE!</f>
        <v>#VALUE!</v>
      </c>
      <c r="BQ34" s="144" t="str">
        <f aca="false">IF(VALUE(MONTH(C34))&lt;10,YEAR(C34)&amp;"-0"&amp;MONTH(C34),YEAR(C34)&amp;"-"&amp;MONTH(C34))</f>
        <v>2024-07</v>
      </c>
      <c r="BR34" s="144" t="str">
        <f aca="false">J34</f>
        <v>S15-3</v>
      </c>
      <c r="BS34" s="144" t="str">
        <f aca="false">IF(ISNUMBER(FIND("-", BR34)), LEFT(BR34, FIND("-", BR34) - 1), BR34)</f>
        <v>S15</v>
      </c>
      <c r="BT34" s="189" t="n">
        <f aca="false">L34-M34+O34</f>
        <v>3758.92</v>
      </c>
      <c r="BU34" s="189"/>
      <c r="CP34" s="144" t="s">
        <v>978</v>
      </c>
    </row>
    <row r="35" customFormat="false" ht="16.4" hidden="false" customHeight="false" outlineLevel="0" collapsed="false">
      <c r="A35" s="140" t="s">
        <v>979</v>
      </c>
      <c r="B35" s="173"/>
      <c r="C35" s="174" t="n">
        <v>45502</v>
      </c>
      <c r="D35" s="173" t="n">
        <v>182</v>
      </c>
      <c r="E35" s="138" t="s">
        <v>89</v>
      </c>
      <c r="F35" s="138" t="s">
        <v>938</v>
      </c>
      <c r="G35" s="140"/>
      <c r="H35" s="173" t="n">
        <v>40051</v>
      </c>
      <c r="I35" s="173" t="n">
        <v>30016</v>
      </c>
      <c r="J35" s="140" t="s">
        <v>764</v>
      </c>
      <c r="K35" s="140"/>
      <c r="L35" s="175" t="n">
        <v>12230.40672</v>
      </c>
      <c r="M35" s="175" t="n">
        <v>10337.184</v>
      </c>
      <c r="N35" s="175" t="n">
        <v>1800</v>
      </c>
      <c r="O35" s="175" t="n">
        <v>0</v>
      </c>
      <c r="P35" s="175"/>
      <c r="Q35" s="176"/>
      <c r="R35" s="138" t="n">
        <v>1.5</v>
      </c>
      <c r="S35" s="177" t="n">
        <v>0</v>
      </c>
      <c r="T35" s="215" t="n">
        <v>1.3852</v>
      </c>
      <c r="U35" s="178" t="n">
        <v>0.326284886247867</v>
      </c>
      <c r="V35" s="177" t="n">
        <v>587.31279524616</v>
      </c>
      <c r="W35" s="177" t="n">
        <v>30.4171645909167</v>
      </c>
      <c r="X35" s="179" t="n">
        <v>0.00762220931275781</v>
      </c>
      <c r="Y35" s="177" t="n">
        <v>14.5819058823529</v>
      </c>
      <c r="Z35" s="177" t="n">
        <v>21.7</v>
      </c>
      <c r="AA35" s="177" t="n">
        <v>90.1442307692308</v>
      </c>
      <c r="AB35" s="177" t="n">
        <v>744.156096488661</v>
      </c>
      <c r="AC35" s="215" t="n">
        <v>0.34</v>
      </c>
      <c r="AD35" s="215" t="s">
        <v>77</v>
      </c>
      <c r="AE35" s="177" t="n">
        <v>847.7424</v>
      </c>
      <c r="AF35" s="177" t="n">
        <v>103.586303511339</v>
      </c>
      <c r="AG35" s="181" t="n">
        <v>0.122190778131823</v>
      </c>
      <c r="AH35" s="180" t="n">
        <v>617.729959837077</v>
      </c>
      <c r="AI35" s="181" t="n">
        <v>0.728676493988123</v>
      </c>
      <c r="AJ35" s="181"/>
      <c r="AK35" s="181" t="s">
        <v>979</v>
      </c>
      <c r="AL35" s="182" t="n">
        <v>0.413420053604811</v>
      </c>
      <c r="AN35" s="144" t="e">
        <v>#NAME?</v>
      </c>
      <c r="AO35" s="144" t="e">
        <f aca="false">_xlfn.xlookup(AN35,A:A,F:F)</f>
        <v>#NAME?</v>
      </c>
      <c r="AP35" s="144" t="e">
        <f aca="false">_xlfn.xlookup(AN35,A:A,J:J)</f>
        <v>#NAME?</v>
      </c>
      <c r="AQ35" s="144" t="e">
        <f aca="false">_xlfn.xlookup(AN35,A:A,N:N)+_xlfn.xlookup(AN35,A:A,O:O)</f>
        <v>#NAME?</v>
      </c>
      <c r="AR35" s="150" t="e">
        <f aca="false">_xlfn.xlookup(AN35,A:A,AH:AH)</f>
        <v>#NAME?</v>
      </c>
      <c r="AS35" s="150" t="e">
        <f aca="false">_xlfn.xlookup(AN35,A:A,S:S)</f>
        <v>#NAME?</v>
      </c>
      <c r="AT35" s="150" t="e">
        <f aca="false">_xlfn.xlookup(AN35,A:A,AE:AE)</f>
        <v>#NAME?</v>
      </c>
      <c r="AU35" s="150" t="e">
        <f aca="false">_xlfn.xlookup(AN35,A:A,AF:AF)</f>
        <v>#NAME?</v>
      </c>
      <c r="AW35" s="216" t="s">
        <v>760</v>
      </c>
      <c r="AX35" s="217" t="e">
        <f aca="false">#VALUE!</f>
        <v>#VALUE!</v>
      </c>
      <c r="AY35" s="225" t="e">
        <f aca="false">#VALUE!</f>
        <v>#VALUE!</v>
      </c>
      <c r="AZ35" s="225" t="e">
        <f aca="false">#VALUE!</f>
        <v>#VALUE!</v>
      </c>
      <c r="BA35" s="225" t="e">
        <f aca="false">#VALUE!</f>
        <v>#VALUE!</v>
      </c>
      <c r="BB35" s="218" t="e">
        <f aca="false">#VALUE!</f>
        <v>#VALUE!</v>
      </c>
      <c r="BC35" s="0"/>
      <c r="BD35" s="0"/>
      <c r="BE35" s="0"/>
      <c r="BF35" s="187"/>
      <c r="BG35" s="144" t="e">
        <v>#NAME?</v>
      </c>
      <c r="BH35" s="152" t="e">
        <f aca="false">_xlfn.xlookup(BG35,A:A,F:F)</f>
        <v>#NAME?</v>
      </c>
      <c r="BI35" s="144" t="e">
        <f aca="false">_xlfn.xlookup(BG35,A:A,J:J)</f>
        <v>#NAME?</v>
      </c>
      <c r="BJ35" s="153" t="e">
        <f aca="false">_xlfn.xlookup(BG35,A:A,N:N)+_xlfn.xlookup(BG35,A:A,O:O)</f>
        <v>#NAME?</v>
      </c>
      <c r="BK35" s="153" t="e">
        <f aca="false">_xlfn.xlookup(BG35,$A$3:$A$997,$AB$3:$AB$997)</f>
        <v>#NAME?</v>
      </c>
      <c r="BM35" s="205" t="s">
        <v>768</v>
      </c>
      <c r="BN35" s="206" t="e">
        <f aca="false">#VALUE!</f>
        <v>#VALUE!</v>
      </c>
      <c r="BO35" s="208" t="e">
        <f aca="false">#VALUE!</f>
        <v>#VALUE!</v>
      </c>
      <c r="BQ35" s="144" t="str">
        <f aca="false">IF(VALUE(MONTH(C35))&lt;10,YEAR(C35)&amp;"-0"&amp;MONTH(C35),YEAR(C35)&amp;"-"&amp;MONTH(C35))</f>
        <v>2024-07</v>
      </c>
      <c r="BR35" s="144" t="str">
        <f aca="false">J35</f>
        <v>B15-3</v>
      </c>
      <c r="BS35" s="144" t="str">
        <f aca="false">IF(ISNUMBER(FIND("-", BR35)), LEFT(BR35, FIND("-", BR35) - 1), BR35)</f>
        <v>B15</v>
      </c>
      <c r="BT35" s="189" t="n">
        <f aca="false">L35-M35+O35</f>
        <v>1893.22272</v>
      </c>
      <c r="BU35" s="189"/>
      <c r="CP35" s="245" t="s">
        <v>980</v>
      </c>
      <c r="CQ35" s="245"/>
    </row>
    <row r="36" customFormat="false" ht="16.4" hidden="false" customHeight="false" outlineLevel="0" collapsed="false">
      <c r="A36" s="140" t="s">
        <v>981</v>
      </c>
      <c r="B36" s="173"/>
      <c r="C36" s="174" t="n">
        <v>45510</v>
      </c>
      <c r="D36" s="173" t="n">
        <v>183</v>
      </c>
      <c r="E36" s="138" t="s">
        <v>104</v>
      </c>
      <c r="F36" s="138" t="s">
        <v>671</v>
      </c>
      <c r="G36" s="140"/>
      <c r="H36" s="173" t="n">
        <v>40063</v>
      </c>
      <c r="I36" s="173" t="n">
        <v>30017</v>
      </c>
      <c r="J36" s="140" t="s">
        <v>768</v>
      </c>
      <c r="K36" s="140"/>
      <c r="L36" s="175" t="n">
        <v>1224</v>
      </c>
      <c r="M36" s="175" t="n">
        <v>0</v>
      </c>
      <c r="N36" s="175" t="n">
        <v>926.4</v>
      </c>
      <c r="O36" s="175"/>
      <c r="P36" s="175"/>
      <c r="Q36" s="176"/>
      <c r="R36" s="138" t="n">
        <v>2</v>
      </c>
      <c r="S36" s="177" t="n">
        <v>35</v>
      </c>
      <c r="T36" s="215"/>
      <c r="U36" s="178" t="n">
        <v>0.326284886247867</v>
      </c>
      <c r="V36" s="177" t="n">
        <v>302.270318620024</v>
      </c>
      <c r="W36" s="177" t="n">
        <v>97.1023821473652</v>
      </c>
      <c r="X36" s="179" t="n">
        <v>0.243137254901961</v>
      </c>
      <c r="Y36" s="177" t="n">
        <v>5.58973058823529</v>
      </c>
      <c r="Z36" s="177" t="n">
        <v>21.7</v>
      </c>
      <c r="AA36" s="177" t="n">
        <v>120.192307692308</v>
      </c>
      <c r="AB36" s="177" t="n">
        <v>581.854739047932</v>
      </c>
      <c r="AC36" s="215" t="n">
        <v>0</v>
      </c>
      <c r="AD36" s="215" t="s">
        <v>88</v>
      </c>
      <c r="AE36" s="177" t="n">
        <v>0</v>
      </c>
      <c r="AF36" s="177" t="n">
        <v>-581.854739047932</v>
      </c>
      <c r="AG36" s="181"/>
      <c r="AH36" s="180" t="n">
        <v>399.372700767389</v>
      </c>
      <c r="AI36" s="181"/>
      <c r="AJ36" s="181" t="s">
        <v>895</v>
      </c>
      <c r="AK36" s="181" t="s">
        <v>981</v>
      </c>
      <c r="AL36" s="182" t="n">
        <v>0.62808154042307</v>
      </c>
      <c r="AN36" s="144" t="e">
        <v>#NAME?</v>
      </c>
      <c r="AO36" s="144" t="e">
        <f aca="false">_xlfn.xlookup(AN36,A:A,F:F)</f>
        <v>#NAME?</v>
      </c>
      <c r="AP36" s="144" t="e">
        <f aca="false">_xlfn.xlookup(AN36,A:A,J:J)</f>
        <v>#NAME?</v>
      </c>
      <c r="AQ36" s="144" t="e">
        <f aca="false">_xlfn.xlookup(AN36,A:A,N:N)+_xlfn.xlookup(AN36,A:A,O:O)</f>
        <v>#NAME?</v>
      </c>
      <c r="AR36" s="150" t="e">
        <f aca="false">_xlfn.xlookup(AN36,A:A,AH:AH)</f>
        <v>#NAME?</v>
      </c>
      <c r="AS36" s="150" t="e">
        <f aca="false">_xlfn.xlookup(AN36,A:A,S:S)</f>
        <v>#NAME?</v>
      </c>
      <c r="AT36" s="150" t="e">
        <f aca="false">_xlfn.xlookup(AN36,A:A,AE:AE)</f>
        <v>#NAME?</v>
      </c>
      <c r="AU36" s="150" t="e">
        <f aca="false">_xlfn.xlookup(AN36,A:A,AF:AF)</f>
        <v>#NAME?</v>
      </c>
      <c r="AW36" s="194" t="s">
        <v>522</v>
      </c>
      <c r="AX36" s="195" t="e">
        <f aca="false">#VALUE!</f>
        <v>#VALUE!</v>
      </c>
      <c r="AY36" s="196" t="e">
        <f aca="false">#VALUE!</f>
        <v>#VALUE!</v>
      </c>
      <c r="AZ36" s="196" t="e">
        <f aca="false">#VALUE!</f>
        <v>#VALUE!</v>
      </c>
      <c r="BA36" s="196" t="e">
        <f aca="false">#VALUE!</f>
        <v>#VALUE!</v>
      </c>
      <c r="BB36" s="197" t="e">
        <f aca="false">#VALUE!</f>
        <v>#VALUE!</v>
      </c>
      <c r="BC36" s="0"/>
      <c r="BD36" s="0"/>
      <c r="BE36" s="0"/>
      <c r="BF36" s="187"/>
      <c r="BG36" s="144" t="e">
        <v>#NAME?</v>
      </c>
      <c r="BH36" s="152" t="e">
        <f aca="false">_xlfn.xlookup(BG36,A:A,F:F)</f>
        <v>#NAME?</v>
      </c>
      <c r="BI36" s="144" t="e">
        <f aca="false">_xlfn.xlookup(BG36,A:A,J:J)</f>
        <v>#NAME?</v>
      </c>
      <c r="BJ36" s="153" t="e">
        <f aca="false">_xlfn.xlookup(BG36,A:A,N:N)+_xlfn.xlookup(BG36,A:A,O:O)</f>
        <v>#NAME?</v>
      </c>
      <c r="BK36" s="153" t="e">
        <f aca="false">_xlfn.xlookup(BG36,$A$3:$A$997,$AB$3:$AB$997)</f>
        <v>#NAME?</v>
      </c>
      <c r="BM36" s="205" t="s">
        <v>911</v>
      </c>
      <c r="BN36" s="206" t="e">
        <f aca="false">#VALUE!</f>
        <v>#VALUE!</v>
      </c>
      <c r="BO36" s="208" t="e">
        <f aca="false">#VALUE!</f>
        <v>#VALUE!</v>
      </c>
      <c r="BQ36" s="144" t="str">
        <f aca="false">IF(VALUE(MONTH(C36))&lt;10,YEAR(C36)&amp;"-0"&amp;MONTH(C36),YEAR(C36)&amp;"-"&amp;MONTH(C36))</f>
        <v>2024-08</v>
      </c>
      <c r="BR36" s="144" t="str">
        <f aca="false">J36</f>
        <v>B25-3</v>
      </c>
      <c r="BS36" s="144" t="str">
        <f aca="false">IF(ISNUMBER(FIND("-", BR36)), LEFT(BR36, FIND("-", BR36) - 1), BR36)</f>
        <v>B25</v>
      </c>
      <c r="BT36" s="189" t="n">
        <f aca="false">L36-M36+O36</f>
        <v>1224</v>
      </c>
      <c r="BU36" s="189"/>
    </row>
    <row r="37" customFormat="false" ht="16.4" hidden="false" customHeight="false" outlineLevel="0" collapsed="false">
      <c r="A37" s="140" t="s">
        <v>982</v>
      </c>
      <c r="B37" s="173"/>
      <c r="C37" s="174" t="n">
        <v>45510</v>
      </c>
      <c r="D37" s="173" t="n">
        <v>183</v>
      </c>
      <c r="E37" s="138" t="s">
        <v>104</v>
      </c>
      <c r="F37" s="138" t="s">
        <v>671</v>
      </c>
      <c r="G37" s="140"/>
      <c r="H37" s="173" t="n">
        <v>40065</v>
      </c>
      <c r="I37" s="173" t="n">
        <v>30011</v>
      </c>
      <c r="J37" s="140" t="s">
        <v>760</v>
      </c>
      <c r="K37" s="140"/>
      <c r="L37" s="175" t="n">
        <v>2976</v>
      </c>
      <c r="M37" s="175" t="n">
        <v>979.2</v>
      </c>
      <c r="N37" s="175" t="n">
        <v>1027.2</v>
      </c>
      <c r="O37" s="175"/>
      <c r="P37" s="175"/>
      <c r="Q37" s="176"/>
      <c r="R37" s="138" t="n">
        <v>3</v>
      </c>
      <c r="S37" s="177" t="n">
        <v>35</v>
      </c>
      <c r="T37" s="215"/>
      <c r="U37" s="178" t="n">
        <v>0.28357864079936</v>
      </c>
      <c r="V37" s="177" t="n">
        <v>291.291979829103</v>
      </c>
      <c r="W37" s="177" t="n">
        <v>274.957850119059</v>
      </c>
      <c r="X37" s="179" t="n">
        <v>0.325806451612903</v>
      </c>
      <c r="Y37" s="177" t="n">
        <v>5.58973058823529</v>
      </c>
      <c r="Z37" s="177" t="n">
        <v>0</v>
      </c>
      <c r="AA37" s="177" t="n">
        <v>180.288461538462</v>
      </c>
      <c r="AB37" s="177" t="n">
        <v>787.128022074859</v>
      </c>
      <c r="AC37" s="215" t="n">
        <v>0</v>
      </c>
      <c r="AD37" s="215" t="s">
        <v>88</v>
      </c>
      <c r="AE37" s="177" t="n">
        <v>0</v>
      </c>
      <c r="AF37" s="177" t="n">
        <v>-787.128022074859</v>
      </c>
      <c r="AG37" s="181"/>
      <c r="AH37" s="180" t="n">
        <v>566.249829948162</v>
      </c>
      <c r="AI37" s="181"/>
      <c r="AJ37" s="181" t="s">
        <v>895</v>
      </c>
      <c r="AK37" s="181" t="s">
        <v>982</v>
      </c>
      <c r="AL37" s="182" t="n">
        <v>0.766285068219294</v>
      </c>
      <c r="AN37" s="144" t="e">
        <v>#NAME?</v>
      </c>
      <c r="AO37" s="144" t="e">
        <f aca="false">_xlfn.xlookup(AN37,A:A,F:F)</f>
        <v>#NAME?</v>
      </c>
      <c r="AP37" s="144" t="e">
        <f aca="false">_xlfn.xlookup(AN37,A:A,J:J)</f>
        <v>#NAME?</v>
      </c>
      <c r="AQ37" s="144" t="e">
        <f aca="false">_xlfn.xlookup(AN37,A:A,N:N)+_xlfn.xlookup(AN37,A:A,O:O)</f>
        <v>#NAME?</v>
      </c>
      <c r="AR37" s="150" t="e">
        <f aca="false">_xlfn.xlookup(AN37,A:A,AH:AH)</f>
        <v>#NAME?</v>
      </c>
      <c r="AS37" s="150" t="e">
        <f aca="false">_xlfn.xlookup(AN37,A:A,S:S)</f>
        <v>#NAME?</v>
      </c>
      <c r="AT37" s="150" t="e">
        <f aca="false">_xlfn.xlookup(AN37,A:A,AE:AE)</f>
        <v>#NAME?</v>
      </c>
      <c r="AU37" s="150" t="e">
        <f aca="false">_xlfn.xlookup(AN37,A:A,AF:AF)</f>
        <v>#NAME?</v>
      </c>
      <c r="AW37" s="205" t="s">
        <v>768</v>
      </c>
      <c r="AX37" s="206" t="e">
        <f aca="false">#VALUE!</f>
        <v>#VALUE!</v>
      </c>
      <c r="AY37" s="207" t="e">
        <f aca="false">#VALUE!</f>
        <v>#VALUE!</v>
      </c>
      <c r="AZ37" s="207" t="e">
        <f aca="false">#VALUE!</f>
        <v>#VALUE!</v>
      </c>
      <c r="BA37" s="207" t="e">
        <f aca="false">#VALUE!</f>
        <v>#VALUE!</v>
      </c>
      <c r="BB37" s="208" t="e">
        <f aca="false">#VALUE!</f>
        <v>#VALUE!</v>
      </c>
      <c r="BC37" s="0"/>
      <c r="BD37" s="0"/>
      <c r="BE37" s="0"/>
      <c r="BF37" s="187"/>
      <c r="BG37" s="144" t="e">
        <v>#NAME?</v>
      </c>
      <c r="BH37" s="152" t="e">
        <f aca="false">_xlfn.xlookup(BG37,A:A,F:F)</f>
        <v>#NAME?</v>
      </c>
      <c r="BI37" s="144" t="e">
        <f aca="false">_xlfn.xlookup(BG37,A:A,J:J)</f>
        <v>#NAME?</v>
      </c>
      <c r="BJ37" s="153" t="e">
        <f aca="false">_xlfn.xlookup(BG37,A:A,N:N)+_xlfn.xlookup(BG37,A:A,O:O)</f>
        <v>#NAME?</v>
      </c>
      <c r="BK37" s="153" t="e">
        <f aca="false">_xlfn.xlookup(BG37,$A$3:$A$997,$AB$3:$AB$997)</f>
        <v>#NAME?</v>
      </c>
      <c r="BM37" s="205" t="s">
        <v>760</v>
      </c>
      <c r="BN37" s="206" t="e">
        <f aca="false">#VALUE!</f>
        <v>#VALUE!</v>
      </c>
      <c r="BO37" s="208" t="e">
        <f aca="false">#VALUE!</f>
        <v>#VALUE!</v>
      </c>
      <c r="BQ37" s="144" t="str">
        <f aca="false">IF(VALUE(MONTH(C37))&lt;10,YEAR(C37)&amp;"-0"&amp;MONTH(C37),YEAR(C37)&amp;"-"&amp;MONTH(C37))</f>
        <v>2024-08</v>
      </c>
      <c r="BR37" s="144" t="str">
        <f aca="false">J37</f>
        <v>S21-1</v>
      </c>
      <c r="BS37" s="144" t="str">
        <f aca="false">IF(ISNUMBER(FIND("-", BR37)), LEFT(BR37, FIND("-", BR37) - 1), BR37)</f>
        <v>S21</v>
      </c>
      <c r="BT37" s="189" t="n">
        <f aca="false">L37-M37+O37</f>
        <v>1996.8</v>
      </c>
      <c r="BU37" s="189"/>
    </row>
    <row r="38" customFormat="false" ht="16.4" hidden="false" customHeight="false" outlineLevel="0" collapsed="false">
      <c r="A38" s="140" t="s">
        <v>983</v>
      </c>
      <c r="B38" s="173"/>
      <c r="C38" s="174" t="n">
        <v>45512</v>
      </c>
      <c r="D38" s="173" t="n">
        <v>184</v>
      </c>
      <c r="E38" s="138" t="s">
        <v>109</v>
      </c>
      <c r="F38" s="138" t="s">
        <v>109</v>
      </c>
      <c r="G38" s="140"/>
      <c r="H38" s="173" t="n">
        <v>40068</v>
      </c>
      <c r="I38" s="173" t="n">
        <v>30012</v>
      </c>
      <c r="J38" s="140" t="s">
        <v>908</v>
      </c>
      <c r="K38" s="140"/>
      <c r="L38" s="175" t="n">
        <v>1876.005</v>
      </c>
      <c r="M38" s="175" t="n">
        <v>1143.12</v>
      </c>
      <c r="N38" s="175" t="n">
        <v>675.48</v>
      </c>
      <c r="O38" s="175" t="n">
        <v>0</v>
      </c>
      <c r="P38" s="175"/>
      <c r="Q38" s="176"/>
      <c r="R38" s="138" t="n">
        <v>1.5</v>
      </c>
      <c r="S38" s="177" t="n">
        <v>75</v>
      </c>
      <c r="T38" s="215"/>
      <c r="U38" s="178" t="n">
        <v>0.327974576595346</v>
      </c>
      <c r="V38" s="177" t="n">
        <v>221.540266998624</v>
      </c>
      <c r="W38" s="177" t="n">
        <v>18.8273805694558</v>
      </c>
      <c r="X38" s="179" t="n">
        <v>0.0305995986151422</v>
      </c>
      <c r="Y38" s="177" t="n">
        <v>3.15941294117647</v>
      </c>
      <c r="Z38" s="177" t="n">
        <v>0</v>
      </c>
      <c r="AA38" s="177" t="n">
        <v>90.1442307692308</v>
      </c>
      <c r="AB38" s="177" t="n">
        <v>408.671291278488</v>
      </c>
      <c r="AC38" s="215" t="n">
        <v>0</v>
      </c>
      <c r="AD38" s="215" t="s">
        <v>88</v>
      </c>
      <c r="AE38" s="177" t="n">
        <v>0</v>
      </c>
      <c r="AF38" s="177" t="n">
        <v>-408.671291278488</v>
      </c>
      <c r="AG38" s="181"/>
      <c r="AH38" s="180" t="n">
        <v>240.36764756808</v>
      </c>
      <c r="AI38" s="181"/>
      <c r="AJ38" s="181" t="s">
        <v>895</v>
      </c>
      <c r="AK38" s="181" t="s">
        <v>983</v>
      </c>
      <c r="AL38" s="182" t="n">
        <v>0.605008721617942</v>
      </c>
      <c r="AN38" s="144" t="e">
        <v>#NAME?</v>
      </c>
      <c r="AO38" s="144" t="e">
        <f aca="false">_xlfn.xlookup(AN38,A:A,F:F)</f>
        <v>#NAME?</v>
      </c>
      <c r="AP38" s="144" t="e">
        <f aca="false">_xlfn.xlookup(AN38,A:A,J:J)</f>
        <v>#NAME?</v>
      </c>
      <c r="AQ38" s="144" t="e">
        <f aca="false">_xlfn.xlookup(AN38,A:A,N:N)+_xlfn.xlookup(AN38,A:A,O:O)</f>
        <v>#NAME?</v>
      </c>
      <c r="AR38" s="150" t="e">
        <f aca="false">_xlfn.xlookup(AN38,A:A,AH:AH)</f>
        <v>#NAME?</v>
      </c>
      <c r="AS38" s="150" t="e">
        <f aca="false">_xlfn.xlookup(AN38,A:A,S:S)</f>
        <v>#NAME?</v>
      </c>
      <c r="AT38" s="150" t="e">
        <f aca="false">_xlfn.xlookup(AN38,A:A,AE:AE)</f>
        <v>#NAME?</v>
      </c>
      <c r="AU38" s="150" t="e">
        <f aca="false">_xlfn.xlookup(AN38,A:A,AF:AF)</f>
        <v>#NAME?</v>
      </c>
      <c r="AW38" s="205" t="s">
        <v>762</v>
      </c>
      <c r="AX38" s="206" t="e">
        <f aca="false">#VALUE!</f>
        <v>#VALUE!</v>
      </c>
      <c r="AY38" s="207" t="e">
        <f aca="false">#VALUE!</f>
        <v>#VALUE!</v>
      </c>
      <c r="AZ38" s="207" t="e">
        <f aca="false">#VALUE!</f>
        <v>#VALUE!</v>
      </c>
      <c r="BA38" s="207" t="e">
        <f aca="false">#VALUE!</f>
        <v>#VALUE!</v>
      </c>
      <c r="BB38" s="208" t="e">
        <f aca="false">#VALUE!</f>
        <v>#VALUE!</v>
      </c>
      <c r="BC38" s="0"/>
      <c r="BD38" s="0"/>
      <c r="BE38" s="0"/>
      <c r="BF38" s="187"/>
      <c r="BG38" s="144" t="e">
        <v>#NAME?</v>
      </c>
      <c r="BH38" s="152" t="e">
        <f aca="false">_xlfn.xlookup(BG38,A:A,F:F)</f>
        <v>#NAME?</v>
      </c>
      <c r="BI38" s="144" t="e">
        <f aca="false">_xlfn.xlookup(BG38,A:A,J:J)</f>
        <v>#NAME?</v>
      </c>
      <c r="BJ38" s="153" t="e">
        <f aca="false">_xlfn.xlookup(BG38,A:A,N:N)+_xlfn.xlookup(BG38,A:A,O:O)</f>
        <v>#NAME?</v>
      </c>
      <c r="BK38" s="153" t="e">
        <f aca="false">_xlfn.xlookup(BG38,$A$3:$A$997,$AB$3:$AB$997)</f>
        <v>#NAME?</v>
      </c>
      <c r="BM38" s="216" t="s">
        <v>754</v>
      </c>
      <c r="BN38" s="217" t="e">
        <f aca="false">#VALUE!</f>
        <v>#VALUE!</v>
      </c>
      <c r="BO38" s="218" t="e">
        <f aca="false">#VALUE!</f>
        <v>#VALUE!</v>
      </c>
      <c r="BQ38" s="144" t="str">
        <f aca="false">IF(VALUE(MONTH(C38))&lt;10,YEAR(C38)&amp;"-0"&amp;MONTH(C38),YEAR(C38)&amp;"-"&amp;MONTH(C38))</f>
        <v>2024-08</v>
      </c>
      <c r="BR38" s="144" t="str">
        <f aca="false">J38</f>
        <v>D21-1</v>
      </c>
      <c r="BS38" s="144" t="str">
        <f aca="false">IF(ISNUMBER(FIND("-", BR38)), LEFT(BR38, FIND("-", BR38) - 1), BR38)</f>
        <v>D21</v>
      </c>
      <c r="BT38" s="189" t="n">
        <f aca="false">L38-M38+O38</f>
        <v>732.885</v>
      </c>
      <c r="BU38" s="189"/>
    </row>
    <row r="39" customFormat="false" ht="16.4" hidden="false" customHeight="false" outlineLevel="0" collapsed="false">
      <c r="A39" s="140" t="s">
        <v>984</v>
      </c>
      <c r="B39" s="173"/>
      <c r="C39" s="174" t="n">
        <v>45513</v>
      </c>
      <c r="D39" s="173" t="n">
        <v>185</v>
      </c>
      <c r="E39" s="138" t="s">
        <v>94</v>
      </c>
      <c r="F39" s="138" t="s">
        <v>522</v>
      </c>
      <c r="G39" s="140"/>
      <c r="H39" s="173" t="n">
        <v>40069</v>
      </c>
      <c r="I39" s="173" t="n">
        <v>30011</v>
      </c>
      <c r="J39" s="140" t="s">
        <v>760</v>
      </c>
      <c r="K39" s="140"/>
      <c r="L39" s="175" t="n">
        <v>7115.30784</v>
      </c>
      <c r="M39" s="175" t="n">
        <v>3397.536</v>
      </c>
      <c r="N39" s="175" t="n">
        <v>3600</v>
      </c>
      <c r="O39" s="175" t="n">
        <v>0</v>
      </c>
      <c r="P39" s="175"/>
      <c r="Q39" s="176" t="n">
        <v>1</v>
      </c>
      <c r="R39" s="138" t="n">
        <v>2</v>
      </c>
      <c r="S39" s="177" t="n">
        <v>3.3</v>
      </c>
      <c r="T39" s="215" t="n">
        <v>1.375</v>
      </c>
      <c r="U39" s="178" t="n">
        <v>0.28357864079936</v>
      </c>
      <c r="V39" s="177" t="n">
        <v>1020.8831068777</v>
      </c>
      <c r="W39" s="177" t="n">
        <v>33.3975783116395</v>
      </c>
      <c r="X39" s="179" t="n">
        <v>0.0165518966499135</v>
      </c>
      <c r="Y39" s="177" t="n">
        <v>14.5819058823529</v>
      </c>
      <c r="Z39" s="177" t="n">
        <v>21.7</v>
      </c>
      <c r="AA39" s="177" t="n">
        <v>120.192307692308</v>
      </c>
      <c r="AB39" s="177" t="n">
        <v>1214.054898764</v>
      </c>
      <c r="AC39" s="215" t="n">
        <v>0.27</v>
      </c>
      <c r="AD39" s="215" t="s">
        <v>77</v>
      </c>
      <c r="AE39" s="177" t="n">
        <v>1336.5</v>
      </c>
      <c r="AF39" s="177" t="n">
        <v>122.445101236004</v>
      </c>
      <c r="AG39" s="181" t="n">
        <v>0.0916162373632655</v>
      </c>
      <c r="AH39" s="180" t="n">
        <v>1054.28068518934</v>
      </c>
      <c r="AI39" s="181" t="n">
        <v>0.788837025955357</v>
      </c>
      <c r="AJ39" s="181"/>
      <c r="AK39" s="181" t="s">
        <v>984</v>
      </c>
      <c r="AL39" s="182" t="n">
        <v>0.337237471878888</v>
      </c>
      <c r="AN39" s="144" t="e">
        <v>#NAME?</v>
      </c>
      <c r="AO39" s="144" t="e">
        <f aca="false">_xlfn.xlookup(AN39,A:A,F:F)</f>
        <v>#NAME?</v>
      </c>
      <c r="AP39" s="144" t="e">
        <f aca="false">_xlfn.xlookup(AN39,A:A,J:J)</f>
        <v>#NAME?</v>
      </c>
      <c r="AQ39" s="144" t="e">
        <f aca="false">_xlfn.xlookup(AN39,A:A,N:N)+_xlfn.xlookup(AN39,A:A,O:O)</f>
        <v>#NAME?</v>
      </c>
      <c r="AR39" s="150" t="e">
        <f aca="false">_xlfn.xlookup(AN39,A:A,AH:AH)</f>
        <v>#NAME?</v>
      </c>
      <c r="AS39" s="150" t="e">
        <f aca="false">_xlfn.xlookup(AN39,A:A,S:S)</f>
        <v>#NAME?</v>
      </c>
      <c r="AT39" s="150" t="e">
        <f aca="false">_xlfn.xlookup(AN39,A:A,AE:AE)</f>
        <v>#NAME?</v>
      </c>
      <c r="AU39" s="150" t="e">
        <f aca="false">_xlfn.xlookup(AN39,A:A,AF:AF)</f>
        <v>#NAME?</v>
      </c>
      <c r="AW39" s="216" t="s">
        <v>760</v>
      </c>
      <c r="AX39" s="217" t="e">
        <f aca="false">#VALUE!</f>
        <v>#VALUE!</v>
      </c>
      <c r="AY39" s="225" t="e">
        <f aca="false">#VALUE!</f>
        <v>#VALUE!</v>
      </c>
      <c r="AZ39" s="225" t="e">
        <f aca="false">#VALUE!</f>
        <v>#VALUE!</v>
      </c>
      <c r="BA39" s="225" t="e">
        <f aca="false">#VALUE!</f>
        <v>#VALUE!</v>
      </c>
      <c r="BB39" s="218" t="e">
        <f aca="false">#VALUE!</f>
        <v>#VALUE!</v>
      </c>
      <c r="BC39" s="0"/>
      <c r="BD39" s="0"/>
      <c r="BE39" s="0"/>
      <c r="BF39" s="187"/>
      <c r="BG39" s="144" t="e">
        <v>#NAME?</v>
      </c>
      <c r="BH39" s="152" t="e">
        <f aca="false">_xlfn.xlookup(BG39,A:A,F:F)</f>
        <v>#NAME?</v>
      </c>
      <c r="BI39" s="144" t="e">
        <f aca="false">_xlfn.xlookup(BG39,A:A,J:J)</f>
        <v>#NAME?</v>
      </c>
      <c r="BJ39" s="153" t="e">
        <f aca="false">_xlfn.xlookup(BG39,A:A,N:N)+_xlfn.xlookup(BG39,A:A,O:O)</f>
        <v>#NAME?</v>
      </c>
      <c r="BK39" s="153" t="e">
        <f aca="false">_xlfn.xlookup(BG39,$A$3:$A$997,$AB$3:$AB$997)</f>
        <v>#NAME?</v>
      </c>
      <c r="BM39" s="194" t="s">
        <v>85</v>
      </c>
      <c r="BN39" s="195" t="e">
        <f aca="false">#VALUE!</f>
        <v>#VALUE!</v>
      </c>
      <c r="BO39" s="197" t="e">
        <f aca="false">#VALUE!</f>
        <v>#VALUE!</v>
      </c>
      <c r="BQ39" s="144" t="str">
        <f aca="false">IF(VALUE(MONTH(C39))&lt;10,YEAR(C39)&amp;"-0"&amp;MONTH(C39),YEAR(C39)&amp;"-"&amp;MONTH(C39))</f>
        <v>2024-08</v>
      </c>
      <c r="BR39" s="144" t="str">
        <f aca="false">J39</f>
        <v>S21-1</v>
      </c>
      <c r="BS39" s="144" t="str">
        <f aca="false">IF(ISNUMBER(FIND("-", BR39)), LEFT(BR39, FIND("-", BR39) - 1), BR39)</f>
        <v>S21</v>
      </c>
      <c r="BT39" s="189" t="n">
        <f aca="false">L39-M39+O39</f>
        <v>3717.77184</v>
      </c>
      <c r="BU39" s="189"/>
    </row>
    <row r="40" customFormat="false" ht="16.4" hidden="false" customHeight="false" outlineLevel="0" collapsed="false">
      <c r="A40" s="140" t="s">
        <v>985</v>
      </c>
      <c r="B40" s="173"/>
      <c r="C40" s="174" t="n">
        <v>45516</v>
      </c>
      <c r="D40" s="173" t="n">
        <v>186</v>
      </c>
      <c r="E40" s="138" t="s">
        <v>94</v>
      </c>
      <c r="F40" s="138" t="s">
        <v>522</v>
      </c>
      <c r="G40" s="140"/>
      <c r="H40" s="173" t="n">
        <v>40067</v>
      </c>
      <c r="I40" s="173" t="n">
        <v>30015</v>
      </c>
      <c r="J40" s="140" t="s">
        <v>762</v>
      </c>
      <c r="K40" s="140"/>
      <c r="L40" s="175" t="n">
        <v>14229.8928</v>
      </c>
      <c r="M40" s="175" t="n">
        <v>10482</v>
      </c>
      <c r="N40" s="175" t="n">
        <v>3600</v>
      </c>
      <c r="O40" s="175" t="n">
        <v>0</v>
      </c>
      <c r="P40" s="175"/>
      <c r="Q40" s="176" t="n">
        <v>0</v>
      </c>
      <c r="R40" s="138" t="n">
        <v>2.5</v>
      </c>
      <c r="S40" s="177" t="n">
        <v>3.3</v>
      </c>
      <c r="T40" s="215" t="n">
        <v>1.375</v>
      </c>
      <c r="U40" s="178" t="n">
        <v>0.268854241086576</v>
      </c>
      <c r="V40" s="177" t="n">
        <v>967.875267911675</v>
      </c>
      <c r="W40" s="177" t="n">
        <v>39.7616065061687</v>
      </c>
      <c r="X40" s="179" t="n">
        <v>0.0103931071075953</v>
      </c>
      <c r="Y40" s="177" t="n">
        <v>14.5819058823529</v>
      </c>
      <c r="Z40" s="177" t="n">
        <v>0</v>
      </c>
      <c r="AA40" s="177" t="n">
        <v>150.240384615385</v>
      </c>
      <c r="AB40" s="177" t="n">
        <v>1175.75916491558</v>
      </c>
      <c r="AC40" s="215" t="n">
        <v>0.28</v>
      </c>
      <c r="AD40" s="215" t="s">
        <v>77</v>
      </c>
      <c r="AE40" s="177" t="n">
        <v>1386</v>
      </c>
      <c r="AF40" s="177" t="n">
        <v>210.240835084419</v>
      </c>
      <c r="AG40" s="181" t="n">
        <v>0.151688914202322</v>
      </c>
      <c r="AH40" s="180" t="n">
        <v>1007.63687441784</v>
      </c>
      <c r="AI40" s="181" t="n">
        <v>0.727010731903206</v>
      </c>
      <c r="AJ40" s="181"/>
      <c r="AK40" s="181" t="s">
        <v>985</v>
      </c>
      <c r="AL40" s="182" t="n">
        <v>0.326599768032106</v>
      </c>
      <c r="AN40" s="144" t="e">
        <v>#NAME?</v>
      </c>
      <c r="AO40" s="144" t="e">
        <f aca="false">_xlfn.xlookup(AN40,A:A,F:F)</f>
        <v>#NAME?</v>
      </c>
      <c r="AP40" s="144" t="e">
        <f aca="false">_xlfn.xlookup(AN40,A:A,J:J)</f>
        <v>#NAME?</v>
      </c>
      <c r="AQ40" s="144" t="e">
        <f aca="false">_xlfn.xlookup(AN40,A:A,N:N)+_xlfn.xlookup(AN40,A:A,O:O)</f>
        <v>#NAME?</v>
      </c>
      <c r="AR40" s="150" t="e">
        <f aca="false">_xlfn.xlookup(AN40,A:A,AH:AH)</f>
        <v>#NAME?</v>
      </c>
      <c r="AS40" s="150" t="e">
        <f aca="false">_xlfn.xlookup(AN40,A:A,S:S)</f>
        <v>#NAME?</v>
      </c>
      <c r="AT40" s="150" t="e">
        <f aca="false">_xlfn.xlookup(AN40,A:A,AE:AE)</f>
        <v>#NAME?</v>
      </c>
      <c r="AU40" s="150" t="e">
        <f aca="false">_xlfn.xlookup(AN40,A:A,AF:AF)</f>
        <v>#NAME?</v>
      </c>
      <c r="AW40" s="194" t="s">
        <v>194</v>
      </c>
      <c r="AX40" s="195" t="e">
        <f aca="false">#VALUE!</f>
        <v>#VALUE!</v>
      </c>
      <c r="AY40" s="196" t="e">
        <f aca="false">#VALUE!</f>
        <v>#VALUE!</v>
      </c>
      <c r="AZ40" s="196" t="e">
        <f aca="false">#VALUE!</f>
        <v>#VALUE!</v>
      </c>
      <c r="BA40" s="196" t="e">
        <f aca="false">#VALUE!</f>
        <v>#VALUE!</v>
      </c>
      <c r="BB40" s="197" t="e">
        <f aca="false">#VALUE!</f>
        <v>#VALUE!</v>
      </c>
      <c r="BC40" s="0"/>
      <c r="BD40" s="0"/>
      <c r="BE40" s="0"/>
      <c r="BF40" s="187"/>
      <c r="BG40" s="144" t="e">
        <v>#NAME?</v>
      </c>
      <c r="BH40" s="152" t="e">
        <f aca="false">_xlfn.xlookup(BG40,A:A,F:F)</f>
        <v>#NAME?</v>
      </c>
      <c r="BI40" s="144" t="e">
        <f aca="false">_xlfn.xlookup(BG40,A:A,J:J)</f>
        <v>#NAME?</v>
      </c>
      <c r="BJ40" s="153" t="e">
        <f aca="false">_xlfn.xlookup(BG40,A:A,N:N)+_xlfn.xlookup(BG40,A:A,O:O)</f>
        <v>#NAME?</v>
      </c>
      <c r="BK40" s="153" t="e">
        <f aca="false">_xlfn.xlookup(BG40,$A$3:$A$997,$AB$3:$AB$997)</f>
        <v>#NAME?</v>
      </c>
      <c r="BM40" s="205" t="s">
        <v>768</v>
      </c>
      <c r="BN40" s="206" t="e">
        <f aca="false">#VALUE!</f>
        <v>#VALUE!</v>
      </c>
      <c r="BO40" s="208" t="e">
        <f aca="false">#VALUE!</f>
        <v>#VALUE!</v>
      </c>
      <c r="BQ40" s="144" t="str">
        <f aca="false">IF(VALUE(MONTH(C40))&lt;10,YEAR(C40)&amp;"-0"&amp;MONTH(C40),YEAR(C40)&amp;"-"&amp;MONTH(C40))</f>
        <v>2024-08</v>
      </c>
      <c r="BR40" s="144" t="str">
        <f aca="false">J40</f>
        <v>S15-3</v>
      </c>
      <c r="BS40" s="144" t="str">
        <f aca="false">IF(ISNUMBER(FIND("-", BR40)), LEFT(BR40, FIND("-", BR40) - 1), BR40)</f>
        <v>S15</v>
      </c>
      <c r="BT40" s="189" t="n">
        <f aca="false">L40-M40+O40</f>
        <v>3747.8928</v>
      </c>
      <c r="BU40" s="189"/>
    </row>
    <row r="41" customFormat="false" ht="16.4" hidden="false" customHeight="false" outlineLevel="0" collapsed="false">
      <c r="A41" s="140" t="s">
        <v>986</v>
      </c>
      <c r="B41" s="173"/>
      <c r="C41" s="174" t="n">
        <v>45517</v>
      </c>
      <c r="D41" s="173" t="n">
        <v>187</v>
      </c>
      <c r="E41" s="138" t="s">
        <v>96</v>
      </c>
      <c r="F41" s="138" t="s">
        <v>582</v>
      </c>
      <c r="G41" s="140"/>
      <c r="H41" s="173" t="n">
        <v>40071</v>
      </c>
      <c r="I41" s="173" t="n">
        <v>30012</v>
      </c>
      <c r="J41" s="140" t="s">
        <v>908</v>
      </c>
      <c r="K41" s="140"/>
      <c r="L41" s="175" t="n">
        <v>648</v>
      </c>
      <c r="M41" s="175" t="n">
        <v>0</v>
      </c>
      <c r="N41" s="175" t="n">
        <v>445</v>
      </c>
      <c r="O41" s="175"/>
      <c r="P41" s="175"/>
      <c r="Q41" s="176" t="n">
        <v>0</v>
      </c>
      <c r="R41" s="138" t="n">
        <v>1.5</v>
      </c>
      <c r="S41" s="177" t="n">
        <v>0</v>
      </c>
      <c r="T41" s="215"/>
      <c r="U41" s="178" t="n">
        <v>0.327974576595346</v>
      </c>
      <c r="V41" s="177" t="n">
        <v>145.948686584929</v>
      </c>
      <c r="W41" s="177" t="n">
        <v>66.5788390488553</v>
      </c>
      <c r="X41" s="179" t="n">
        <v>0.313271604938272</v>
      </c>
      <c r="Y41" s="177" t="n">
        <v>2.09007317647059</v>
      </c>
      <c r="Z41" s="177" t="n">
        <v>0</v>
      </c>
      <c r="AA41" s="177" t="n">
        <v>90.1442307692308</v>
      </c>
      <c r="AB41" s="177" t="n">
        <v>304.761829579486</v>
      </c>
      <c r="AC41" s="215" t="n">
        <v>0</v>
      </c>
      <c r="AD41" s="215" t="s">
        <v>88</v>
      </c>
      <c r="AE41" s="177" t="n">
        <v>0</v>
      </c>
      <c r="AF41" s="177" t="n">
        <v>-304.761829579486</v>
      </c>
      <c r="AG41" s="181"/>
      <c r="AH41" s="180" t="n">
        <v>212.527525633784</v>
      </c>
      <c r="AI41" s="181"/>
      <c r="AJ41" s="181" t="s">
        <v>895</v>
      </c>
      <c r="AK41" s="181" t="s">
        <v>986</v>
      </c>
      <c r="AL41" s="182" t="n">
        <v>0.684858043998844</v>
      </c>
      <c r="AN41" s="144" t="e">
        <v>#NAME?</v>
      </c>
      <c r="AO41" s="144" t="e">
        <f aca="false">_xlfn.xlookup(AN41,A:A,F:F)</f>
        <v>#NAME?</v>
      </c>
      <c r="AP41" s="144" t="e">
        <f aca="false">_xlfn.xlookup(AN41,A:A,J:J)</f>
        <v>#NAME?</v>
      </c>
      <c r="AQ41" s="144" t="e">
        <f aca="false">_xlfn.xlookup(AN41,A:A,N:N)+_xlfn.xlookup(AN41,A:A,O:O)</f>
        <v>#NAME?</v>
      </c>
      <c r="AR41" s="150" t="e">
        <f aca="false">_xlfn.xlookup(AN41,A:A,AH:AH)</f>
        <v>#NAME?</v>
      </c>
      <c r="AS41" s="150" t="e">
        <f aca="false">_xlfn.xlookup(AN41,A:A,S:S)</f>
        <v>#NAME?</v>
      </c>
      <c r="AT41" s="150" t="e">
        <f aca="false">_xlfn.xlookup(AN41,A:A,AE:AE)</f>
        <v>#NAME?</v>
      </c>
      <c r="AU41" s="150" t="e">
        <f aca="false">_xlfn.xlookup(AN41,A:A,AF:AF)</f>
        <v>#NAME?</v>
      </c>
      <c r="AW41" s="205" t="s">
        <v>740</v>
      </c>
      <c r="AX41" s="206" t="e">
        <f aca="false">#VALUE!</f>
        <v>#VALUE!</v>
      </c>
      <c r="AY41" s="207" t="e">
        <f aca="false">#VALUE!</f>
        <v>#VALUE!</v>
      </c>
      <c r="AZ41" s="207" t="e">
        <f aca="false">#VALUE!</f>
        <v>#VALUE!</v>
      </c>
      <c r="BA41" s="207" t="e">
        <f aca="false">#VALUE!</f>
        <v>#VALUE!</v>
      </c>
      <c r="BB41" s="208" t="e">
        <f aca="false">#VALUE!</f>
        <v>#VALUE!</v>
      </c>
      <c r="BC41" s="0"/>
      <c r="BD41" s="0"/>
      <c r="BE41" s="0"/>
      <c r="BF41" s="187"/>
      <c r="BG41" s="144" t="e">
        <v>#NAME?</v>
      </c>
      <c r="BH41" s="152" t="e">
        <f aca="false">_xlfn.xlookup(BG41,A:A,F:F)</f>
        <v>#NAME?</v>
      </c>
      <c r="BI41" s="144" t="e">
        <f aca="false">_xlfn.xlookup(BG41,A:A,J:J)</f>
        <v>#NAME?</v>
      </c>
      <c r="BJ41" s="153" t="e">
        <f aca="false">_xlfn.xlookup(BG41,A:A,N:N)+_xlfn.xlookup(BG41,A:A,O:O)</f>
        <v>#NAME?</v>
      </c>
      <c r="BK41" s="153" t="e">
        <f aca="false">_xlfn.xlookup(BG41,$A$3:$A$997,$AB$3:$AB$997)</f>
        <v>#NAME?</v>
      </c>
      <c r="BM41" s="216" t="s">
        <v>906</v>
      </c>
      <c r="BN41" s="217" t="e">
        <f aca="false">#VALUE!</f>
        <v>#VALUE!</v>
      </c>
      <c r="BO41" s="218" t="e">
        <f aca="false">#VALUE!</f>
        <v>#VALUE!</v>
      </c>
      <c r="BQ41" s="144" t="str">
        <f aca="false">IF(VALUE(MONTH(C41))&lt;10,YEAR(C41)&amp;"-0"&amp;MONTH(C41),YEAR(C41)&amp;"-"&amp;MONTH(C41))</f>
        <v>2024-08</v>
      </c>
      <c r="BR41" s="144" t="str">
        <f aca="false">J41</f>
        <v>D21-1</v>
      </c>
      <c r="BS41" s="144" t="str">
        <f aca="false">IF(ISNUMBER(FIND("-", BR41)), LEFT(BR41, FIND("-", BR41) - 1), BR41)</f>
        <v>D21</v>
      </c>
      <c r="BT41" s="189" t="n">
        <f aca="false">L41-M41+O41</f>
        <v>648</v>
      </c>
      <c r="BU41" s="189"/>
    </row>
    <row r="42" customFormat="false" ht="16.4" hidden="false" customHeight="false" outlineLevel="0" collapsed="false">
      <c r="A42" s="140" t="s">
        <v>987</v>
      </c>
      <c r="B42" s="173"/>
      <c r="C42" s="174" t="n">
        <v>45520</v>
      </c>
      <c r="D42" s="173" t="n">
        <v>189</v>
      </c>
      <c r="E42" s="138" t="s">
        <v>91</v>
      </c>
      <c r="F42" s="138" t="s">
        <v>91</v>
      </c>
      <c r="G42" s="140"/>
      <c r="H42" s="173" t="n">
        <v>40072</v>
      </c>
      <c r="I42" s="173" t="n">
        <v>30017</v>
      </c>
      <c r="J42" s="140" t="s">
        <v>768</v>
      </c>
      <c r="K42" s="140"/>
      <c r="L42" s="175" t="n">
        <v>14348.44512</v>
      </c>
      <c r="M42" s="175" t="n">
        <v>13635</v>
      </c>
      <c r="N42" s="175" t="n">
        <v>600</v>
      </c>
      <c r="O42" s="175"/>
      <c r="P42" s="175"/>
      <c r="Q42" s="176" t="n">
        <v>1</v>
      </c>
      <c r="R42" s="138" t="n">
        <v>1</v>
      </c>
      <c r="S42" s="177" t="n">
        <v>65</v>
      </c>
      <c r="T42" s="215"/>
      <c r="U42" s="178" t="n">
        <v>0.326284886247867</v>
      </c>
      <c r="V42" s="177" t="n">
        <v>195.77093174872</v>
      </c>
      <c r="W42" s="177" t="n">
        <v>37.0154280745757</v>
      </c>
      <c r="X42" s="179" t="n">
        <v>0.00790643996971292</v>
      </c>
      <c r="Y42" s="177" t="n">
        <v>2.43031764705882</v>
      </c>
      <c r="Z42" s="177" t="n">
        <v>21.7</v>
      </c>
      <c r="AA42" s="177" t="n">
        <v>60.0961538461539</v>
      </c>
      <c r="AB42" s="177" t="n">
        <v>382.012831316508</v>
      </c>
      <c r="AC42" s="215" t="n">
        <v>0</v>
      </c>
      <c r="AD42" s="215" t="s">
        <v>88</v>
      </c>
      <c r="AE42" s="177" t="n">
        <v>0</v>
      </c>
      <c r="AF42" s="177" t="n">
        <v>-382.012831316508</v>
      </c>
      <c r="AG42" s="181"/>
      <c r="AH42" s="180" t="n">
        <v>232.786359823296</v>
      </c>
      <c r="AI42" s="181"/>
      <c r="AJ42" s="181" t="s">
        <v>895</v>
      </c>
      <c r="AK42" s="181" t="s">
        <v>987</v>
      </c>
      <c r="AL42" s="182" t="n">
        <v>0.636688052194181</v>
      </c>
      <c r="AN42" s="144" t="e">
        <v>#NAME?</v>
      </c>
      <c r="AO42" s="144" t="e">
        <f aca="false">_xlfn.xlookup(AN42,A:A,F:F)</f>
        <v>#NAME?</v>
      </c>
      <c r="AP42" s="144" t="e">
        <f aca="false">_xlfn.xlookup(AN42,A:A,J:J)</f>
        <v>#NAME?</v>
      </c>
      <c r="AQ42" s="144" t="e">
        <f aca="false">_xlfn.xlookup(AN42,A:A,N:N)+_xlfn.xlookup(AN42,A:A,O:O)</f>
        <v>#NAME?</v>
      </c>
      <c r="AR42" s="150" t="e">
        <f aca="false">_xlfn.xlookup(AN42,A:A,AH:AH)</f>
        <v>#NAME?</v>
      </c>
      <c r="AS42" s="150" t="e">
        <f aca="false">_xlfn.xlookup(AN42,A:A,S:S)</f>
        <v>#NAME?</v>
      </c>
      <c r="AT42" s="150" t="e">
        <f aca="false">_xlfn.xlookup(AN42,A:A,AE:AE)</f>
        <v>#NAME?</v>
      </c>
      <c r="AU42" s="150" t="e">
        <f aca="false">_xlfn.xlookup(AN42,A:A,AF:AF)</f>
        <v>#NAME?</v>
      </c>
      <c r="AW42" s="205" t="s">
        <v>908</v>
      </c>
      <c r="AX42" s="206" t="e">
        <f aca="false">#VALUE!</f>
        <v>#VALUE!</v>
      </c>
      <c r="AY42" s="207" t="e">
        <f aca="false">#VALUE!</f>
        <v>#VALUE!</v>
      </c>
      <c r="AZ42" s="207" t="e">
        <f aca="false">#VALUE!</f>
        <v>#VALUE!</v>
      </c>
      <c r="BA42" s="207" t="e">
        <f aca="false">#VALUE!</f>
        <v>#VALUE!</v>
      </c>
      <c r="BB42" s="208" t="e">
        <f aca="false">#VALUE!</f>
        <v>#VALUE!</v>
      </c>
      <c r="BC42" s="0"/>
      <c r="BD42" s="0"/>
      <c r="BE42" s="0"/>
      <c r="BF42" s="187"/>
      <c r="BG42" s="144" t="e">
        <v>#NAME?</v>
      </c>
      <c r="BH42" s="152" t="e">
        <f aca="false">_xlfn.xlookup(BG42,A:A,F:F)</f>
        <v>#NAME?</v>
      </c>
      <c r="BI42" s="144" t="e">
        <f aca="false">_xlfn.xlookup(BG42,A:A,J:J)</f>
        <v>#NAME?</v>
      </c>
      <c r="BJ42" s="153" t="e">
        <f aca="false">_xlfn.xlookup(BG42,A:A,N:N)+_xlfn.xlookup(BG42,A:A,O:O)</f>
        <v>#NAME?</v>
      </c>
      <c r="BK42" s="153" t="e">
        <f aca="false">_xlfn.xlookup(BG42,$A$3:$A$997,$AB$3:$AB$997)</f>
        <v>#NAME?</v>
      </c>
      <c r="BM42" s="194" t="s">
        <v>977</v>
      </c>
      <c r="BN42" s="195" t="e">
        <f aca="false">#VALUE!</f>
        <v>#VALUE!</v>
      </c>
      <c r="BO42" s="197" t="e">
        <f aca="false">#VALUE!</f>
        <v>#VALUE!</v>
      </c>
      <c r="BQ42" s="144" t="str">
        <f aca="false">IF(VALUE(MONTH(C42))&lt;10,YEAR(C42)&amp;"-0"&amp;MONTH(C42),YEAR(C42)&amp;"-"&amp;MONTH(C42))</f>
        <v>2024-08</v>
      </c>
      <c r="BR42" s="144" t="str">
        <f aca="false">J42</f>
        <v>B25-3</v>
      </c>
      <c r="BS42" s="144" t="str">
        <f aca="false">IF(ISNUMBER(FIND("-", BR42)), LEFT(BR42, FIND("-", BR42) - 1), BR42)</f>
        <v>B25</v>
      </c>
      <c r="BT42" s="189" t="n">
        <f aca="false">L42-M42+O42</f>
        <v>713.44512</v>
      </c>
      <c r="BU42" s="189"/>
    </row>
    <row r="43" customFormat="false" ht="16.4" hidden="false" customHeight="false" outlineLevel="0" collapsed="false">
      <c r="A43" s="140" t="s">
        <v>988</v>
      </c>
      <c r="B43" s="173"/>
      <c r="C43" s="174" t="n">
        <v>45520</v>
      </c>
      <c r="D43" s="173" t="n">
        <v>190</v>
      </c>
      <c r="E43" s="138" t="s">
        <v>96</v>
      </c>
      <c r="F43" s="138" t="s">
        <v>582</v>
      </c>
      <c r="G43" s="140"/>
      <c r="H43" s="173" t="n">
        <v>40073</v>
      </c>
      <c r="I43" s="173" t="n">
        <v>30017</v>
      </c>
      <c r="J43" s="140" t="s">
        <v>768</v>
      </c>
      <c r="K43" s="140"/>
      <c r="L43" s="175" t="n">
        <v>14348.44512</v>
      </c>
      <c r="M43" s="175" t="n">
        <v>13950</v>
      </c>
      <c r="N43" s="175" t="n">
        <v>285</v>
      </c>
      <c r="O43" s="175"/>
      <c r="P43" s="175"/>
      <c r="Q43" s="176" t="n">
        <v>0</v>
      </c>
      <c r="R43" s="138" t="n">
        <v>1</v>
      </c>
      <c r="S43" s="177" t="n">
        <v>0</v>
      </c>
      <c r="T43" s="215"/>
      <c r="U43" s="178" t="n">
        <v>0.326284886247867</v>
      </c>
      <c r="V43" s="177" t="n">
        <v>92.991192580642</v>
      </c>
      <c r="W43" s="177" t="n">
        <v>37.0154280745757</v>
      </c>
      <c r="X43" s="179" t="n">
        <v>0.00790643996971292</v>
      </c>
      <c r="Y43" s="177" t="n">
        <v>1.15440088235294</v>
      </c>
      <c r="Z43" s="177" t="n">
        <v>0</v>
      </c>
      <c r="AA43" s="177" t="n">
        <v>60.0961538461539</v>
      </c>
      <c r="AB43" s="177" t="n">
        <v>191.257175383725</v>
      </c>
      <c r="AC43" s="215" t="n">
        <v>0</v>
      </c>
      <c r="AD43" s="215" t="s">
        <v>88</v>
      </c>
      <c r="AE43" s="177" t="n">
        <v>0</v>
      </c>
      <c r="AF43" s="177" t="n">
        <v>-191.257175383725</v>
      </c>
      <c r="AG43" s="181"/>
      <c r="AH43" s="180" t="n">
        <v>130.006620655218</v>
      </c>
      <c r="AI43" s="181"/>
      <c r="AJ43" s="181" t="s">
        <v>895</v>
      </c>
      <c r="AK43" s="181" t="s">
        <v>988</v>
      </c>
      <c r="AL43" s="182" t="n">
        <v>0.671077808363946</v>
      </c>
      <c r="AN43" s="144" t="e">
        <v>#NAME?</v>
      </c>
      <c r="AO43" s="144" t="e">
        <f aca="false">_xlfn.xlookup(AN43,A:A,F:F)</f>
        <v>#NAME?</v>
      </c>
      <c r="AP43" s="144" t="e">
        <f aca="false">_xlfn.xlookup(AN43,A:A,J:J)</f>
        <v>#NAME?</v>
      </c>
      <c r="AQ43" s="144" t="e">
        <f aca="false">_xlfn.xlookup(AN43,A:A,N:N)+_xlfn.xlookup(AN43,A:A,O:O)</f>
        <v>#NAME?</v>
      </c>
      <c r="AR43" s="150" t="e">
        <f aca="false">_xlfn.xlookup(AN43,A:A,AH:AH)</f>
        <v>#NAME?</v>
      </c>
      <c r="AS43" s="150" t="e">
        <f aca="false">_xlfn.xlookup(AN43,A:A,S:S)</f>
        <v>#NAME?</v>
      </c>
      <c r="AT43" s="150" t="e">
        <f aca="false">_xlfn.xlookup(AN43,A:A,AE:AE)</f>
        <v>#NAME?</v>
      </c>
      <c r="AU43" s="150" t="e">
        <f aca="false">_xlfn.xlookup(AN43,A:A,AF:AF)</f>
        <v>#NAME?</v>
      </c>
      <c r="AW43" s="216" t="s">
        <v>754</v>
      </c>
      <c r="AX43" s="217" t="e">
        <f aca="false">#VALUE!</f>
        <v>#VALUE!</v>
      </c>
      <c r="AY43" s="225" t="e">
        <f aca="false">#VALUE!</f>
        <v>#VALUE!</v>
      </c>
      <c r="AZ43" s="225" t="e">
        <f aca="false">#VALUE!</f>
        <v>#VALUE!</v>
      </c>
      <c r="BA43" s="225" t="e">
        <f aca="false">#VALUE!</f>
        <v>#VALUE!</v>
      </c>
      <c r="BB43" s="218" t="e">
        <f aca="false">#VALUE!</f>
        <v>#VALUE!</v>
      </c>
      <c r="BC43" s="0"/>
      <c r="BD43" s="0"/>
      <c r="BE43" s="0"/>
      <c r="BF43" s="187"/>
      <c r="BG43" s="144" t="e">
        <v>#NAME?</v>
      </c>
      <c r="BH43" s="152" t="e">
        <f aca="false">_xlfn.xlookup(BG43,A:A,F:F)</f>
        <v>#NAME?</v>
      </c>
      <c r="BI43" s="144" t="e">
        <f aca="false">_xlfn.xlookup(BG43,A:A,J:J)</f>
        <v>#NAME?</v>
      </c>
      <c r="BJ43" s="153" t="e">
        <f aca="false">_xlfn.xlookup(BG43,A:A,N:N)+_xlfn.xlookup(BG43,A:A,O:O)</f>
        <v>#NAME?</v>
      </c>
      <c r="BK43" s="153" t="e">
        <f aca="false">_xlfn.xlookup(BG43,$A$3:$A$997,$AB$3:$AB$997)</f>
        <v>#NAME?</v>
      </c>
      <c r="BM43" s="205" t="s">
        <v>768</v>
      </c>
      <c r="BN43" s="206" t="e">
        <f aca="false">#VALUE!</f>
        <v>#VALUE!</v>
      </c>
      <c r="BO43" s="208" t="e">
        <f aca="false">#VALUE!</f>
        <v>#VALUE!</v>
      </c>
      <c r="BQ43" s="144" t="str">
        <f aca="false">IF(VALUE(MONTH(C43))&lt;10,YEAR(C43)&amp;"-0"&amp;MONTH(C43),YEAR(C43)&amp;"-"&amp;MONTH(C43))</f>
        <v>2024-08</v>
      </c>
      <c r="BR43" s="144" t="str">
        <f aca="false">J43</f>
        <v>B25-3</v>
      </c>
      <c r="BS43" s="144" t="str">
        <f aca="false">IF(ISNUMBER(FIND("-", BR43)), LEFT(BR43, FIND("-", BR43) - 1), BR43)</f>
        <v>B25</v>
      </c>
      <c r="BT43" s="189" t="n">
        <f aca="false">L43-M43+O43</f>
        <v>398.44512</v>
      </c>
      <c r="BU43" s="189"/>
    </row>
    <row r="44" customFormat="false" ht="16.4" hidden="false" customHeight="false" outlineLevel="0" collapsed="false">
      <c r="A44" s="140" t="s">
        <v>989</v>
      </c>
      <c r="B44" s="173"/>
      <c r="C44" s="174" t="n">
        <v>45520</v>
      </c>
      <c r="D44" s="173" t="n">
        <v>191</v>
      </c>
      <c r="E44" s="138" t="s">
        <v>115</v>
      </c>
      <c r="F44" s="138" t="s">
        <v>943</v>
      </c>
      <c r="G44" s="140"/>
      <c r="H44" s="173" t="n">
        <v>40074</v>
      </c>
      <c r="I44" s="173" t="n">
        <v>30012</v>
      </c>
      <c r="J44" s="140" t="s">
        <v>908</v>
      </c>
      <c r="K44" s="140"/>
      <c r="L44" s="175" t="n">
        <v>1143.12</v>
      </c>
      <c r="M44" s="175" t="n">
        <v>670.8</v>
      </c>
      <c r="N44" s="175" t="n">
        <v>451.5</v>
      </c>
      <c r="O44" s="175"/>
      <c r="P44" s="175"/>
      <c r="Q44" s="176" t="n">
        <v>1</v>
      </c>
      <c r="R44" s="138" t="n">
        <v>1</v>
      </c>
      <c r="S44" s="177" t="n">
        <v>65</v>
      </c>
      <c r="T44" s="215"/>
      <c r="U44" s="178" t="n">
        <v>0.327974576595346</v>
      </c>
      <c r="V44" s="177" t="n">
        <v>148.080521332799</v>
      </c>
      <c r="W44" s="177" t="n">
        <v>6.82843068471516</v>
      </c>
      <c r="X44" s="179" t="n">
        <v>0.0182133109384843</v>
      </c>
      <c r="Y44" s="177" t="n">
        <v>2.12652794117647</v>
      </c>
      <c r="Z44" s="177" t="n">
        <v>21.7</v>
      </c>
      <c r="AA44" s="177" t="n">
        <v>60.0961538461539</v>
      </c>
      <c r="AB44" s="177" t="n">
        <v>303.831633804844</v>
      </c>
      <c r="AC44" s="215" t="n">
        <v>0</v>
      </c>
      <c r="AD44" s="215" t="s">
        <v>88</v>
      </c>
      <c r="AE44" s="177" t="n">
        <v>0</v>
      </c>
      <c r="AF44" s="177" t="n">
        <v>-303.831633804844</v>
      </c>
      <c r="AG44" s="181"/>
      <c r="AH44" s="180" t="n">
        <v>154.908952017514</v>
      </c>
      <c r="AI44" s="181"/>
      <c r="AJ44" s="181" t="s">
        <v>895</v>
      </c>
      <c r="AK44" s="181" t="s">
        <v>989</v>
      </c>
      <c r="AL44" s="182" t="n">
        <v>0.672938280852368</v>
      </c>
      <c r="AN44" s="144" t="e">
        <v>#NAME?</v>
      </c>
      <c r="AO44" s="144" t="e">
        <f aca="false">_xlfn.xlookup(AN44,A:A,F:F)</f>
        <v>#NAME?</v>
      </c>
      <c r="AP44" s="144" t="e">
        <f aca="false">_xlfn.xlookup(AN44,A:A,J:J)</f>
        <v>#NAME?</v>
      </c>
      <c r="AQ44" s="144" t="e">
        <f aca="false">_xlfn.xlookup(AN44,A:A,N:N)+_xlfn.xlookup(AN44,A:A,O:O)</f>
        <v>#NAME?</v>
      </c>
      <c r="AR44" s="150" t="e">
        <f aca="false">_xlfn.xlookup(AN44,A:A,AH:AH)</f>
        <v>#NAME?</v>
      </c>
      <c r="AS44" s="150" t="e">
        <f aca="false">_xlfn.xlookup(AN44,A:A,S:S)</f>
        <v>#NAME?</v>
      </c>
      <c r="AT44" s="150" t="e">
        <f aca="false">_xlfn.xlookup(AN44,A:A,AE:AE)</f>
        <v>#NAME?</v>
      </c>
      <c r="AU44" s="150" t="e">
        <f aca="false">_xlfn.xlookup(AN44,A:A,AF:AF)</f>
        <v>#NAME?</v>
      </c>
      <c r="AW44" s="194" t="s">
        <v>919</v>
      </c>
      <c r="AX44" s="195" t="e">
        <f aca="false">#VALUE!</f>
        <v>#VALUE!</v>
      </c>
      <c r="AY44" s="196" t="e">
        <f aca="false">#VALUE!</f>
        <v>#VALUE!</v>
      </c>
      <c r="AZ44" s="196" t="e">
        <f aca="false">#VALUE!</f>
        <v>#VALUE!</v>
      </c>
      <c r="BA44" s="196" t="e">
        <f aca="false">#VALUE!</f>
        <v>#VALUE!</v>
      </c>
      <c r="BB44" s="197" t="e">
        <f aca="false">#VALUE!</f>
        <v>#VALUE!</v>
      </c>
      <c r="BC44" s="0"/>
      <c r="BD44" s="0"/>
      <c r="BE44" s="0"/>
      <c r="BF44" s="187"/>
      <c r="BG44" s="144" t="e">
        <v>#NAME?</v>
      </c>
      <c r="BH44" s="152" t="e">
        <f aca="false">_xlfn.xlookup(BG44,A:A,F:F)</f>
        <v>#NAME?</v>
      </c>
      <c r="BI44" s="144" t="e">
        <f aca="false">_xlfn.xlookup(BG44,A:A,J:J)</f>
        <v>#NAME?</v>
      </c>
      <c r="BJ44" s="153" t="e">
        <f aca="false">_xlfn.xlookup(BG44,A:A,N:N)+_xlfn.xlookup(BG44,A:A,O:O)</f>
        <v>#NAME?</v>
      </c>
      <c r="BK44" s="153" t="e">
        <f aca="false">_xlfn.xlookup(BG44,$A$3:$A$997,$AB$3:$AB$997)</f>
        <v>#NAME?</v>
      </c>
      <c r="BM44" s="216" t="s">
        <v>760</v>
      </c>
      <c r="BN44" s="217" t="e">
        <f aca="false">#VALUE!</f>
        <v>#VALUE!</v>
      </c>
      <c r="BO44" s="218" t="e">
        <f aca="false">#VALUE!</f>
        <v>#VALUE!</v>
      </c>
      <c r="BQ44" s="144" t="str">
        <f aca="false">IF(VALUE(MONTH(C44))&lt;10,YEAR(C44)&amp;"-0"&amp;MONTH(C44),YEAR(C44)&amp;"-"&amp;MONTH(C44))</f>
        <v>2024-08</v>
      </c>
      <c r="BR44" s="144" t="str">
        <f aca="false">J44</f>
        <v>D21-1</v>
      </c>
      <c r="BS44" s="144" t="str">
        <f aca="false">IF(ISNUMBER(FIND("-", BR44)), LEFT(BR44, FIND("-", BR44) - 1), BR44)</f>
        <v>D21</v>
      </c>
      <c r="BT44" s="189" t="n">
        <f aca="false">L44-M44+O44</f>
        <v>472.32</v>
      </c>
      <c r="BU44" s="189"/>
    </row>
    <row r="45" customFormat="false" ht="16.4" hidden="false" customHeight="false" outlineLevel="0" collapsed="false">
      <c r="A45" s="140" t="s">
        <v>990</v>
      </c>
      <c r="B45" s="173"/>
      <c r="C45" s="174" t="n">
        <v>45520</v>
      </c>
      <c r="D45" s="173" t="n">
        <v>192</v>
      </c>
      <c r="E45" s="138" t="s">
        <v>104</v>
      </c>
      <c r="F45" s="138" t="s">
        <v>671</v>
      </c>
      <c r="G45" s="140"/>
      <c r="H45" s="173" t="n">
        <v>40075</v>
      </c>
      <c r="I45" s="173" t="n">
        <v>30015</v>
      </c>
      <c r="J45" s="140" t="s">
        <v>762</v>
      </c>
      <c r="K45" s="140"/>
      <c r="L45" s="175" t="n">
        <v>2746.944</v>
      </c>
      <c r="M45" s="175" t="n">
        <v>1170</v>
      </c>
      <c r="N45" s="175" t="n">
        <v>1076</v>
      </c>
      <c r="O45" s="175"/>
      <c r="P45" s="175"/>
      <c r="Q45" s="176" t="n">
        <v>0</v>
      </c>
      <c r="R45" s="138" t="n">
        <v>1</v>
      </c>
      <c r="S45" s="177" t="n">
        <v>70</v>
      </c>
      <c r="T45" s="215"/>
      <c r="U45" s="178" t="n">
        <v>0.268854241086576</v>
      </c>
      <c r="V45" s="177" t="n">
        <v>289.287163409156</v>
      </c>
      <c r="W45" s="177" t="n">
        <v>134.680918946874</v>
      </c>
      <c r="X45" s="179" t="n">
        <v>0.182364110808229</v>
      </c>
      <c r="Y45" s="177" t="n">
        <v>5.58973058823529</v>
      </c>
      <c r="Z45" s="177" t="n">
        <v>0</v>
      </c>
      <c r="AA45" s="177" t="n">
        <v>60.0961538461539</v>
      </c>
      <c r="AB45" s="177" t="n">
        <v>559.653966790419</v>
      </c>
      <c r="AC45" s="215" t="n">
        <v>0</v>
      </c>
      <c r="AD45" s="215" t="s">
        <v>88</v>
      </c>
      <c r="AE45" s="177" t="n">
        <v>0</v>
      </c>
      <c r="AF45" s="177" t="n">
        <v>-559.653966790419</v>
      </c>
      <c r="AG45" s="181"/>
      <c r="AH45" s="180" t="n">
        <v>423.96808235603</v>
      </c>
      <c r="AI45" s="181"/>
      <c r="AJ45" s="181" t="s">
        <v>895</v>
      </c>
      <c r="AK45" s="181" t="s">
        <v>990</v>
      </c>
      <c r="AL45" s="182" t="n">
        <v>0.520124504452063</v>
      </c>
      <c r="AN45" s="144" t="e">
        <v>#NAME?</v>
      </c>
      <c r="AO45" s="144" t="e">
        <f aca="false">_xlfn.xlookup(AN45,A:A,F:F)</f>
        <v>#NAME?</v>
      </c>
      <c r="AP45" s="144" t="e">
        <f aca="false">_xlfn.xlookup(AN45,A:A,J:J)</f>
        <v>#NAME?</v>
      </c>
      <c r="AQ45" s="144" t="e">
        <f aca="false">_xlfn.xlookup(AN45,A:A,N:N)+_xlfn.xlookup(AN45,A:A,O:O)</f>
        <v>#NAME?</v>
      </c>
      <c r="AR45" s="150" t="e">
        <f aca="false">_xlfn.xlookup(AN45,A:A,AH:AH)</f>
        <v>#NAME?</v>
      </c>
      <c r="AS45" s="150" t="e">
        <f aca="false">_xlfn.xlookup(AN45,A:A,S:S)</f>
        <v>#NAME?</v>
      </c>
      <c r="AT45" s="150" t="e">
        <f aca="false">_xlfn.xlookup(AN45,A:A,AE:AE)</f>
        <v>#NAME?</v>
      </c>
      <c r="AU45" s="150" t="e">
        <f aca="false">_xlfn.xlookup(AN45,A:A,AF:AF)</f>
        <v>#NAME?</v>
      </c>
      <c r="AW45" s="205" t="s">
        <v>764</v>
      </c>
      <c r="AX45" s="206" t="e">
        <f aca="false">#VALUE!</f>
        <v>#VALUE!</v>
      </c>
      <c r="AY45" s="207" t="e">
        <f aca="false">#VALUE!</f>
        <v>#VALUE!</v>
      </c>
      <c r="AZ45" s="207" t="e">
        <f aca="false">#VALUE!</f>
        <v>#VALUE!</v>
      </c>
      <c r="BA45" s="207" t="e">
        <f aca="false">#VALUE!</f>
        <v>#VALUE!</v>
      </c>
      <c r="BB45" s="208" t="e">
        <f aca="false">#VALUE!</f>
        <v>#VALUE!</v>
      </c>
      <c r="BC45" s="0"/>
      <c r="BD45" s="0"/>
      <c r="BE45" s="0"/>
      <c r="BF45" s="187"/>
      <c r="BG45" s="144" t="e">
        <v>#NAME?</v>
      </c>
      <c r="BH45" s="152" t="e">
        <f aca="false">_xlfn.xlookup(BG45,A:A,F:F)</f>
        <v>#NAME?</v>
      </c>
      <c r="BI45" s="144" t="e">
        <f aca="false">_xlfn.xlookup(BG45,A:A,J:J)</f>
        <v>#NAME?</v>
      </c>
      <c r="BJ45" s="153" t="e">
        <f aca="false">_xlfn.xlookup(BG45,A:A,N:N)+_xlfn.xlookup(BG45,A:A,O:O)</f>
        <v>#NAME?</v>
      </c>
      <c r="BK45" s="153" t="e">
        <f aca="false">_xlfn.xlookup(BG45,$A$3:$A$997,$AB$3:$AB$997)</f>
        <v>#NAME?</v>
      </c>
      <c r="BM45" s="194" t="s">
        <v>522</v>
      </c>
      <c r="BN45" s="195" t="e">
        <f aca="false">#VALUE!</f>
        <v>#VALUE!</v>
      </c>
      <c r="BO45" s="197" t="e">
        <f aca="false">#VALUE!</f>
        <v>#VALUE!</v>
      </c>
      <c r="BQ45" s="144" t="str">
        <f aca="false">IF(VALUE(MONTH(C45))&lt;10,YEAR(C45)&amp;"-0"&amp;MONTH(C45),YEAR(C45)&amp;"-"&amp;MONTH(C45))</f>
        <v>2024-08</v>
      </c>
      <c r="BR45" s="144" t="str">
        <f aca="false">J45</f>
        <v>S15-3</v>
      </c>
      <c r="BS45" s="144" t="str">
        <f aca="false">IF(ISNUMBER(FIND("-", BR45)), LEFT(BR45, FIND("-", BR45) - 1), BR45)</f>
        <v>S15</v>
      </c>
      <c r="BT45" s="189" t="n">
        <f aca="false">L45-M45+O45</f>
        <v>1576.944</v>
      </c>
      <c r="BU45" s="189"/>
    </row>
    <row r="46" customFormat="false" ht="16.4" hidden="false" customHeight="false" outlineLevel="0" collapsed="false">
      <c r="A46" s="140" t="s">
        <v>991</v>
      </c>
      <c r="B46" s="173"/>
      <c r="C46" s="174" t="n">
        <v>45524</v>
      </c>
      <c r="D46" s="173" t="n">
        <v>193</v>
      </c>
      <c r="E46" s="138" t="s">
        <v>63</v>
      </c>
      <c r="F46" s="138" t="s">
        <v>500</v>
      </c>
      <c r="G46" s="140"/>
      <c r="H46" s="173" t="n">
        <v>40054</v>
      </c>
      <c r="I46" s="173" t="n">
        <v>30013</v>
      </c>
      <c r="J46" s="140" t="s">
        <v>904</v>
      </c>
      <c r="K46" s="140"/>
      <c r="L46" s="175"/>
      <c r="M46" s="175" t="n">
        <v>0</v>
      </c>
      <c r="N46" s="175"/>
      <c r="O46" s="175" t="n">
        <v>13112</v>
      </c>
      <c r="P46" s="175"/>
      <c r="Q46" s="176" t="n">
        <v>5</v>
      </c>
      <c r="R46" s="138" t="n">
        <v>0.5</v>
      </c>
      <c r="S46" s="177" t="n">
        <v>-23.34</v>
      </c>
      <c r="T46" s="215" t="n">
        <v>1.36</v>
      </c>
      <c r="U46" s="178" t="n">
        <v>0.358173933722525</v>
      </c>
      <c r="V46" s="177" t="n">
        <v>4696.37661896975</v>
      </c>
      <c r="W46" s="177" t="n">
        <v>0</v>
      </c>
      <c r="X46" s="179" t="e">
        <f aca="false">#DIV/0!</f>
        <v>#DIV/0!</v>
      </c>
      <c r="Y46" s="177" t="n">
        <v>52.4948611764706</v>
      </c>
      <c r="Z46" s="177" t="n">
        <v>108.5</v>
      </c>
      <c r="AA46" s="177" t="n">
        <v>30.0480769230769</v>
      </c>
      <c r="AB46" s="177" t="n">
        <v>4864.07955706929</v>
      </c>
      <c r="AC46" s="215" t="n">
        <v>0.31</v>
      </c>
      <c r="AD46" s="215" t="s">
        <v>77</v>
      </c>
      <c r="AE46" s="177" t="n">
        <v>5278.6224</v>
      </c>
      <c r="AF46" s="177" t="n">
        <v>414.542842930706</v>
      </c>
      <c r="AG46" s="181" t="n">
        <v>0.0785323918851831</v>
      </c>
      <c r="AH46" s="180" t="n">
        <v>4696.37661896975</v>
      </c>
      <c r="AI46" s="181" t="n">
        <v>0.889697398883797</v>
      </c>
      <c r="AJ46" s="181"/>
      <c r="AK46" s="181" t="s">
        <v>991</v>
      </c>
      <c r="AL46" s="182" t="n">
        <v>0.370963968659952</v>
      </c>
      <c r="AN46" s="144" t="e">
        <v>#NAME?</v>
      </c>
      <c r="AO46" s="144" t="e">
        <f aca="false">_xlfn.xlookup(AN46,A:A,F:F)</f>
        <v>#NAME?</v>
      </c>
      <c r="AP46" s="144" t="e">
        <f aca="false">_xlfn.xlookup(AN46,A:A,J:J)</f>
        <v>#NAME?</v>
      </c>
      <c r="AQ46" s="144" t="e">
        <f aca="false">_xlfn.xlookup(AN46,A:A,N:N)+_xlfn.xlookup(AN46,A:A,O:O)</f>
        <v>#NAME?</v>
      </c>
      <c r="AR46" s="150" t="e">
        <f aca="false">_xlfn.xlookup(AN46,A:A,AH:AH)</f>
        <v>#NAME?</v>
      </c>
      <c r="AS46" s="150" t="e">
        <f aca="false">_xlfn.xlookup(AN46,A:A,S:S)</f>
        <v>#NAME?</v>
      </c>
      <c r="AT46" s="150" t="e">
        <f aca="false">_xlfn.xlookup(AN46,A:A,AE:AE)</f>
        <v>#NAME?</v>
      </c>
      <c r="AU46" s="150" t="e">
        <f aca="false">_xlfn.xlookup(AN46,A:A,AF:AF)</f>
        <v>#NAME?</v>
      </c>
      <c r="AW46" s="205" t="s">
        <v>768</v>
      </c>
      <c r="AX46" s="206" t="e">
        <f aca="false">#VALUE!</f>
        <v>#VALUE!</v>
      </c>
      <c r="AY46" s="207" t="e">
        <f aca="false">#VALUE!</f>
        <v>#VALUE!</v>
      </c>
      <c r="AZ46" s="207" t="e">
        <f aca="false">#VALUE!</f>
        <v>#VALUE!</v>
      </c>
      <c r="BA46" s="207" t="e">
        <f aca="false">#VALUE!</f>
        <v>#VALUE!</v>
      </c>
      <c r="BB46" s="208" t="e">
        <f aca="false">#VALUE!</f>
        <v>#VALUE!</v>
      </c>
      <c r="BC46" s="0"/>
      <c r="BD46" s="0"/>
      <c r="BE46" s="0"/>
      <c r="BF46" s="187"/>
      <c r="BG46" s="144" t="e">
        <v>#NAME?</v>
      </c>
      <c r="BH46" s="152" t="e">
        <f aca="false">_xlfn.xlookup(BG46,A:A,F:F)</f>
        <v>#NAME?</v>
      </c>
      <c r="BI46" s="144" t="e">
        <f aca="false">_xlfn.xlookup(BG46,A:A,J:J)</f>
        <v>#NAME?</v>
      </c>
      <c r="BJ46" s="153" t="e">
        <f aca="false">_xlfn.xlookup(BG46,A:A,N:N)+_xlfn.xlookup(BG46,A:A,O:O)</f>
        <v>#NAME?</v>
      </c>
      <c r="BK46" s="153" t="e">
        <f aca="false">_xlfn.xlookup(BG46,$A$3:$A$997,$AB$3:$AB$997)</f>
        <v>#NAME?</v>
      </c>
      <c r="BM46" s="205" t="s">
        <v>768</v>
      </c>
      <c r="BN46" s="206" t="e">
        <f aca="false">#VALUE!</f>
        <v>#VALUE!</v>
      </c>
      <c r="BO46" s="208" t="e">
        <f aca="false">#VALUE!</f>
        <v>#VALUE!</v>
      </c>
      <c r="BQ46" s="144" t="str">
        <f aca="false">IF(VALUE(MONTH(C46))&lt;10,YEAR(C46)&amp;"-0"&amp;MONTH(C46),YEAR(C46)&amp;"-"&amp;MONTH(C46))</f>
        <v>2024-08</v>
      </c>
      <c r="BR46" s="144" t="str">
        <f aca="false">J46</f>
        <v>D11-1</v>
      </c>
      <c r="BS46" s="144" t="str">
        <f aca="false">IF(ISNUMBER(FIND("-", BR46)), LEFT(BR46, FIND("-", BR46) - 1), BR46)</f>
        <v>D11</v>
      </c>
      <c r="BT46" s="189" t="n">
        <f aca="false">L46-M46+O46</f>
        <v>13112</v>
      </c>
      <c r="BU46" s="189"/>
    </row>
    <row r="47" customFormat="false" ht="16.4" hidden="false" customHeight="false" outlineLevel="0" collapsed="false">
      <c r="A47" s="140" t="s">
        <v>992</v>
      </c>
      <c r="B47" s="173"/>
      <c r="C47" s="174" t="n">
        <v>45525</v>
      </c>
      <c r="D47" s="173" t="n">
        <v>194</v>
      </c>
      <c r="E47" s="138" t="s">
        <v>96</v>
      </c>
      <c r="F47" s="138" t="s">
        <v>582</v>
      </c>
      <c r="G47" s="140"/>
      <c r="H47" s="173" t="n">
        <v>40060</v>
      </c>
      <c r="I47" s="173" t="n">
        <v>30012</v>
      </c>
      <c r="J47" s="140" t="s">
        <v>908</v>
      </c>
      <c r="K47" s="140"/>
      <c r="L47" s="175" t="n">
        <v>7115.30784</v>
      </c>
      <c r="M47" s="175" t="n">
        <v>0</v>
      </c>
      <c r="N47" s="175" t="n">
        <v>6984</v>
      </c>
      <c r="O47" s="175" t="n">
        <v>0</v>
      </c>
      <c r="P47" s="175"/>
      <c r="Q47" s="176" t="n">
        <v>2</v>
      </c>
      <c r="R47" s="138" t="n">
        <v>3.75</v>
      </c>
      <c r="S47" s="177" t="n">
        <v>0</v>
      </c>
      <c r="T47" s="215" t="n">
        <v>1.36</v>
      </c>
      <c r="U47" s="178" t="n">
        <v>0.327974576595346</v>
      </c>
      <c r="V47" s="177" t="n">
        <v>2290.5744429419</v>
      </c>
      <c r="W47" s="177" t="n">
        <v>43.0656332276493</v>
      </c>
      <c r="X47" s="179" t="n">
        <v>0.018454273933424</v>
      </c>
      <c r="Y47" s="177" t="n">
        <v>12.7591676470588</v>
      </c>
      <c r="Z47" s="177" t="n">
        <v>43.4</v>
      </c>
      <c r="AA47" s="177" t="n">
        <v>225.360576923077</v>
      </c>
      <c r="AB47" s="177" t="n">
        <v>2615.15982073968</v>
      </c>
      <c r="AC47" s="215" t="n">
        <v>0.466</v>
      </c>
      <c r="AD47" s="215" t="s">
        <v>88</v>
      </c>
      <c r="AE47" s="177" t="n">
        <v>3254.544</v>
      </c>
      <c r="AF47" s="177" t="n">
        <v>639.384179260317</v>
      </c>
      <c r="AG47" s="181" t="n">
        <v>0.196458913832573</v>
      </c>
      <c r="AH47" s="180" t="n">
        <v>2333.64007616955</v>
      </c>
      <c r="AI47" s="181" t="n">
        <v>0.717040567332796</v>
      </c>
      <c r="AJ47" s="181"/>
      <c r="AK47" s="181" t="s">
        <v>992</v>
      </c>
      <c r="AL47" s="182" t="n">
        <v>0.374450146154021</v>
      </c>
      <c r="AN47" s="144" t="e">
        <v>#NAME?</v>
      </c>
      <c r="AO47" s="144" t="e">
        <f aca="false">_xlfn.xlookup(AN47,A:A,F:F)</f>
        <v>#NAME?</v>
      </c>
      <c r="AP47" s="144" t="e">
        <f aca="false">_xlfn.xlookup(AN47,A:A,J:J)</f>
        <v>#NAME?</v>
      </c>
      <c r="AQ47" s="144" t="e">
        <f aca="false">_xlfn.xlookup(AN47,A:A,N:N)+_xlfn.xlookup(AN47,A:A,O:O)</f>
        <v>#NAME?</v>
      </c>
      <c r="AR47" s="150" t="e">
        <f aca="false">_xlfn.xlookup(AN47,A:A,AH:AH)</f>
        <v>#NAME?</v>
      </c>
      <c r="AS47" s="150" t="e">
        <f aca="false">_xlfn.xlookup(AN47,A:A,S:S)</f>
        <v>#NAME?</v>
      </c>
      <c r="AT47" s="150" t="e">
        <f aca="false">_xlfn.xlookup(AN47,A:A,AE:AE)</f>
        <v>#NAME?</v>
      </c>
      <c r="AU47" s="150" t="e">
        <f aca="false">_xlfn.xlookup(AN47,A:A,AF:AF)</f>
        <v>#NAME?</v>
      </c>
      <c r="AW47" s="205" t="s">
        <v>909</v>
      </c>
      <c r="AX47" s="206" t="e">
        <f aca="false">#VALUE!</f>
        <v>#VALUE!</v>
      </c>
      <c r="AY47" s="207" t="e">
        <f aca="false">#VALUE!</f>
        <v>#VALUE!</v>
      </c>
      <c r="AZ47" s="207" t="e">
        <f aca="false">#VALUE!</f>
        <v>#VALUE!</v>
      </c>
      <c r="BA47" s="207" t="e">
        <f aca="false">#VALUE!</f>
        <v>#VALUE!</v>
      </c>
      <c r="BB47" s="208" t="e">
        <f aca="false">#VALUE!</f>
        <v>#VALUE!</v>
      </c>
      <c r="BC47" s="0"/>
      <c r="BD47" s="0"/>
      <c r="BE47" s="0"/>
      <c r="BF47" s="187"/>
      <c r="BG47" s="144" t="e">
        <v>#NAME?</v>
      </c>
      <c r="BH47" s="152" t="e">
        <f aca="false">_xlfn.xlookup(BG47,A:A,F:F)</f>
        <v>#NAME?</v>
      </c>
      <c r="BI47" s="144" t="e">
        <f aca="false">_xlfn.xlookup(BG47,A:A,J:J)</f>
        <v>#NAME?</v>
      </c>
      <c r="BJ47" s="153" t="e">
        <f aca="false">_xlfn.xlookup(BG47,A:A,N:N)+_xlfn.xlookup(BG47,A:A,O:O)</f>
        <v>#NAME?</v>
      </c>
      <c r="BK47" s="153" t="e">
        <f aca="false">_xlfn.xlookup(BG47,$A$3:$A$997,$AB$3:$AB$997)</f>
        <v>#NAME?</v>
      </c>
      <c r="BM47" s="205" t="s">
        <v>762</v>
      </c>
      <c r="BN47" s="206" t="e">
        <f aca="false">#VALUE!</f>
        <v>#VALUE!</v>
      </c>
      <c r="BO47" s="208" t="e">
        <f aca="false">#VALUE!</f>
        <v>#VALUE!</v>
      </c>
      <c r="BQ47" s="144" t="str">
        <f aca="false">IF(VALUE(MONTH(C47))&lt;10,YEAR(C47)&amp;"-0"&amp;MONTH(C47),YEAR(C47)&amp;"-"&amp;MONTH(C47))</f>
        <v>2024-08</v>
      </c>
      <c r="BR47" s="144" t="str">
        <f aca="false">J47</f>
        <v>D21-1</v>
      </c>
      <c r="BS47" s="144" t="str">
        <f aca="false">IF(ISNUMBER(FIND("-", BR47)), LEFT(BR47, FIND("-", BR47) - 1), BR47)</f>
        <v>D21</v>
      </c>
      <c r="BT47" s="189" t="n">
        <f aca="false">L47-M47+O47</f>
        <v>7115.30784</v>
      </c>
      <c r="BU47" s="189"/>
    </row>
    <row r="48" customFormat="false" ht="16.4" hidden="false" customHeight="false" outlineLevel="0" collapsed="false">
      <c r="A48" s="140" t="s">
        <v>993</v>
      </c>
      <c r="B48" s="173"/>
      <c r="C48" s="174" t="n">
        <v>45527</v>
      </c>
      <c r="D48" s="173" t="n">
        <v>195</v>
      </c>
      <c r="E48" s="138" t="s">
        <v>94</v>
      </c>
      <c r="F48" s="138" t="s">
        <v>522</v>
      </c>
      <c r="G48" s="140"/>
      <c r="H48" s="173" t="n">
        <v>40048</v>
      </c>
      <c r="I48" s="173" t="n">
        <v>30011</v>
      </c>
      <c r="J48" s="140" t="s">
        <v>760</v>
      </c>
      <c r="K48" s="140"/>
      <c r="L48" s="175" t="n">
        <v>7115.30784</v>
      </c>
      <c r="M48" s="175" t="n">
        <v>0</v>
      </c>
      <c r="N48" s="175" t="n">
        <v>6977</v>
      </c>
      <c r="O48" s="175" t="n">
        <v>0</v>
      </c>
      <c r="P48" s="175"/>
      <c r="Q48" s="176" t="n">
        <v>1</v>
      </c>
      <c r="R48" s="138" t="n">
        <v>3</v>
      </c>
      <c r="S48" s="177" t="n">
        <v>-41.24</v>
      </c>
      <c r="T48" s="215" t="n">
        <v>1.36</v>
      </c>
      <c r="U48" s="178" t="n">
        <v>0.28357864079936</v>
      </c>
      <c r="V48" s="177" t="n">
        <v>1978.52817685713</v>
      </c>
      <c r="W48" s="177" t="n">
        <v>39.2211492790952</v>
      </c>
      <c r="X48" s="179" t="n">
        <v>0.0194380683324025</v>
      </c>
      <c r="Y48" s="177" t="n">
        <v>29.1638117647059</v>
      </c>
      <c r="Z48" s="177" t="n">
        <v>21.7</v>
      </c>
      <c r="AA48" s="177" t="n">
        <v>180.288461538462</v>
      </c>
      <c r="AB48" s="177" t="n">
        <v>2207.6615994394</v>
      </c>
      <c r="AC48" s="215" t="n">
        <v>0.27</v>
      </c>
      <c r="AD48" s="215" t="s">
        <v>77</v>
      </c>
      <c r="AE48" s="177" t="n">
        <v>2561.9544</v>
      </c>
      <c r="AF48" s="177" t="n">
        <v>354.292800560604</v>
      </c>
      <c r="AG48" s="181" t="n">
        <v>0.13829004940939</v>
      </c>
      <c r="AH48" s="180" t="n">
        <v>2017.74932613623</v>
      </c>
      <c r="AI48" s="181" t="n">
        <v>0.78758206084239</v>
      </c>
      <c r="AJ48" s="181"/>
      <c r="AK48" s="181" t="s">
        <v>993</v>
      </c>
      <c r="AL48" s="182" t="n">
        <v>0.316419893856872</v>
      </c>
      <c r="AN48" s="144" t="e">
        <v>#NAME?</v>
      </c>
      <c r="AO48" s="144" t="e">
        <f aca="false">_xlfn.xlookup(AN48,A:A,F:F)</f>
        <v>#NAME?</v>
      </c>
      <c r="AP48" s="144" t="e">
        <f aca="false">_xlfn.xlookup(AN48,A:A,J:J)</f>
        <v>#NAME?</v>
      </c>
      <c r="AQ48" s="144" t="e">
        <f aca="false">_xlfn.xlookup(AN48,A:A,N:N)+_xlfn.xlookup(AN48,A:A,O:O)</f>
        <v>#NAME?</v>
      </c>
      <c r="AR48" s="150" t="e">
        <f aca="false">_xlfn.xlookup(AN48,A:A,AH:AH)</f>
        <v>#NAME?</v>
      </c>
      <c r="AS48" s="150" t="e">
        <f aca="false">_xlfn.xlookup(AN48,A:A,S:S)</f>
        <v>#NAME?</v>
      </c>
      <c r="AT48" s="150" t="e">
        <f aca="false">_xlfn.xlookup(AN48,A:A,AE:AE)</f>
        <v>#NAME?</v>
      </c>
      <c r="AU48" s="150" t="e">
        <f aca="false">_xlfn.xlookup(AN48,A:A,AF:AF)</f>
        <v>#NAME?</v>
      </c>
      <c r="AW48" s="205" t="s">
        <v>760</v>
      </c>
      <c r="AX48" s="206" t="e">
        <f aca="false">#VALUE!</f>
        <v>#VALUE!</v>
      </c>
      <c r="AY48" s="207" t="e">
        <f aca="false">#VALUE!</f>
        <v>#VALUE!</v>
      </c>
      <c r="AZ48" s="207" t="e">
        <f aca="false">#VALUE!</f>
        <v>#VALUE!</v>
      </c>
      <c r="BA48" s="207" t="e">
        <f aca="false">#VALUE!</f>
        <v>#VALUE!</v>
      </c>
      <c r="BB48" s="208" t="e">
        <f aca="false">#VALUE!</f>
        <v>#VALUE!</v>
      </c>
      <c r="BC48" s="0"/>
      <c r="BD48" s="0"/>
      <c r="BE48" s="0"/>
      <c r="BF48" s="187"/>
      <c r="BG48" s="144" t="e">
        <v>#NAME?</v>
      </c>
      <c r="BH48" s="152" t="e">
        <f aca="false">_xlfn.xlookup(BG48,A:A,F:F)</f>
        <v>#NAME?</v>
      </c>
      <c r="BI48" s="144" t="e">
        <f aca="false">_xlfn.xlookup(BG48,A:A,J:J)</f>
        <v>#NAME?</v>
      </c>
      <c r="BJ48" s="153" t="e">
        <f aca="false">_xlfn.xlookup(BG48,A:A,N:N)+_xlfn.xlookup(BG48,A:A,O:O)</f>
        <v>#NAME?</v>
      </c>
      <c r="BK48" s="153" t="e">
        <f aca="false">_xlfn.xlookup(BG48,$A$3:$A$997,$AB$3:$AB$997)</f>
        <v>#NAME?</v>
      </c>
      <c r="BM48" s="205" t="s">
        <v>760</v>
      </c>
      <c r="BN48" s="206" t="e">
        <f aca="false">#VALUE!</f>
        <v>#VALUE!</v>
      </c>
      <c r="BO48" s="208" t="e">
        <f aca="false">#VALUE!</f>
        <v>#VALUE!</v>
      </c>
      <c r="BQ48" s="144" t="str">
        <f aca="false">IF(VALUE(MONTH(C48))&lt;10,YEAR(C48)&amp;"-0"&amp;MONTH(C48),YEAR(C48)&amp;"-"&amp;MONTH(C48))</f>
        <v>2024-08</v>
      </c>
      <c r="BR48" s="144" t="str">
        <f aca="false">J48</f>
        <v>S21-1</v>
      </c>
      <c r="BS48" s="144" t="str">
        <f aca="false">IF(ISNUMBER(FIND("-", BR48)), LEFT(BR48, FIND("-", BR48) - 1), BR48)</f>
        <v>S21</v>
      </c>
      <c r="BT48" s="189" t="n">
        <f aca="false">L48-M48+O48</f>
        <v>7115.30784</v>
      </c>
      <c r="BU48" s="189"/>
    </row>
    <row r="49" customFormat="false" ht="16.4" hidden="false" customHeight="false" outlineLevel="0" collapsed="false">
      <c r="A49" s="140" t="s">
        <v>994</v>
      </c>
      <c r="B49" s="173"/>
      <c r="C49" s="174" t="n">
        <v>45527</v>
      </c>
      <c r="D49" s="173" t="n">
        <v>196</v>
      </c>
      <c r="E49" s="138" t="s">
        <v>120</v>
      </c>
      <c r="F49" s="138" t="s">
        <v>617</v>
      </c>
      <c r="G49" s="140"/>
      <c r="H49" s="173" t="n">
        <v>40077</v>
      </c>
      <c r="I49" s="173" t="n">
        <v>30015</v>
      </c>
      <c r="J49" s="140" t="s">
        <v>762</v>
      </c>
      <c r="K49" s="140"/>
      <c r="L49" s="175" t="n">
        <v>1170</v>
      </c>
      <c r="M49" s="175" t="n">
        <v>491.4</v>
      </c>
      <c r="N49" s="175" t="n">
        <v>657.9</v>
      </c>
      <c r="O49" s="175" t="n">
        <v>0</v>
      </c>
      <c r="P49" s="175"/>
      <c r="Q49" s="176" t="n">
        <v>1</v>
      </c>
      <c r="R49" s="138" t="n">
        <v>2.25</v>
      </c>
      <c r="S49" s="177" t="n">
        <v>32.5</v>
      </c>
      <c r="T49" s="215"/>
      <c r="U49" s="178" t="n">
        <v>0.268854241086576</v>
      </c>
      <c r="V49" s="177" t="n">
        <v>176.879205210859</v>
      </c>
      <c r="W49" s="177" t="n">
        <v>5.56528279049213</v>
      </c>
      <c r="X49" s="179" t="n">
        <v>0.0176923076923077</v>
      </c>
      <c r="Y49" s="177" t="n">
        <v>2.61259147058824</v>
      </c>
      <c r="Z49" s="177" t="n">
        <v>21.7</v>
      </c>
      <c r="AA49" s="177" t="n">
        <v>135.216346153846</v>
      </c>
      <c r="AB49" s="177" t="n">
        <v>374.473425625785</v>
      </c>
      <c r="AC49" s="215" t="n">
        <v>0</v>
      </c>
      <c r="AD49" s="215" t="s">
        <v>88</v>
      </c>
      <c r="AE49" s="177" t="n">
        <v>0</v>
      </c>
      <c r="AF49" s="177" t="n">
        <v>-374.473425625785</v>
      </c>
      <c r="AG49" s="181"/>
      <c r="AH49" s="180" t="n">
        <v>182.444488001351</v>
      </c>
      <c r="AI49" s="181"/>
      <c r="AJ49" s="181" t="s">
        <v>895</v>
      </c>
      <c r="AK49" s="181" t="s">
        <v>994</v>
      </c>
      <c r="AL49" s="182" t="n">
        <v>0.569195053390766</v>
      </c>
      <c r="AN49" s="144" t="e">
        <v>#NAME?</v>
      </c>
      <c r="AO49" s="144" t="e">
        <f aca="false">_xlfn.xlookup(AN49,A:A,F:F)</f>
        <v>#NAME?</v>
      </c>
      <c r="AP49" s="144" t="e">
        <f aca="false">_xlfn.xlookup(AN49,A:A,J:J)</f>
        <v>#NAME?</v>
      </c>
      <c r="AQ49" s="144" t="e">
        <f aca="false">_xlfn.xlookup(AN49,A:A,N:N)+_xlfn.xlookup(AN49,A:A,O:O)</f>
        <v>#NAME?</v>
      </c>
      <c r="AR49" s="150" t="e">
        <f aca="false">_xlfn.xlookup(AN49,A:A,AH:AH)</f>
        <v>#NAME?</v>
      </c>
      <c r="AS49" s="150" t="e">
        <f aca="false">_xlfn.xlookup(AN49,A:A,S:S)</f>
        <v>#NAME?</v>
      </c>
      <c r="AT49" s="150" t="e">
        <f aca="false">_xlfn.xlookup(AN49,A:A,AE:AE)</f>
        <v>#NAME?</v>
      </c>
      <c r="AU49" s="150" t="e">
        <f aca="false">_xlfn.xlookup(AN49,A:A,AF:AF)</f>
        <v>#NAME?</v>
      </c>
      <c r="AW49" s="216" t="s">
        <v>911</v>
      </c>
      <c r="AX49" s="217" t="e">
        <f aca="false">#VALUE!</f>
        <v>#VALUE!</v>
      </c>
      <c r="AY49" s="225" t="e">
        <f aca="false">#VALUE!</f>
        <v>#VALUE!</v>
      </c>
      <c r="AZ49" s="225" t="e">
        <f aca="false">#VALUE!</f>
        <v>#VALUE!</v>
      </c>
      <c r="BA49" s="225" t="e">
        <f aca="false">#VALUE!</f>
        <v>#VALUE!</v>
      </c>
      <c r="BB49" s="218" t="e">
        <f aca="false">#VALUE!</f>
        <v>#VALUE!</v>
      </c>
      <c r="BC49" s="0"/>
      <c r="BD49" s="0"/>
      <c r="BE49" s="0"/>
      <c r="BF49" s="187"/>
      <c r="BG49" s="144" t="e">
        <v>#NAME?</v>
      </c>
      <c r="BH49" s="152" t="e">
        <f aca="false">_xlfn.xlookup(BG49,A:A,F:F)</f>
        <v>#NAME?</v>
      </c>
      <c r="BI49" s="144" t="e">
        <f aca="false">_xlfn.xlookup(BG49,A:A,J:J)</f>
        <v>#NAME?</v>
      </c>
      <c r="BJ49" s="153" t="e">
        <f aca="false">_xlfn.xlookup(BG49,A:A,N:N)+_xlfn.xlookup(BG49,A:A,O:O)</f>
        <v>#NAME?</v>
      </c>
      <c r="BK49" s="153" t="e">
        <f aca="false">_xlfn.xlookup(BG49,$A$3:$A$997,$AB$3:$AB$997)</f>
        <v>#NAME?</v>
      </c>
      <c r="BM49" s="216" t="s">
        <v>912</v>
      </c>
      <c r="BN49" s="217" t="e">
        <f aca="false">#VALUE!</f>
        <v>#VALUE!</v>
      </c>
      <c r="BO49" s="218" t="e">
        <f aca="false">#VALUE!</f>
        <v>#VALUE!</v>
      </c>
      <c r="BQ49" s="144" t="str">
        <f aca="false">IF(VALUE(MONTH(C49))&lt;10,YEAR(C49)&amp;"-0"&amp;MONTH(C49),YEAR(C49)&amp;"-"&amp;MONTH(C49))</f>
        <v>2024-08</v>
      </c>
      <c r="BR49" s="144" t="str">
        <f aca="false">J49</f>
        <v>S15-3</v>
      </c>
      <c r="BS49" s="144" t="str">
        <f aca="false">IF(ISNUMBER(FIND("-", BR49)), LEFT(BR49, FIND("-", BR49) - 1), BR49)</f>
        <v>S15</v>
      </c>
      <c r="BT49" s="189" t="n">
        <f aca="false">L49-M49+O49</f>
        <v>678.6</v>
      </c>
    </row>
    <row r="50" customFormat="false" ht="16.4" hidden="false" customHeight="false" outlineLevel="0" collapsed="false">
      <c r="A50" s="140" t="s">
        <v>995</v>
      </c>
      <c r="B50" s="173"/>
      <c r="C50" s="174" t="n">
        <v>45527</v>
      </c>
      <c r="D50" s="173" t="n">
        <v>196</v>
      </c>
      <c r="E50" s="138" t="s">
        <v>120</v>
      </c>
      <c r="F50" s="138" t="s">
        <v>617</v>
      </c>
      <c r="G50" s="140"/>
      <c r="H50" s="173" t="n">
        <v>40078</v>
      </c>
      <c r="I50" s="173" t="n">
        <v>30017</v>
      </c>
      <c r="J50" s="140" t="s">
        <v>768</v>
      </c>
      <c r="K50" s="140"/>
      <c r="L50" s="175" t="n">
        <v>2760</v>
      </c>
      <c r="M50" s="175" t="n">
        <v>2087.4</v>
      </c>
      <c r="N50" s="175" t="n">
        <v>614.13</v>
      </c>
      <c r="O50" s="175" t="n">
        <v>0</v>
      </c>
      <c r="P50" s="175"/>
      <c r="Q50" s="176"/>
      <c r="R50" s="138" t="n">
        <v>1</v>
      </c>
      <c r="S50" s="177" t="n">
        <v>32.5</v>
      </c>
      <c r="T50" s="215"/>
      <c r="U50" s="178" t="n">
        <v>0.326284886247867</v>
      </c>
      <c r="V50" s="177" t="n">
        <v>200.381337191402</v>
      </c>
      <c r="W50" s="177" t="n">
        <v>19.0778772989127</v>
      </c>
      <c r="X50" s="179" t="n">
        <v>0.0211847826086956</v>
      </c>
      <c r="Y50" s="177" t="n">
        <v>2.18728588235294</v>
      </c>
      <c r="Z50" s="177" t="n">
        <v>0</v>
      </c>
      <c r="AA50" s="177" t="n">
        <v>60.0961538461539</v>
      </c>
      <c r="AB50" s="177" t="n">
        <v>314.242654218822</v>
      </c>
      <c r="AC50" s="215" t="n">
        <v>0</v>
      </c>
      <c r="AD50" s="215" t="s">
        <v>88</v>
      </c>
      <c r="AE50" s="177" t="n">
        <v>0</v>
      </c>
      <c r="AF50" s="177" t="n">
        <v>-314.242654218822</v>
      </c>
      <c r="AG50" s="181"/>
      <c r="AH50" s="180" t="n">
        <v>219.459214490315</v>
      </c>
      <c r="AI50" s="181"/>
      <c r="AJ50" s="181" t="s">
        <v>895</v>
      </c>
      <c r="AK50" s="181" t="s">
        <v>995</v>
      </c>
      <c r="AL50" s="182" t="n">
        <v>0.51168751602889</v>
      </c>
      <c r="AN50" s="144" t="e">
        <v>#NAME?</v>
      </c>
      <c r="AO50" s="144" t="e">
        <f aca="false">_xlfn.xlookup(AN50,A:A,F:F)</f>
        <v>#NAME?</v>
      </c>
      <c r="AP50" s="144" t="e">
        <f aca="false">_xlfn.xlookup(AN50,A:A,J:J)</f>
        <v>#NAME?</v>
      </c>
      <c r="AQ50" s="144" t="e">
        <f aca="false">_xlfn.xlookup(AN50,A:A,N:N)+_xlfn.xlookup(AN50,A:A,O:O)</f>
        <v>#NAME?</v>
      </c>
      <c r="AR50" s="150" t="e">
        <f aca="false">_xlfn.xlookup(AN50,A:A,AH:AH)</f>
        <v>#NAME?</v>
      </c>
      <c r="AS50" s="150" t="e">
        <f aca="false">_xlfn.xlookup(AN50,A:A,S:S)</f>
        <v>#NAME?</v>
      </c>
      <c r="AT50" s="150" t="e">
        <f aca="false">_xlfn.xlookup(AN50,A:A,AE:AE)</f>
        <v>#NAME?</v>
      </c>
      <c r="AU50" s="150" t="e">
        <f aca="false">_xlfn.xlookup(AN50,A:A,AF:AF)</f>
        <v>#NAME?</v>
      </c>
      <c r="AW50" s="194" t="s">
        <v>996</v>
      </c>
      <c r="AX50" s="195" t="e">
        <f aca="false">#VALUE!</f>
        <v>#VALUE!</v>
      </c>
      <c r="AY50" s="196" t="e">
        <f aca="false">#VALUE!</f>
        <v>#VALUE!</v>
      </c>
      <c r="AZ50" s="196" t="e">
        <f aca="false">#VALUE!</f>
        <v>#VALUE!</v>
      </c>
      <c r="BA50" s="196" t="e">
        <f aca="false">#VALUE!</f>
        <v>#VALUE!</v>
      </c>
      <c r="BB50" s="197" t="e">
        <f aca="false">#VALUE!</f>
        <v>#VALUE!</v>
      </c>
      <c r="BC50" s="0"/>
      <c r="BD50" s="0"/>
      <c r="BE50" s="0"/>
      <c r="BF50" s="187"/>
      <c r="BG50" s="144" t="e">
        <v>#NAME?</v>
      </c>
      <c r="BH50" s="152" t="e">
        <f aca="false">_xlfn.xlookup(BG50,A:A,F:F)</f>
        <v>#NAME?</v>
      </c>
      <c r="BI50" s="144" t="e">
        <f aca="false">_xlfn.xlookup(BG50,A:A,J:J)</f>
        <v>#NAME?</v>
      </c>
      <c r="BJ50" s="153" t="e">
        <f aca="false">_xlfn.xlookup(BG50,A:A,N:N)+_xlfn.xlookup(BG50,A:A,O:O)</f>
        <v>#NAME?</v>
      </c>
      <c r="BK50" s="153" t="e">
        <f aca="false">_xlfn.xlookup(BG50,$A$3:$A$997,$AB$3:$AB$997)</f>
        <v>#NAME?</v>
      </c>
      <c r="BM50" s="194" t="s">
        <v>194</v>
      </c>
      <c r="BN50" s="195" t="e">
        <f aca="false">#VALUE!</f>
        <v>#VALUE!</v>
      </c>
      <c r="BO50" s="197" t="e">
        <f aca="false">#VALUE!</f>
        <v>#VALUE!</v>
      </c>
      <c r="BQ50" s="144" t="str">
        <f aca="false">IF(VALUE(MONTH(C50))&lt;10,YEAR(C50)&amp;"-0"&amp;MONTH(C50),YEAR(C50)&amp;"-"&amp;MONTH(C50))</f>
        <v>2024-08</v>
      </c>
      <c r="BR50" s="144" t="str">
        <f aca="false">J50</f>
        <v>B25-3</v>
      </c>
      <c r="BS50" s="144" t="str">
        <f aca="false">IF(ISNUMBER(FIND("-", BR50)), LEFT(BR50, FIND("-", BR50) - 1), BR50)</f>
        <v>B25</v>
      </c>
      <c r="BT50" s="189" t="n">
        <f aca="false">L50-M50+O50</f>
        <v>672.6</v>
      </c>
    </row>
    <row r="51" customFormat="false" ht="16.4" hidden="false" customHeight="false" outlineLevel="0" collapsed="false">
      <c r="A51" s="140" t="s">
        <v>997</v>
      </c>
      <c r="B51" s="173"/>
      <c r="C51" s="174" t="n">
        <v>45530</v>
      </c>
      <c r="D51" s="173" t="n">
        <v>197</v>
      </c>
      <c r="E51" s="138" t="s">
        <v>63</v>
      </c>
      <c r="F51" s="138" t="s">
        <v>500</v>
      </c>
      <c r="G51" s="140"/>
      <c r="H51" s="173" t="n">
        <v>40033</v>
      </c>
      <c r="I51" s="173" t="n">
        <v>30013</v>
      </c>
      <c r="J51" s="140" t="s">
        <v>904</v>
      </c>
      <c r="K51" s="140"/>
      <c r="L51" s="175" t="n">
        <v>21925</v>
      </c>
      <c r="M51" s="175" t="n">
        <v>5269</v>
      </c>
      <c r="N51" s="175" t="n">
        <v>16194</v>
      </c>
      <c r="O51" s="175"/>
      <c r="P51" s="175"/>
      <c r="Q51" s="176" t="n">
        <v>3</v>
      </c>
      <c r="R51" s="138" t="n">
        <v>16</v>
      </c>
      <c r="S51" s="177" t="n">
        <v>-105.82</v>
      </c>
      <c r="T51" s="215" t="n">
        <v>1.3491</v>
      </c>
      <c r="U51" s="178" t="n">
        <v>0.358173933722525</v>
      </c>
      <c r="V51" s="177" t="n">
        <v>5800.26868270257</v>
      </c>
      <c r="W51" s="177" t="n">
        <v>165.476357379807</v>
      </c>
      <c r="X51" s="179" t="n">
        <v>0.0210718358038769</v>
      </c>
      <c r="Y51" s="177" t="n">
        <v>68.0488941176471</v>
      </c>
      <c r="Z51" s="177" t="n">
        <v>65.1</v>
      </c>
      <c r="AA51" s="177" t="n">
        <v>961.538461538462</v>
      </c>
      <c r="AB51" s="177" t="n">
        <v>6954.61239573849</v>
      </c>
      <c r="AC51" s="215" t="n">
        <v>0.31</v>
      </c>
      <c r="AD51" s="215" t="s">
        <v>77</v>
      </c>
      <c r="AE51" s="177" t="n">
        <v>6772.670874</v>
      </c>
      <c r="AF51" s="177" t="n">
        <v>-181.941521738486</v>
      </c>
      <c r="AG51" s="181" t="n">
        <v>-0.0268640725532598</v>
      </c>
      <c r="AH51" s="180" t="n">
        <v>5965.74504008238</v>
      </c>
      <c r="AI51" s="181" t="n">
        <v>0.880855596125987</v>
      </c>
      <c r="AJ51" s="181"/>
      <c r="AK51" s="181" t="s">
        <v>997</v>
      </c>
      <c r="AL51" s="182" t="n">
        <v>0.429456119287297</v>
      </c>
      <c r="AN51" s="144" t="e">
        <v>#NAME?</v>
      </c>
      <c r="AO51" s="144" t="e">
        <f aca="false">_xlfn.xlookup(AN51,A:A,F:F)</f>
        <v>#NAME?</v>
      </c>
      <c r="AP51" s="144" t="e">
        <f aca="false">_xlfn.xlookup(AN51,A:A,J:J)</f>
        <v>#NAME?</v>
      </c>
      <c r="AQ51" s="144" t="e">
        <f aca="false">_xlfn.xlookup(AN51,A:A,N:N)+_xlfn.xlookup(AN51,A:A,O:O)</f>
        <v>#NAME?</v>
      </c>
      <c r="AR51" s="150" t="e">
        <f aca="false">_xlfn.xlookup(AN51,A:A,AH:AH)</f>
        <v>#NAME?</v>
      </c>
      <c r="AS51" s="150" t="e">
        <f aca="false">_xlfn.xlookup(AN51,A:A,S:S)</f>
        <v>#NAME?</v>
      </c>
      <c r="AT51" s="150" t="e">
        <f aca="false">_xlfn.xlookup(AN51,A:A,AE:AE)</f>
        <v>#NAME?</v>
      </c>
      <c r="AU51" s="150" t="e">
        <f aca="false">_xlfn.xlookup(AN51,A:A,AF:AF)</f>
        <v>#NAME?</v>
      </c>
      <c r="AW51" s="205" t="s">
        <v>760</v>
      </c>
      <c r="AX51" s="206" t="e">
        <f aca="false">#VALUE!</f>
        <v>#VALUE!</v>
      </c>
      <c r="AY51" s="207" t="e">
        <f aca="false">#VALUE!</f>
        <v>#VALUE!</v>
      </c>
      <c r="AZ51" s="207" t="e">
        <f aca="false">#VALUE!</f>
        <v>#VALUE!</v>
      </c>
      <c r="BA51" s="207" t="e">
        <f aca="false">#VALUE!</f>
        <v>#VALUE!</v>
      </c>
      <c r="BB51" s="208" t="e">
        <f aca="false">#VALUE!</f>
        <v>#VALUE!</v>
      </c>
      <c r="BC51" s="0"/>
      <c r="BD51" s="0"/>
      <c r="BE51" s="0"/>
      <c r="BF51" s="187"/>
      <c r="BG51" s="144" t="e">
        <v>#NAME?</v>
      </c>
      <c r="BH51" s="152" t="e">
        <f aca="false">_xlfn.xlookup(BG51,A:A,F:F)</f>
        <v>#NAME?</v>
      </c>
      <c r="BI51" s="144" t="e">
        <f aca="false">_xlfn.xlookup(BG51,A:A,J:J)</f>
        <v>#NAME?</v>
      </c>
      <c r="BJ51" s="153" t="e">
        <f aca="false">_xlfn.xlookup(BG51,A:A,N:N)+_xlfn.xlookup(BG51,A:A,O:O)</f>
        <v>#NAME?</v>
      </c>
      <c r="BK51" s="153" t="e">
        <f aca="false">_xlfn.xlookup(BG51,$A$3:$A$997,$AB$3:$AB$997)</f>
        <v>#NAME?</v>
      </c>
      <c r="BM51" s="205" t="s">
        <v>904</v>
      </c>
      <c r="BN51" s="206" t="e">
        <f aca="false">#VALUE!</f>
        <v>#VALUE!</v>
      </c>
      <c r="BO51" s="208" t="e">
        <f aca="false">#VALUE!</f>
        <v>#VALUE!</v>
      </c>
      <c r="BQ51" s="144" t="str">
        <f aca="false">IF(VALUE(MONTH(C51))&lt;10,YEAR(C51)&amp;"-0"&amp;MONTH(C51),YEAR(C51)&amp;"-"&amp;MONTH(C51))</f>
        <v>2024-08</v>
      </c>
      <c r="BR51" s="144" t="str">
        <f aca="false">J51</f>
        <v>D11-1</v>
      </c>
      <c r="BS51" s="144" t="str">
        <f aca="false">IF(ISNUMBER(FIND("-", BR51)), LEFT(BR51, FIND("-", BR51) - 1), BR51)</f>
        <v>D11</v>
      </c>
      <c r="BT51" s="189" t="n">
        <f aca="false">L51-M51+O51</f>
        <v>16656</v>
      </c>
    </row>
    <row r="52" customFormat="false" ht="16.4" hidden="false" customHeight="false" outlineLevel="0" collapsed="false">
      <c r="A52" s="140" t="s">
        <v>998</v>
      </c>
      <c r="B52" s="173"/>
      <c r="C52" s="174" t="n">
        <v>45530</v>
      </c>
      <c r="D52" s="173" t="n">
        <v>198</v>
      </c>
      <c r="E52" s="138" t="s">
        <v>96</v>
      </c>
      <c r="F52" s="138" t="s">
        <v>582</v>
      </c>
      <c r="G52" s="140"/>
      <c r="H52" s="173" t="n">
        <v>40060</v>
      </c>
      <c r="I52" s="173" t="n">
        <v>30012</v>
      </c>
      <c r="J52" s="140" t="s">
        <v>908</v>
      </c>
      <c r="K52" s="140"/>
      <c r="L52" s="175" t="n">
        <v>14231</v>
      </c>
      <c r="M52" s="175" t="n">
        <v>0</v>
      </c>
      <c r="N52" s="175" t="n">
        <v>13615</v>
      </c>
      <c r="O52" s="175"/>
      <c r="P52" s="175"/>
      <c r="Q52" s="176" t="n">
        <v>3</v>
      </c>
      <c r="R52" s="138" t="n">
        <v>4</v>
      </c>
      <c r="S52" s="177" t="n">
        <v>0</v>
      </c>
      <c r="T52" s="215"/>
      <c r="U52" s="178" t="n">
        <v>0.327974576595346</v>
      </c>
      <c r="V52" s="177" t="n">
        <v>4465.37386034564</v>
      </c>
      <c r="W52" s="177" t="n">
        <v>202.032339182733</v>
      </c>
      <c r="X52" s="179" t="n">
        <v>0.0432857845548451</v>
      </c>
      <c r="Y52" s="177" t="n">
        <v>25.5183352941176</v>
      </c>
      <c r="Z52" s="177" t="n">
        <v>65.1</v>
      </c>
      <c r="AA52" s="177" t="n">
        <v>240.384615384615</v>
      </c>
      <c r="AB52" s="177" t="n">
        <v>4998.40915020711</v>
      </c>
      <c r="AC52" s="215" t="n">
        <v>0.466</v>
      </c>
      <c r="AD52" s="215" t="s">
        <v>88</v>
      </c>
      <c r="AE52" s="177" t="n">
        <v>6344.59</v>
      </c>
      <c r="AF52" s="177" t="n">
        <v>1346.1808497929</v>
      </c>
      <c r="AG52" s="181" t="n">
        <v>0.21217775298213</v>
      </c>
      <c r="AH52" s="180" t="n">
        <v>4667.40619952837</v>
      </c>
      <c r="AI52" s="181" t="n">
        <v>0.735651350131115</v>
      </c>
      <c r="AJ52" s="181"/>
      <c r="AK52" s="181" t="s">
        <v>998</v>
      </c>
      <c r="AL52" s="182" t="n">
        <v>0.367125167110327</v>
      </c>
      <c r="AN52" s="144" t="e">
        <v>#NAME?</v>
      </c>
      <c r="AO52" s="144" t="e">
        <f aca="false">_xlfn.xlookup(AN52,A:A,F:F)</f>
        <v>#NAME?</v>
      </c>
      <c r="AP52" s="144" t="e">
        <f aca="false">_xlfn.xlookup(AN52,A:A,J:J)</f>
        <v>#NAME?</v>
      </c>
      <c r="AQ52" s="144" t="e">
        <f aca="false">_xlfn.xlookup(AN52,A:A,N:N)+_xlfn.xlookup(AN52,A:A,O:O)</f>
        <v>#NAME?</v>
      </c>
      <c r="AR52" s="150" t="e">
        <f aca="false">_xlfn.xlookup(AN52,A:A,AH:AH)</f>
        <v>#NAME?</v>
      </c>
      <c r="AS52" s="150" t="e">
        <f aca="false">_xlfn.xlookup(AN52,A:A,S:S)</f>
        <v>#NAME?</v>
      </c>
      <c r="AT52" s="150" t="e">
        <f aca="false">_xlfn.xlookup(AN52,A:A,AE:AE)</f>
        <v>#NAME?</v>
      </c>
      <c r="AU52" s="150" t="e">
        <f aca="false">_xlfn.xlookup(AN52,A:A,AF:AF)</f>
        <v>#NAME?</v>
      </c>
      <c r="AW52" s="216" t="s">
        <v>819</v>
      </c>
      <c r="AX52" s="217" t="e">
        <f aca="false">#VALUE!</f>
        <v>#VALUE!</v>
      </c>
      <c r="AY52" s="225" t="e">
        <f aca="false">#VALUE!</f>
        <v>#VALUE!</v>
      </c>
      <c r="AZ52" s="225" t="e">
        <f aca="false">#VALUE!</f>
        <v>#VALUE!</v>
      </c>
      <c r="BA52" s="225" t="e">
        <f aca="false">#VALUE!</f>
        <v>#VALUE!</v>
      </c>
      <c r="BB52" s="218" t="e">
        <f aca="false">#VALUE!</f>
        <v>#VALUE!</v>
      </c>
      <c r="BC52" s="0"/>
      <c r="BD52" s="0"/>
      <c r="BE52" s="0"/>
      <c r="BF52" s="187"/>
      <c r="BG52" s="144" t="e">
        <v>#NAME?</v>
      </c>
      <c r="BH52" s="152" t="e">
        <f aca="false">_xlfn.xlookup(BG52,A:A,F:F)</f>
        <v>#NAME?</v>
      </c>
      <c r="BI52" s="144" t="e">
        <f aca="false">_xlfn.xlookup(BG52,A:A,J:J)</f>
        <v>#NAME?</v>
      </c>
      <c r="BJ52" s="153" t="e">
        <f aca="false">_xlfn.xlookup(BG52,A:A,N:N)+_xlfn.xlookup(BG52,A:A,O:O)</f>
        <v>#NAME?</v>
      </c>
      <c r="BK52" s="153" t="e">
        <f aca="false">_xlfn.xlookup(BG52,$A$3:$A$997,$AB$3:$AB$997)</f>
        <v>#NAME?</v>
      </c>
      <c r="BM52" s="216" t="s">
        <v>754</v>
      </c>
      <c r="BN52" s="217" t="e">
        <f aca="false">#VALUE!</f>
        <v>#VALUE!</v>
      </c>
      <c r="BO52" s="218" t="e">
        <f aca="false">#VALUE!</f>
        <v>#VALUE!</v>
      </c>
      <c r="BQ52" s="144" t="str">
        <f aca="false">IF(VALUE(MONTH(C52))&lt;10,YEAR(C52)&amp;"-0"&amp;MONTH(C52),YEAR(C52)&amp;"-"&amp;MONTH(C52))</f>
        <v>2024-08</v>
      </c>
      <c r="BR52" s="144" t="str">
        <f aca="false">J52</f>
        <v>D21-1</v>
      </c>
      <c r="BS52" s="144" t="str">
        <f aca="false">IF(ISNUMBER(FIND("-", BR52)), LEFT(BR52, FIND("-", BR52) - 1), BR52)</f>
        <v>D21</v>
      </c>
      <c r="BT52" s="189" t="n">
        <f aca="false">L52-M52+O52</f>
        <v>14231</v>
      </c>
    </row>
    <row r="53" customFormat="false" ht="16.4" hidden="false" customHeight="false" outlineLevel="0" collapsed="false">
      <c r="A53" s="140" t="s">
        <v>999</v>
      </c>
      <c r="B53" s="173"/>
      <c r="C53" s="174" t="n">
        <v>45538</v>
      </c>
      <c r="D53" s="173" t="n">
        <v>199</v>
      </c>
      <c r="E53" s="138" t="s">
        <v>96</v>
      </c>
      <c r="F53" s="138" t="s">
        <v>582</v>
      </c>
      <c r="G53" s="140"/>
      <c r="H53" s="173" t="n">
        <v>40080</v>
      </c>
      <c r="I53" s="173" t="n">
        <v>30017</v>
      </c>
      <c r="J53" s="140" t="s">
        <v>768</v>
      </c>
      <c r="K53" s="140"/>
      <c r="L53" s="175" t="n">
        <v>10589.47</v>
      </c>
      <c r="M53" s="175" t="n">
        <v>3252.96</v>
      </c>
      <c r="N53" s="175" t="n">
        <v>7182.79</v>
      </c>
      <c r="O53" s="175" t="n">
        <v>0</v>
      </c>
      <c r="P53" s="175"/>
      <c r="Q53" s="176" t="n">
        <v>2</v>
      </c>
      <c r="R53" s="138" t="n">
        <v>4.5</v>
      </c>
      <c r="S53" s="177" t="n">
        <v>0</v>
      </c>
      <c r="T53" s="215"/>
      <c r="U53" s="178" t="n">
        <v>0.326284886247867</v>
      </c>
      <c r="V53" s="177" t="n">
        <v>2343.63581809232</v>
      </c>
      <c r="W53" s="177" t="n">
        <v>50.1565127140219</v>
      </c>
      <c r="X53" s="179" t="n">
        <v>0.0145163072372838</v>
      </c>
      <c r="Y53" s="177" t="n">
        <v>14.5818913004471</v>
      </c>
      <c r="Z53" s="177" t="n">
        <v>43.4</v>
      </c>
      <c r="AA53" s="177" t="n">
        <v>270.432692307692</v>
      </c>
      <c r="AB53" s="177" t="n">
        <v>2722.20691441448</v>
      </c>
      <c r="AC53" s="215" t="n">
        <v>0.452</v>
      </c>
      <c r="AD53" s="215" t="s">
        <v>88</v>
      </c>
      <c r="AE53" s="177" t="n">
        <v>3246.62108</v>
      </c>
      <c r="AF53" s="177" t="n">
        <v>524.414165585524</v>
      </c>
      <c r="AG53" s="181" t="n">
        <v>0.161526138303003</v>
      </c>
      <c r="AH53" s="180" t="n">
        <v>2393.79233080634</v>
      </c>
      <c r="AI53" s="181" t="n">
        <v>0.737318052159736</v>
      </c>
      <c r="AJ53" s="181"/>
      <c r="AK53" s="181" t="s">
        <v>999</v>
      </c>
      <c r="AL53" s="182" t="n">
        <v>0.378990185487043</v>
      </c>
      <c r="AN53" s="144" t="e">
        <v>#NAME?</v>
      </c>
      <c r="AO53" s="144" t="e">
        <f aca="false">_xlfn.xlookup(AN53,A:A,F:F)</f>
        <v>#NAME?</v>
      </c>
      <c r="AP53" s="144" t="e">
        <f aca="false">_xlfn.xlookup(AN53,A:A,J:J)</f>
        <v>#NAME?</v>
      </c>
      <c r="AQ53" s="144" t="e">
        <f aca="false">_xlfn.xlookup(AN53,A:A,N:N)+_xlfn.xlookup(AN53,A:A,O:O)</f>
        <v>#NAME?</v>
      </c>
      <c r="AR53" s="150" t="e">
        <f aca="false">_xlfn.xlookup(AN53,A:A,AH:AH)</f>
        <v>#NAME?</v>
      </c>
      <c r="AS53" s="150" t="e">
        <f aca="false">_xlfn.xlookup(AN53,A:A,S:S)</f>
        <v>#NAME?</v>
      </c>
      <c r="AT53" s="150" t="e">
        <f aca="false">_xlfn.xlookup(AN53,A:A,AE:AE)</f>
        <v>#NAME?</v>
      </c>
      <c r="AU53" s="150" t="e">
        <f aca="false">_xlfn.xlookup(AN53,A:A,AF:AF)</f>
        <v>#NAME?</v>
      </c>
      <c r="AW53" s="194" t="s">
        <v>582</v>
      </c>
      <c r="AX53" s="195" t="e">
        <f aca="false">#VALUE!</f>
        <v>#VALUE!</v>
      </c>
      <c r="AY53" s="196" t="e">
        <f aca="false">#VALUE!</f>
        <v>#VALUE!</v>
      </c>
      <c r="AZ53" s="196" t="e">
        <f aca="false">#VALUE!</f>
        <v>#VALUE!</v>
      </c>
      <c r="BA53" s="196" t="e">
        <f aca="false">#VALUE!</f>
        <v>#VALUE!</v>
      </c>
      <c r="BB53" s="197" t="e">
        <f aca="false">#VALUE!</f>
        <v>#VALUE!</v>
      </c>
      <c r="BC53" s="0"/>
      <c r="BD53" s="0"/>
      <c r="BE53" s="0"/>
      <c r="BF53" s="187"/>
      <c r="BG53" s="144" t="e">
        <v>#NAME?</v>
      </c>
      <c r="BH53" s="152" t="e">
        <f aca="false">_xlfn.xlookup(BG53,A:A,F:F)</f>
        <v>#NAME?</v>
      </c>
      <c r="BI53" s="144" t="e">
        <f aca="false">_xlfn.xlookup(BG53,A:A,J:J)</f>
        <v>#NAME?</v>
      </c>
      <c r="BJ53" s="153" t="e">
        <f aca="false">_xlfn.xlookup(BG53,A:A,N:N)+_xlfn.xlookup(BG53,A:A,O:O)</f>
        <v>#NAME?</v>
      </c>
      <c r="BK53" s="153" t="e">
        <f aca="false">_xlfn.xlookup(BG53,$A$3:$A$997,$AB$3:$AB$997)</f>
        <v>#NAME?</v>
      </c>
      <c r="BM53" s="194" t="s">
        <v>919</v>
      </c>
      <c r="BN53" s="195" t="e">
        <f aca="false">#VALUE!</f>
        <v>#VALUE!</v>
      </c>
      <c r="BO53" s="197" t="e">
        <f aca="false">#VALUE!</f>
        <v>#VALUE!</v>
      </c>
      <c r="BQ53" s="144" t="str">
        <f aca="false">IF(VALUE(MONTH(C53))&lt;10,YEAR(C53)&amp;"-0"&amp;MONTH(C53),YEAR(C53)&amp;"-"&amp;MONTH(C53))</f>
        <v>2024-09</v>
      </c>
      <c r="BR53" s="144" t="str">
        <f aca="false">J53</f>
        <v>B25-3</v>
      </c>
      <c r="BS53" s="144" t="str">
        <f aca="false">IF(ISNUMBER(FIND("-", BR53)), LEFT(BR53, FIND("-", BR53) - 1), BR53)</f>
        <v>B25</v>
      </c>
      <c r="BT53" s="189" t="n">
        <f aca="false">L53-M53+O53</f>
        <v>7336.51</v>
      </c>
    </row>
    <row r="54" customFormat="false" ht="16.4" hidden="false" customHeight="false" outlineLevel="0" collapsed="false">
      <c r="A54" s="140" t="s">
        <v>1000</v>
      </c>
      <c r="B54" s="173"/>
      <c r="C54" s="174" t="n">
        <v>45539</v>
      </c>
      <c r="D54" s="173" t="n">
        <v>200</v>
      </c>
      <c r="E54" s="138" t="s">
        <v>94</v>
      </c>
      <c r="F54" s="138" t="s">
        <v>522</v>
      </c>
      <c r="G54" s="140"/>
      <c r="H54" s="173" t="n">
        <v>40081</v>
      </c>
      <c r="I54" s="173" t="n">
        <v>30011</v>
      </c>
      <c r="J54" s="140" t="s">
        <v>760</v>
      </c>
      <c r="K54" s="140"/>
      <c r="L54" s="175" t="n">
        <v>7115.31</v>
      </c>
      <c r="M54" s="175" t="n">
        <v>3470</v>
      </c>
      <c r="N54" s="175" t="n">
        <v>3492</v>
      </c>
      <c r="O54" s="175" t="n">
        <v>0</v>
      </c>
      <c r="P54" s="175"/>
      <c r="Q54" s="176" t="n">
        <v>0.5</v>
      </c>
      <c r="R54" s="138" t="n">
        <v>2.5</v>
      </c>
      <c r="S54" s="177" t="n">
        <v>-4.12666666666667</v>
      </c>
      <c r="T54" s="215" t="n">
        <v>1.3525</v>
      </c>
      <c r="U54" s="178" t="n">
        <v>0.28357864079936</v>
      </c>
      <c r="V54" s="177" t="n">
        <v>990.256613671365</v>
      </c>
      <c r="W54" s="177" t="n">
        <v>43.47544142095</v>
      </c>
      <c r="X54" s="179" t="n">
        <v>0.0215464962173117</v>
      </c>
      <c r="Y54" s="177" t="n">
        <v>14.5819058823529</v>
      </c>
      <c r="Z54" s="177" t="n">
        <v>10.85</v>
      </c>
      <c r="AA54" s="177" t="n">
        <v>150.240384615385</v>
      </c>
      <c r="AB54" s="177" t="n">
        <v>1205.27767892339</v>
      </c>
      <c r="AC54" s="215" t="n">
        <v>0.27</v>
      </c>
      <c r="AD54" s="215" t="s">
        <v>77</v>
      </c>
      <c r="AE54" s="177" t="n">
        <v>1275.1911</v>
      </c>
      <c r="AF54" s="177" t="n">
        <v>69.9134210766147</v>
      </c>
      <c r="AG54" s="181" t="n">
        <v>0.054825838320715</v>
      </c>
      <c r="AH54" s="180" t="n">
        <v>1033.73205509231</v>
      </c>
      <c r="AI54" s="181" t="n">
        <v>0.810648737347928</v>
      </c>
      <c r="AJ54" s="181"/>
      <c r="AK54" s="181" t="s">
        <v>1000</v>
      </c>
      <c r="AL54" s="182" t="n">
        <v>0.345153974491233</v>
      </c>
      <c r="AN54" s="144" t="e">
        <v>#NAME?</v>
      </c>
      <c r="AO54" s="144" t="e">
        <f aca="false">_xlfn.xlookup(AN54,A:A,F:F)</f>
        <v>#NAME?</v>
      </c>
      <c r="AP54" s="144" t="e">
        <f aca="false">_xlfn.xlookup(AN54,A:A,J:J)</f>
        <v>#NAME?</v>
      </c>
      <c r="AQ54" s="144" t="e">
        <f aca="false">_xlfn.xlookup(AN54,A:A,N:N)+_xlfn.xlookup(AN54,A:A,O:O)</f>
        <v>#NAME?</v>
      </c>
      <c r="AR54" s="150" t="e">
        <f aca="false">_xlfn.xlookup(AN54,A:A,AH:AH)</f>
        <v>#NAME?</v>
      </c>
      <c r="AS54" s="150" t="e">
        <f aca="false">_xlfn.xlookup(AN54,A:A,S:S)</f>
        <v>#NAME?</v>
      </c>
      <c r="AT54" s="150" t="e">
        <f aca="false">_xlfn.xlookup(AN54,A:A,AE:AE)</f>
        <v>#NAME?</v>
      </c>
      <c r="AU54" s="150" t="e">
        <f aca="false">_xlfn.xlookup(AN54,A:A,AF:AF)</f>
        <v>#NAME?</v>
      </c>
      <c r="AW54" s="205" t="s">
        <v>768</v>
      </c>
      <c r="AX54" s="206" t="e">
        <f aca="false">#VALUE!</f>
        <v>#VALUE!</v>
      </c>
      <c r="AY54" s="207" t="e">
        <f aca="false">#VALUE!</f>
        <v>#VALUE!</v>
      </c>
      <c r="AZ54" s="207" t="e">
        <f aca="false">#VALUE!</f>
        <v>#VALUE!</v>
      </c>
      <c r="BA54" s="207" t="e">
        <f aca="false">#VALUE!</f>
        <v>#VALUE!</v>
      </c>
      <c r="BB54" s="208" t="e">
        <f aca="false">#VALUE!</f>
        <v>#VALUE!</v>
      </c>
      <c r="BC54" s="0"/>
      <c r="BD54" s="0"/>
      <c r="BE54" s="0"/>
      <c r="BF54" s="187"/>
      <c r="BG54" s="144" t="e">
        <v>#NAME?</v>
      </c>
      <c r="BH54" s="152" t="e">
        <f aca="false">_xlfn.xlookup(BG54,A:A,F:F)</f>
        <v>#NAME?</v>
      </c>
      <c r="BI54" s="144" t="e">
        <f aca="false">_xlfn.xlookup(BG54,A:A,J:J)</f>
        <v>#NAME?</v>
      </c>
      <c r="BJ54" s="153" t="e">
        <f aca="false">_xlfn.xlookup(BG54,A:A,N:N)+_xlfn.xlookup(BG54,A:A,O:O)</f>
        <v>#NAME?</v>
      </c>
      <c r="BK54" s="153" t="e">
        <f aca="false">_xlfn.xlookup(BG54,$A$3:$A$997,$AB$3:$AB$997)</f>
        <v>#NAME?</v>
      </c>
      <c r="BM54" s="205" t="s">
        <v>762</v>
      </c>
      <c r="BN54" s="206" t="e">
        <f aca="false">#VALUE!</f>
        <v>#VALUE!</v>
      </c>
      <c r="BO54" s="208" t="e">
        <f aca="false">#VALUE!</f>
        <v>#VALUE!</v>
      </c>
      <c r="BQ54" s="144" t="str">
        <f aca="false">IF(VALUE(MONTH(C54))&lt;10,YEAR(C54)&amp;"-0"&amp;MONTH(C54),YEAR(C54)&amp;"-"&amp;MONTH(C54))</f>
        <v>2024-09</v>
      </c>
      <c r="BR54" s="144" t="str">
        <f aca="false">J54</f>
        <v>S21-1</v>
      </c>
      <c r="BS54" s="144" t="str">
        <f aca="false">IF(ISNUMBER(FIND("-", BR54)), LEFT(BR54, FIND("-", BR54) - 1), BR54)</f>
        <v>S21</v>
      </c>
      <c r="BT54" s="189" t="n">
        <f aca="false">L54-M54+O54</f>
        <v>3645.31</v>
      </c>
    </row>
    <row r="55" customFormat="false" ht="16.4" hidden="false" customHeight="false" outlineLevel="0" collapsed="false">
      <c r="A55" s="140" t="s">
        <v>1001</v>
      </c>
      <c r="B55" s="173"/>
      <c r="C55" s="174" t="n">
        <v>45539</v>
      </c>
      <c r="D55" s="173" t="n">
        <v>200</v>
      </c>
      <c r="E55" s="138" t="s">
        <v>94</v>
      </c>
      <c r="F55" s="138" t="s">
        <v>522</v>
      </c>
      <c r="G55" s="140"/>
      <c r="H55" s="173" t="n">
        <v>40082</v>
      </c>
      <c r="I55" s="173" t="n">
        <v>30011</v>
      </c>
      <c r="J55" s="140" t="s">
        <v>760</v>
      </c>
      <c r="K55" s="140"/>
      <c r="L55" s="175" t="n">
        <v>3470</v>
      </c>
      <c r="M55" s="175" t="n">
        <v>0</v>
      </c>
      <c r="N55" s="175" t="n">
        <v>3327.6</v>
      </c>
      <c r="O55" s="175"/>
      <c r="P55" s="175"/>
      <c r="Q55" s="176" t="n">
        <v>0.5</v>
      </c>
      <c r="R55" s="138" t="n">
        <v>1.75</v>
      </c>
      <c r="S55" s="177" t="n">
        <v>-4.12666666666667</v>
      </c>
      <c r="T55" s="215" t="n">
        <v>1.3525</v>
      </c>
      <c r="U55" s="178" t="n">
        <v>0.28357864079936</v>
      </c>
      <c r="V55" s="177" t="n">
        <v>943.63628512395</v>
      </c>
      <c r="W55" s="177" t="n">
        <v>40.3815984498289</v>
      </c>
      <c r="X55" s="179" t="n">
        <v>0.0410374639769453</v>
      </c>
      <c r="Y55" s="177" t="n">
        <v>14.5819058823529</v>
      </c>
      <c r="Z55" s="177" t="n">
        <v>10.85</v>
      </c>
      <c r="AA55" s="177" t="n">
        <v>105.168269230769</v>
      </c>
      <c r="AB55" s="177" t="n">
        <v>1110.49139202023</v>
      </c>
      <c r="AC55" s="215" t="n">
        <v>0.27</v>
      </c>
      <c r="AD55" s="215" t="s">
        <v>77</v>
      </c>
      <c r="AE55" s="177" t="n">
        <v>1215.15633</v>
      </c>
      <c r="AF55" s="177" t="n">
        <v>104.664937979766</v>
      </c>
      <c r="AG55" s="181" t="n">
        <v>0.0861328994432886</v>
      </c>
      <c r="AH55" s="180" t="n">
        <v>984.017883573779</v>
      </c>
      <c r="AI55" s="181" t="n">
        <v>0.809787069597686</v>
      </c>
      <c r="AJ55" s="181"/>
      <c r="AK55" s="181" t="s">
        <v>1001</v>
      </c>
      <c r="AL55" s="182" t="n">
        <v>0.333721418445797</v>
      </c>
      <c r="AN55" s="144" t="e">
        <v>#NAME?</v>
      </c>
      <c r="AO55" s="144" t="e">
        <f aca="false">_xlfn.xlookup(AN55,A:A,F:F)</f>
        <v>#NAME?</v>
      </c>
      <c r="AP55" s="144" t="e">
        <f aca="false">_xlfn.xlookup(AN55,A:A,J:J)</f>
        <v>#NAME?</v>
      </c>
      <c r="AQ55" s="144" t="e">
        <f aca="false">_xlfn.xlookup(AN55,A:A,N:N)+_xlfn.xlookup(AN55,A:A,O:O)</f>
        <v>#NAME?</v>
      </c>
      <c r="AR55" s="150" t="e">
        <f aca="false">_xlfn.xlookup(AN55,A:A,AH:AH)</f>
        <v>#NAME?</v>
      </c>
      <c r="AS55" s="150" t="e">
        <f aca="false">_xlfn.xlookup(AN55,A:A,S:S)</f>
        <v>#NAME?</v>
      </c>
      <c r="AT55" s="150" t="e">
        <f aca="false">_xlfn.xlookup(AN55,A:A,AE:AE)</f>
        <v>#NAME?</v>
      </c>
      <c r="AU55" s="150" t="e">
        <f aca="false">_xlfn.xlookup(AN55,A:A,AF:AF)</f>
        <v>#NAME?</v>
      </c>
      <c r="AW55" s="205" t="s">
        <v>740</v>
      </c>
      <c r="AX55" s="206" t="e">
        <f aca="false">#VALUE!</f>
        <v>#VALUE!</v>
      </c>
      <c r="AY55" s="207" t="e">
        <f aca="false">#VALUE!</f>
        <v>#VALUE!</v>
      </c>
      <c r="AZ55" s="207" t="e">
        <f aca="false">#VALUE!</f>
        <v>#VALUE!</v>
      </c>
      <c r="BA55" s="207" t="e">
        <f aca="false">#VALUE!</f>
        <v>#VALUE!</v>
      </c>
      <c r="BB55" s="208" t="e">
        <f aca="false">#VALUE!</f>
        <v>#VALUE!</v>
      </c>
      <c r="BC55" s="0"/>
      <c r="BD55" s="0"/>
      <c r="BE55" s="0"/>
      <c r="BF55" s="187"/>
      <c r="BG55" s="144" t="e">
        <v>#NAME?</v>
      </c>
      <c r="BH55" s="152" t="e">
        <f aca="false">_xlfn.xlookup(BG55,A:A,F:F)</f>
        <v>#NAME?</v>
      </c>
      <c r="BI55" s="144" t="e">
        <f aca="false">_xlfn.xlookup(BG55,A:A,J:J)</f>
        <v>#NAME?</v>
      </c>
      <c r="BJ55" s="153" t="e">
        <f aca="false">_xlfn.xlookup(BG55,A:A,N:N)+_xlfn.xlookup(BG55,A:A,O:O)</f>
        <v>#NAME?</v>
      </c>
      <c r="BK55" s="153" t="e">
        <f aca="false">_xlfn.xlookup(BG55,A4:A998,AB4:AB998)</f>
        <v>#NAME?</v>
      </c>
      <c r="BM55" s="205" t="s">
        <v>760</v>
      </c>
      <c r="BN55" s="206" t="e">
        <f aca="false">#VALUE!</f>
        <v>#VALUE!</v>
      </c>
      <c r="BO55" s="208" t="e">
        <f aca="false">#VALUE!</f>
        <v>#VALUE!</v>
      </c>
      <c r="BQ55" s="144" t="str">
        <f aca="false">IF(VALUE(MONTH(C55))&lt;10,YEAR(C55)&amp;"-0"&amp;MONTH(C55),YEAR(C55)&amp;"-"&amp;MONTH(C55))</f>
        <v>2024-09</v>
      </c>
      <c r="BR55" s="144" t="str">
        <f aca="false">J55</f>
        <v>S21-1</v>
      </c>
      <c r="BS55" s="144" t="str">
        <f aca="false">IF(ISNUMBER(FIND("-", BR55)), LEFT(BR55, FIND("-", BR55) - 1), BR55)</f>
        <v>S21</v>
      </c>
      <c r="BT55" s="189" t="n">
        <f aca="false">L55-M55+O55</f>
        <v>3470</v>
      </c>
    </row>
    <row r="56" customFormat="false" ht="16.4" hidden="false" customHeight="false" outlineLevel="0" collapsed="false">
      <c r="A56" s="140" t="s">
        <v>1002</v>
      </c>
      <c r="B56" s="173"/>
      <c r="C56" s="174" t="n">
        <v>45539</v>
      </c>
      <c r="D56" s="173" t="n">
        <v>201</v>
      </c>
      <c r="E56" s="138" t="s">
        <v>94</v>
      </c>
      <c r="F56" s="138" t="s">
        <v>522</v>
      </c>
      <c r="G56" s="140"/>
      <c r="H56" s="173" t="n">
        <v>40067</v>
      </c>
      <c r="I56" s="173" t="n">
        <v>30015</v>
      </c>
      <c r="J56" s="140" t="s">
        <v>762</v>
      </c>
      <c r="K56" s="140"/>
      <c r="L56" s="175" t="n">
        <v>10482</v>
      </c>
      <c r="M56" s="175" t="n">
        <v>6795</v>
      </c>
      <c r="N56" s="175" t="n">
        <v>3600</v>
      </c>
      <c r="O56" s="175" t="n">
        <v>0</v>
      </c>
      <c r="P56" s="175"/>
      <c r="Q56" s="176" t="n">
        <v>1</v>
      </c>
      <c r="R56" s="138" t="n">
        <v>1.25</v>
      </c>
      <c r="S56" s="177" t="n">
        <v>-8.25333333333333</v>
      </c>
      <c r="T56" s="215" t="n">
        <v>1.3525</v>
      </c>
      <c r="U56" s="178" t="n">
        <v>0.268854241086576</v>
      </c>
      <c r="V56" s="177" t="n">
        <v>967.875267911675</v>
      </c>
      <c r="W56" s="177" t="n">
        <v>23.3903189745321</v>
      </c>
      <c r="X56" s="179" t="n">
        <v>0.00829994275901546</v>
      </c>
      <c r="Y56" s="177" t="n">
        <v>14.5819058823529</v>
      </c>
      <c r="Z56" s="177" t="n">
        <v>21.7</v>
      </c>
      <c r="AA56" s="177" t="n">
        <v>75.1201923076923</v>
      </c>
      <c r="AB56" s="177" t="n">
        <v>1094.41435174292</v>
      </c>
      <c r="AC56" s="215" t="n">
        <v>0.28</v>
      </c>
      <c r="AD56" s="215" t="s">
        <v>77</v>
      </c>
      <c r="AE56" s="177" t="n">
        <v>1363.32</v>
      </c>
      <c r="AF56" s="177" t="n">
        <v>268.905648257081</v>
      </c>
      <c r="AG56" s="181" t="n">
        <v>0.197243235819236</v>
      </c>
      <c r="AH56" s="180" t="n">
        <v>991.265586886207</v>
      </c>
      <c r="AI56" s="181" t="n">
        <v>0.727096783503658</v>
      </c>
      <c r="AJ56" s="181"/>
      <c r="AK56" s="181" t="s">
        <v>1002</v>
      </c>
      <c r="AL56" s="182" t="n">
        <v>0.304003986595255</v>
      </c>
      <c r="AN56" s="144" t="e">
        <v>#NAME?</v>
      </c>
      <c r="AO56" s="144" t="e">
        <f aca="false">_xlfn.xlookup(AN56,A:A,F:F)</f>
        <v>#NAME?</v>
      </c>
      <c r="AP56" s="144" t="e">
        <f aca="false">_xlfn.xlookup(AN56,A:A,J:J)</f>
        <v>#NAME?</v>
      </c>
      <c r="AQ56" s="144" t="e">
        <f aca="false">_xlfn.xlookup(AN56,A:A,N:N)+_xlfn.xlookup(AN56,A:A,O:O)</f>
        <v>#NAME?</v>
      </c>
      <c r="AR56" s="150" t="e">
        <f aca="false">_xlfn.xlookup(AN56,A:A,AH:AH)</f>
        <v>#NAME?</v>
      </c>
      <c r="AS56" s="150" t="e">
        <f aca="false">_xlfn.xlookup(AN56,A:A,S:S)</f>
        <v>#NAME?</v>
      </c>
      <c r="AT56" s="150" t="e">
        <f aca="false">_xlfn.xlookup(AN56,A:A,AE:AE)</f>
        <v>#NAME?</v>
      </c>
      <c r="AU56" s="150" t="e">
        <f aca="false">_xlfn.xlookup(AN56,A:A,AF:AF)</f>
        <v>#NAME?</v>
      </c>
      <c r="AW56" s="205" t="s">
        <v>905</v>
      </c>
      <c r="AX56" s="206" t="e">
        <f aca="false">#VALUE!</f>
        <v>#VALUE!</v>
      </c>
      <c r="AY56" s="207" t="e">
        <f aca="false">#VALUE!</f>
        <v>#VALUE!</v>
      </c>
      <c r="AZ56" s="207" t="e">
        <f aca="false">#VALUE!</f>
        <v>#VALUE!</v>
      </c>
      <c r="BA56" s="207" t="e">
        <f aca="false">#VALUE!</f>
        <v>#VALUE!</v>
      </c>
      <c r="BB56" s="208" t="e">
        <f aca="false">#VALUE!</f>
        <v>#VALUE!</v>
      </c>
      <c r="BC56" s="0"/>
      <c r="BD56" s="0"/>
      <c r="BE56" s="0"/>
      <c r="BF56" s="187"/>
      <c r="BG56" s="144" t="e">
        <v>#NAME?</v>
      </c>
      <c r="BH56" s="152" t="e">
        <f aca="false">_xlfn.xlookup(BG56,A:A,F:F)</f>
        <v>#NAME?</v>
      </c>
      <c r="BI56" s="144" t="e">
        <f aca="false">_xlfn.xlookup(BG56,A:A,J:J)</f>
        <v>#NAME?</v>
      </c>
      <c r="BJ56" s="153" t="e">
        <f aca="false">_xlfn.xlookup(BG56,A:A,N:N)+_xlfn.xlookup(BG56,A:A,O:O)</f>
        <v>#NAME?</v>
      </c>
      <c r="BK56" s="153" t="e">
        <f aca="false">_xlfn.xlookup(BG56,A5:A999,AB5:AB999)</f>
        <v>#NAME?</v>
      </c>
      <c r="BM56" s="216" t="s">
        <v>912</v>
      </c>
      <c r="BN56" s="217" t="e">
        <f aca="false">#VALUE!</f>
        <v>#VALUE!</v>
      </c>
      <c r="BO56" s="218" t="e">
        <f aca="false">#VALUE!</f>
        <v>#VALUE!</v>
      </c>
      <c r="BQ56" s="144" t="str">
        <f aca="false">IF(VALUE(MONTH(C56))&lt;10,YEAR(C56)&amp;"-0"&amp;MONTH(C56),YEAR(C56)&amp;"-"&amp;MONTH(C56))</f>
        <v>2024-09</v>
      </c>
      <c r="BR56" s="144" t="str">
        <f aca="false">J56</f>
        <v>S15-3</v>
      </c>
      <c r="BS56" s="144" t="str">
        <f aca="false">IF(ISNUMBER(FIND("-", BR56)), LEFT(BR56, FIND("-", BR56) - 1), BR56)</f>
        <v>S15</v>
      </c>
      <c r="BT56" s="189" t="n">
        <f aca="false">L56-M56+O56</f>
        <v>3687</v>
      </c>
    </row>
    <row r="57" customFormat="false" ht="16.4" hidden="false" customHeight="false" outlineLevel="0" collapsed="false">
      <c r="A57" s="140" t="s">
        <v>1003</v>
      </c>
      <c r="B57" s="173"/>
      <c r="C57" s="174" t="n">
        <v>45539</v>
      </c>
      <c r="D57" s="173" t="n">
        <v>202</v>
      </c>
      <c r="E57" s="138" t="s">
        <v>94</v>
      </c>
      <c r="F57" s="138" t="s">
        <v>522</v>
      </c>
      <c r="G57" s="140"/>
      <c r="H57" s="173" t="n">
        <v>40084</v>
      </c>
      <c r="I57" s="173" t="n">
        <v>30017</v>
      </c>
      <c r="J57" s="140" t="s">
        <v>768</v>
      </c>
      <c r="K57" s="140"/>
      <c r="L57" s="175" t="n">
        <v>2087.4</v>
      </c>
      <c r="M57" s="175" t="n">
        <v>1339.2</v>
      </c>
      <c r="N57" s="175" t="n">
        <v>714.24</v>
      </c>
      <c r="O57" s="175" t="n">
        <v>0</v>
      </c>
      <c r="P57" s="175"/>
      <c r="Q57" s="176" t="n">
        <v>0</v>
      </c>
      <c r="R57" s="138" t="n">
        <v>2</v>
      </c>
      <c r="S57" s="177" t="n">
        <v>-8.25333333333333</v>
      </c>
      <c r="T57" s="215" t="n">
        <v>1.3525</v>
      </c>
      <c r="U57" s="178" t="n">
        <v>0.326284886247867</v>
      </c>
      <c r="V57" s="177" t="n">
        <v>233.045717153676</v>
      </c>
      <c r="W57" s="177" t="n">
        <v>11.0806347369776</v>
      </c>
      <c r="X57" s="179" t="n">
        <v>0.016269042828399</v>
      </c>
      <c r="Y57" s="177" t="n">
        <v>2.91638117647059</v>
      </c>
      <c r="Z57" s="177" t="n">
        <v>0</v>
      </c>
      <c r="AA57" s="177" t="n">
        <v>120.192307692308</v>
      </c>
      <c r="AB57" s="177" t="n">
        <v>358.981707426099</v>
      </c>
      <c r="AC57" s="215" t="n">
        <v>0.33</v>
      </c>
      <c r="AD57" s="215" t="s">
        <v>77</v>
      </c>
      <c r="AE57" s="177" t="n">
        <v>318.783168</v>
      </c>
      <c r="AF57" s="177" t="n">
        <v>-40.1985394260988</v>
      </c>
      <c r="AG57" s="181"/>
      <c r="AH57" s="180" t="n">
        <v>244.126351890654</v>
      </c>
      <c r="AI57" s="181" t="n">
        <v>0.765806907002862</v>
      </c>
      <c r="AJ57" s="181"/>
      <c r="AK57" s="181" t="s">
        <v>1003</v>
      </c>
      <c r="AL57" s="182" t="n">
        <v>0.5026065572162</v>
      </c>
      <c r="AN57" s="144" t="e">
        <v>#NAME?</v>
      </c>
      <c r="AO57" s="144" t="e">
        <f aca="false">_xlfn.xlookup(AN57,A:A,F:F)</f>
        <v>#NAME?</v>
      </c>
      <c r="AP57" s="144" t="e">
        <f aca="false">_xlfn.xlookup(AN57,A:A,J:J)</f>
        <v>#NAME?</v>
      </c>
      <c r="AQ57" s="144" t="e">
        <f aca="false">_xlfn.xlookup(AN57,A:A,N:N)+_xlfn.xlookup(AN57,A:A,O:O)</f>
        <v>#NAME?</v>
      </c>
      <c r="AR57" s="150" t="e">
        <f aca="false">_xlfn.xlookup(AN57,A:A,AH:AH)</f>
        <v>#NAME?</v>
      </c>
      <c r="AS57" s="150" t="e">
        <f aca="false">_xlfn.xlookup(AN57,A:A,S:S)</f>
        <v>#NAME?</v>
      </c>
      <c r="AT57" s="150" t="e">
        <f aca="false">_xlfn.xlookup(AN57,A:A,AE:AE)</f>
        <v>#NAME?</v>
      </c>
      <c r="AU57" s="150" t="e">
        <f aca="false">_xlfn.xlookup(AN57,A:A,AF:AF)</f>
        <v>#NAME?</v>
      </c>
      <c r="AW57" s="205" t="s">
        <v>908</v>
      </c>
      <c r="AX57" s="206" t="e">
        <f aca="false">#VALUE!</f>
        <v>#VALUE!</v>
      </c>
      <c r="AY57" s="207" t="e">
        <f aca="false">#VALUE!</f>
        <v>#VALUE!</v>
      </c>
      <c r="AZ57" s="207" t="e">
        <f aca="false">#VALUE!</f>
        <v>#VALUE!</v>
      </c>
      <c r="BA57" s="207" t="e">
        <f aca="false">#VALUE!</f>
        <v>#VALUE!</v>
      </c>
      <c r="BB57" s="208" t="e">
        <f aca="false">#VALUE!</f>
        <v>#VALUE!</v>
      </c>
      <c r="BC57" s="0"/>
      <c r="BD57" s="0"/>
      <c r="BE57" s="0"/>
      <c r="BF57" s="187"/>
      <c r="BG57" s="144" t="e">
        <v>#NAME?</v>
      </c>
      <c r="BH57" s="152" t="e">
        <f aca="false">_xlfn.xlookup(BG57,A:A,F:F)</f>
        <v>#NAME?</v>
      </c>
      <c r="BI57" s="144" t="e">
        <f aca="false">_xlfn.xlookup(BG57,A:A,J:J)</f>
        <v>#NAME?</v>
      </c>
      <c r="BJ57" s="153" t="e">
        <f aca="false">_xlfn.xlookup(BG57,A:A,N:N)+_xlfn.xlookup(BG57,A:A,O:O)</f>
        <v>#NAME?</v>
      </c>
      <c r="BK57" s="153" t="e">
        <f aca="false">_xlfn.xlookup(BG57,A6:A1000,AB6:AB1000)</f>
        <v>#NAME?</v>
      </c>
      <c r="BM57" s="194" t="s">
        <v>68</v>
      </c>
      <c r="BN57" s="195" t="e">
        <f aca="false">#VALUE!</f>
        <v>#VALUE!</v>
      </c>
      <c r="BO57" s="197" t="e">
        <f aca="false">#VALUE!</f>
        <v>#VALUE!</v>
      </c>
      <c r="BQ57" s="144" t="str">
        <f aca="false">IF(VALUE(MONTH(C57))&lt;10,YEAR(C57)&amp;"-0"&amp;MONTH(C57),YEAR(C57)&amp;"-"&amp;MONTH(C57))</f>
        <v>2024-09</v>
      </c>
      <c r="BR57" s="144" t="str">
        <f aca="false">J57</f>
        <v>B25-3</v>
      </c>
      <c r="BS57" s="144" t="str">
        <f aca="false">IF(ISNUMBER(FIND("-", BR57)), LEFT(BR57, FIND("-", BR57) - 1), BR57)</f>
        <v>B25</v>
      </c>
      <c r="BT57" s="189" t="n">
        <f aca="false">L57-M57+O57</f>
        <v>748.2</v>
      </c>
    </row>
    <row r="58" customFormat="false" ht="16.4" hidden="false" customHeight="false" outlineLevel="0" collapsed="false">
      <c r="A58" s="140" t="s">
        <v>1004</v>
      </c>
      <c r="B58" s="173"/>
      <c r="C58" s="174" t="n">
        <v>45540</v>
      </c>
      <c r="D58" s="173" t="n">
        <v>203</v>
      </c>
      <c r="E58" s="138" t="s">
        <v>96</v>
      </c>
      <c r="F58" s="138" t="s">
        <v>582</v>
      </c>
      <c r="G58" s="140"/>
      <c r="H58" s="173" t="n">
        <v>40060</v>
      </c>
      <c r="I58" s="173" t="n">
        <v>30012</v>
      </c>
      <c r="J58" s="140" t="s">
        <v>908</v>
      </c>
      <c r="K58" s="140"/>
      <c r="L58" s="175" t="n">
        <v>21345.92</v>
      </c>
      <c r="M58" s="175"/>
      <c r="N58" s="175" t="n">
        <v>20973.6</v>
      </c>
      <c r="O58" s="175" t="n">
        <v>0</v>
      </c>
      <c r="P58" s="175"/>
      <c r="Q58" s="176" t="n">
        <v>4</v>
      </c>
      <c r="R58" s="138" t="n">
        <v>5.5</v>
      </c>
      <c r="S58" s="177" t="n">
        <v>0</v>
      </c>
      <c r="T58" s="215"/>
      <c r="U58" s="178" t="n">
        <v>0.327974576595346</v>
      </c>
      <c r="V58" s="177" t="n">
        <v>6878.80757968015</v>
      </c>
      <c r="W58" s="177" t="n">
        <v>122.111494357979</v>
      </c>
      <c r="X58" s="179" t="n">
        <v>0.017442209096633</v>
      </c>
      <c r="Y58" s="177" t="n">
        <v>43.7457176470588</v>
      </c>
      <c r="Z58" s="177" t="n">
        <v>86.8</v>
      </c>
      <c r="AA58" s="177" t="n">
        <v>330.528846153846</v>
      </c>
      <c r="AB58" s="177" t="n">
        <v>7461.99363783904</v>
      </c>
      <c r="AC58" s="215" t="n">
        <v>0.466</v>
      </c>
      <c r="AD58" s="215" t="s">
        <v>88</v>
      </c>
      <c r="AE58" s="177" t="n">
        <v>9773.6976</v>
      </c>
      <c r="AF58" s="177" t="n">
        <v>2311.70396216096</v>
      </c>
      <c r="AG58" s="181" t="n">
        <v>0.236522967741601</v>
      </c>
      <c r="AH58" s="180" t="n">
        <v>7000.91907403813</v>
      </c>
      <c r="AI58" s="181" t="n">
        <v>0.716301993427557</v>
      </c>
      <c r="AJ58" s="181"/>
      <c r="AK58" s="181" t="s">
        <v>1004</v>
      </c>
      <c r="AL58" s="182" t="n">
        <v>0.355780297032414</v>
      </c>
      <c r="AN58" s="144" t="e">
        <v>#NAME?</v>
      </c>
      <c r="AO58" s="144" t="e">
        <f aca="false">_xlfn.xlookup(AN58,A:A,F:F)</f>
        <v>#NAME?</v>
      </c>
      <c r="AP58" s="144" t="e">
        <f aca="false">_xlfn.xlookup(AN58,A:A,J:J)</f>
        <v>#NAME?</v>
      </c>
      <c r="AQ58" s="144" t="e">
        <f aca="false">_xlfn.xlookup(AN58,A:A,N:N)+_xlfn.xlookup(AN58,A:A,O:O)</f>
        <v>#NAME?</v>
      </c>
      <c r="AR58" s="150" t="e">
        <f aca="false">_xlfn.xlookup(AN58,A:A,AH:AH)</f>
        <v>#NAME?</v>
      </c>
      <c r="AS58" s="150" t="e">
        <f aca="false">_xlfn.xlookup(AN58,A:A,S:S)</f>
        <v>#NAME?</v>
      </c>
      <c r="AT58" s="150" t="e">
        <f aca="false">_xlfn.xlookup(AN58,A:A,AE:AE)</f>
        <v>#NAME?</v>
      </c>
      <c r="AU58" s="150" t="e">
        <f aca="false">_xlfn.xlookup(AN58,A:A,AF:AF)</f>
        <v>#NAME?</v>
      </c>
      <c r="AW58" s="205" t="s">
        <v>760</v>
      </c>
      <c r="AX58" s="206" t="e">
        <f aca="false">#VALUE!</f>
        <v>#VALUE!</v>
      </c>
      <c r="AY58" s="207" t="e">
        <f aca="false">#VALUE!</f>
        <v>#VALUE!</v>
      </c>
      <c r="AZ58" s="207" t="e">
        <f aca="false">#VALUE!</f>
        <v>#VALUE!</v>
      </c>
      <c r="BA58" s="207" t="e">
        <f aca="false">#VALUE!</f>
        <v>#VALUE!</v>
      </c>
      <c r="BB58" s="208" t="e">
        <f aca="false">#VALUE!</f>
        <v>#VALUE!</v>
      </c>
      <c r="BC58" s="0"/>
      <c r="BD58" s="0"/>
      <c r="BE58" s="0"/>
      <c r="BF58" s="187"/>
      <c r="BG58" s="144" t="e">
        <v>#NAME?</v>
      </c>
      <c r="BH58" s="152" t="e">
        <f aca="false">_xlfn.xlookup(BG58,A:A,F:F)</f>
        <v>#NAME?</v>
      </c>
      <c r="BI58" s="144" t="e">
        <f aca="false">_xlfn.xlookup(BG58,A:A,J:J)</f>
        <v>#NAME?</v>
      </c>
      <c r="BJ58" s="153" t="e">
        <f aca="false">_xlfn.xlookup(BG58,A:A,N:N)+_xlfn.xlookup(BG58,A:A,O:O)</f>
        <v>#NAME?</v>
      </c>
      <c r="BK58" s="153" t="e">
        <f aca="false">_xlfn.xlookup(BG58,A7:A1001,AB7:AB1001)</f>
        <v>#NAME?</v>
      </c>
      <c r="BM58" s="205" t="s">
        <v>764</v>
      </c>
      <c r="BN58" s="206" t="e">
        <f aca="false">#VALUE!</f>
        <v>#VALUE!</v>
      </c>
      <c r="BO58" s="208" t="e">
        <f aca="false">#VALUE!</f>
        <v>#VALUE!</v>
      </c>
      <c r="BQ58" s="144" t="str">
        <f aca="false">IF(VALUE(MONTH(C58))&lt;10,YEAR(C58)&amp;"-0"&amp;MONTH(C58),YEAR(C58)&amp;"-"&amp;MONTH(C58))</f>
        <v>2024-09</v>
      </c>
      <c r="BR58" s="144" t="str">
        <f aca="false">J58</f>
        <v>D21-1</v>
      </c>
      <c r="BS58" s="144" t="str">
        <f aca="false">IF(ISNUMBER(FIND("-", BR58)), LEFT(BR58, FIND("-", BR58) - 1), BR58)</f>
        <v>D21</v>
      </c>
      <c r="BT58" s="189" t="n">
        <f aca="false">L58-M58+O58</f>
        <v>21345.92</v>
      </c>
    </row>
    <row r="59" customFormat="false" ht="16.4" hidden="false" customHeight="false" outlineLevel="0" collapsed="false">
      <c r="A59" s="140" t="s">
        <v>1005</v>
      </c>
      <c r="B59" s="173"/>
      <c r="C59" s="174" t="n">
        <v>45541</v>
      </c>
      <c r="D59" s="173" t="n">
        <v>204</v>
      </c>
      <c r="E59" s="138" t="s">
        <v>127</v>
      </c>
      <c r="F59" s="138" t="s">
        <v>977</v>
      </c>
      <c r="G59" s="140"/>
      <c r="H59" s="173" t="n">
        <v>40086</v>
      </c>
      <c r="I59" s="173" t="n">
        <v>30011</v>
      </c>
      <c r="J59" s="140" t="s">
        <v>760</v>
      </c>
      <c r="K59" s="140"/>
      <c r="L59" s="175" t="n">
        <v>7115.31</v>
      </c>
      <c r="M59" s="175" t="n">
        <v>6145.25</v>
      </c>
      <c r="N59" s="175" t="n">
        <v>780</v>
      </c>
      <c r="O59" s="175"/>
      <c r="P59" s="175"/>
      <c r="Q59" s="176" t="n">
        <v>0.5</v>
      </c>
      <c r="R59" s="138" t="n">
        <v>1</v>
      </c>
      <c r="S59" s="177" t="n">
        <v>32.5</v>
      </c>
      <c r="T59" s="215"/>
      <c r="U59" s="178" t="n">
        <v>0.28357864079936</v>
      </c>
      <c r="V59" s="177" t="n">
        <v>221.191339823501</v>
      </c>
      <c r="W59" s="177" t="n">
        <v>53.8969564703265</v>
      </c>
      <c r="X59" s="179" t="n">
        <v>0.0267114152440302</v>
      </c>
      <c r="Y59" s="177" t="n">
        <v>3.15941294117647</v>
      </c>
      <c r="Z59" s="177" t="n">
        <v>10.85</v>
      </c>
      <c r="AA59" s="177" t="n">
        <v>60.0961538461539</v>
      </c>
      <c r="AB59" s="177" t="n">
        <v>381.693863081158</v>
      </c>
      <c r="AC59" s="215" t="n">
        <v>0</v>
      </c>
      <c r="AD59" s="215" t="s">
        <v>88</v>
      </c>
      <c r="AE59" s="177" t="n">
        <v>0</v>
      </c>
      <c r="AF59" s="177" t="n">
        <v>-381.693863081158</v>
      </c>
      <c r="AG59" s="181"/>
      <c r="AH59" s="180" t="n">
        <v>275.088296293827</v>
      </c>
      <c r="AI59" s="181"/>
      <c r="AJ59" s="181" t="s">
        <v>895</v>
      </c>
      <c r="AK59" s="181" t="s">
        <v>1005</v>
      </c>
      <c r="AL59" s="182" t="n">
        <v>0.489351106514305</v>
      </c>
      <c r="AN59" s="144" t="e">
        <v>#NAME?</v>
      </c>
      <c r="AO59" s="144" t="e">
        <f aca="false">_xlfn.xlookup(AN59,A:A,F:F)</f>
        <v>#NAME?</v>
      </c>
      <c r="AP59" s="144" t="e">
        <f aca="false">_xlfn.xlookup(AN59,A:A,J:J)</f>
        <v>#NAME?</v>
      </c>
      <c r="AQ59" s="144" t="e">
        <f aca="false">_xlfn.xlookup(AN59,A:A,N:N)+_xlfn.xlookup(AN59,A:A,O:O)</f>
        <v>#NAME?</v>
      </c>
      <c r="AR59" s="150" t="e">
        <f aca="false">_xlfn.xlookup(AN59,A:A,AH:AH)</f>
        <v>#NAME?</v>
      </c>
      <c r="AS59" s="150" t="e">
        <f aca="false">_xlfn.xlookup(AN59,A:A,S:S)</f>
        <v>#NAME?</v>
      </c>
      <c r="AT59" s="150" t="e">
        <f aca="false">_xlfn.xlookup(AN59,A:A,AE:AE)</f>
        <v>#NAME?</v>
      </c>
      <c r="AU59" s="150" t="e">
        <f aca="false">_xlfn.xlookup(AN59,A:A,AF:AF)</f>
        <v>#NAME?</v>
      </c>
      <c r="AW59" s="216" t="s">
        <v>754</v>
      </c>
      <c r="AX59" s="217" t="e">
        <f aca="false">#VALUE!</f>
        <v>#VALUE!</v>
      </c>
      <c r="AY59" s="225" t="e">
        <f aca="false">#VALUE!</f>
        <v>#VALUE!</v>
      </c>
      <c r="AZ59" s="225" t="e">
        <f aca="false">#VALUE!</f>
        <v>#VALUE!</v>
      </c>
      <c r="BA59" s="225" t="e">
        <f aca="false">#VALUE!</f>
        <v>#VALUE!</v>
      </c>
      <c r="BB59" s="218" t="e">
        <f aca="false">#VALUE!</f>
        <v>#VALUE!</v>
      </c>
      <c r="BC59" s="0"/>
      <c r="BD59" s="0"/>
      <c r="BE59" s="0"/>
      <c r="BF59" s="187"/>
      <c r="BG59" s="144" t="e">
        <v>#NAME?</v>
      </c>
      <c r="BH59" s="152" t="e">
        <f aca="false">_xlfn.xlookup(BG59,A:A,F:F)</f>
        <v>#NAME?</v>
      </c>
      <c r="BI59" s="144" t="e">
        <f aca="false">_xlfn.xlookup(BG59,A:A,J:J)</f>
        <v>#NAME?</v>
      </c>
      <c r="BJ59" s="153" t="e">
        <f aca="false">_xlfn.xlookup(BG59,A:A,N:N)+_xlfn.xlookup(BG59,A:A,O:O)</f>
        <v>#NAME?</v>
      </c>
      <c r="BK59" s="153" t="e">
        <f aca="false">_xlfn.xlookup(BG59,A8:A1002,AB8:AB1002)</f>
        <v>#NAME?</v>
      </c>
      <c r="BM59" s="205" t="s">
        <v>762</v>
      </c>
      <c r="BN59" s="206" t="e">
        <f aca="false">#VALUE!</f>
        <v>#VALUE!</v>
      </c>
      <c r="BO59" s="208" t="e">
        <f aca="false">#VALUE!</f>
        <v>#VALUE!</v>
      </c>
      <c r="BQ59" s="144" t="str">
        <f aca="false">IF(VALUE(MONTH(C59))&lt;10,YEAR(C59)&amp;"-0"&amp;MONTH(C59),YEAR(C59)&amp;"-"&amp;MONTH(C59))</f>
        <v>2024-09</v>
      </c>
      <c r="BR59" s="144" t="str">
        <f aca="false">J59</f>
        <v>S21-1</v>
      </c>
      <c r="BS59" s="144" t="str">
        <f aca="false">IF(ISNUMBER(FIND("-", BR59)), LEFT(BR59, FIND("-", BR59) - 1), BR59)</f>
        <v>S21</v>
      </c>
      <c r="BT59" s="189" t="n">
        <f aca="false">L59-M59+O59</f>
        <v>970.06</v>
      </c>
    </row>
    <row r="60" customFormat="false" ht="16.4" hidden="false" customHeight="false" outlineLevel="0" collapsed="false">
      <c r="A60" s="140" t="s">
        <v>1006</v>
      </c>
      <c r="B60" s="173"/>
      <c r="C60" s="174" t="n">
        <v>45541</v>
      </c>
      <c r="D60" s="173" t="n">
        <v>204</v>
      </c>
      <c r="E60" s="138" t="s">
        <v>127</v>
      </c>
      <c r="F60" s="138" t="s">
        <v>977</v>
      </c>
      <c r="G60" s="140"/>
      <c r="H60" s="173" t="n">
        <v>40087</v>
      </c>
      <c r="I60" s="173" t="n">
        <v>30017</v>
      </c>
      <c r="J60" s="140" t="s">
        <v>768</v>
      </c>
      <c r="K60" s="140"/>
      <c r="L60" s="175" t="n">
        <v>1339.22</v>
      </c>
      <c r="M60" s="175" t="n">
        <v>552.9</v>
      </c>
      <c r="N60" s="175" t="n">
        <v>756.6</v>
      </c>
      <c r="O60" s="175"/>
      <c r="P60" s="175"/>
      <c r="Q60" s="176" t="n">
        <v>0.5</v>
      </c>
      <c r="R60" s="138" t="n">
        <v>1</v>
      </c>
      <c r="S60" s="177" t="n">
        <v>32.5</v>
      </c>
      <c r="T60" s="215"/>
      <c r="U60" s="178" t="n">
        <v>0.326284886247867</v>
      </c>
      <c r="V60" s="177" t="n">
        <v>246.867144935136</v>
      </c>
      <c r="W60" s="177" t="n">
        <v>9.69718681928661</v>
      </c>
      <c r="X60" s="179" t="n">
        <v>0.0221920222218904</v>
      </c>
      <c r="Y60" s="177" t="n">
        <v>3.15941294117647</v>
      </c>
      <c r="Z60" s="177" t="n">
        <v>10.85</v>
      </c>
      <c r="AA60" s="177" t="n">
        <v>60.0961538461539</v>
      </c>
      <c r="AB60" s="177" t="n">
        <v>363.169898541753</v>
      </c>
      <c r="AC60" s="215" t="n">
        <v>0</v>
      </c>
      <c r="AD60" s="215" t="s">
        <v>88</v>
      </c>
      <c r="AE60" s="177" t="n">
        <v>0</v>
      </c>
      <c r="AF60" s="177" t="n">
        <v>-363.169898541753</v>
      </c>
      <c r="AG60" s="181"/>
      <c r="AH60" s="180" t="n">
        <v>256.564331754423</v>
      </c>
      <c r="AI60" s="181"/>
      <c r="AJ60" s="181" t="s">
        <v>895</v>
      </c>
      <c r="AK60" s="181" t="s">
        <v>1006</v>
      </c>
      <c r="AL60" s="182" t="n">
        <v>0.480002509307101</v>
      </c>
      <c r="AN60" s="144" t="e">
        <v>#NAME?</v>
      </c>
      <c r="AO60" s="144" t="e">
        <f aca="false">_xlfn.xlookup(AN60,A:A,F:F)</f>
        <v>#NAME?</v>
      </c>
      <c r="AP60" s="144" t="e">
        <f aca="false">_xlfn.xlookup(AN60,A:A,J:J)</f>
        <v>#NAME?</v>
      </c>
      <c r="AQ60" s="144" t="e">
        <f aca="false">_xlfn.xlookup(AN60,A:A,N:N)+_xlfn.xlookup(AN60,A:A,O:O)</f>
        <v>#NAME?</v>
      </c>
      <c r="AR60" s="150" t="e">
        <f aca="false">_xlfn.xlookup(AN60,A:A,AH:AH)</f>
        <v>#NAME?</v>
      </c>
      <c r="AS60" s="150" t="e">
        <f aca="false">_xlfn.xlookup(AN60,A:A,S:S)</f>
        <v>#NAME?</v>
      </c>
      <c r="AT60" s="150" t="e">
        <f aca="false">_xlfn.xlookup(AN60,A:A,AE:AE)</f>
        <v>#NAME?</v>
      </c>
      <c r="AU60" s="150" t="e">
        <f aca="false">_xlfn.xlookup(AN60,A:A,AF:AF)</f>
        <v>#NAME?</v>
      </c>
      <c r="AW60" s="194" t="s">
        <v>617</v>
      </c>
      <c r="AX60" s="195" t="e">
        <f aca="false">#VALUE!</f>
        <v>#VALUE!</v>
      </c>
      <c r="AY60" s="196" t="e">
        <f aca="false">#VALUE!</f>
        <v>#VALUE!</v>
      </c>
      <c r="AZ60" s="196" t="e">
        <f aca="false">#VALUE!</f>
        <v>#VALUE!</v>
      </c>
      <c r="BA60" s="196" t="e">
        <f aca="false">#VALUE!</f>
        <v>#VALUE!</v>
      </c>
      <c r="BB60" s="197" t="e">
        <f aca="false">#VALUE!</f>
        <v>#VALUE!</v>
      </c>
      <c r="BC60" s="0"/>
      <c r="BD60" s="0"/>
      <c r="BE60" s="0"/>
      <c r="BF60" s="246"/>
      <c r="BG60" s="144" t="e">
        <v>#NAME?</v>
      </c>
      <c r="BH60" s="152" t="e">
        <f aca="false">_xlfn.xlookup(BG60,A:A,F:F)</f>
        <v>#NAME?</v>
      </c>
      <c r="BI60" s="144" t="e">
        <f aca="false">_xlfn.xlookup(BG60,A:A,J:J)</f>
        <v>#NAME?</v>
      </c>
      <c r="BJ60" s="153" t="e">
        <f aca="false">_xlfn.xlookup(BG60,A:A,N:N)+_xlfn.xlookup(BG60,A:A,O:O)</f>
        <v>#NAME?</v>
      </c>
      <c r="BK60" s="153" t="e">
        <f aca="false">_xlfn.xlookup(BG60,A9:A1003,AB9:AB1003)</f>
        <v>#NAME?</v>
      </c>
      <c r="BM60" s="216" t="s">
        <v>760</v>
      </c>
      <c r="BN60" s="217" t="e">
        <f aca="false">#VALUE!</f>
        <v>#VALUE!</v>
      </c>
      <c r="BO60" s="218" t="e">
        <f aca="false">#VALUE!</f>
        <v>#VALUE!</v>
      </c>
      <c r="BQ60" s="144" t="str">
        <f aca="false">IF(VALUE(MONTH(C60))&lt;10,YEAR(C60)&amp;"-0"&amp;MONTH(C60),YEAR(C60)&amp;"-"&amp;MONTH(C60))</f>
        <v>2024-09</v>
      </c>
      <c r="BR60" s="144" t="str">
        <f aca="false">J60</f>
        <v>B25-3</v>
      </c>
      <c r="BS60" s="144" t="str">
        <f aca="false">IF(ISNUMBER(FIND("-", BR60)), LEFT(BR60, FIND("-", BR60) - 1), BR60)</f>
        <v>B25</v>
      </c>
      <c r="BT60" s="189" t="n">
        <f aca="false">L60-M60+O60</f>
        <v>786.32</v>
      </c>
    </row>
    <row r="61" customFormat="false" ht="16.4" hidden="false" customHeight="false" outlineLevel="0" collapsed="false">
      <c r="A61" s="140" t="s">
        <v>1007</v>
      </c>
      <c r="B61" s="173"/>
      <c r="C61" s="174" t="n">
        <v>45544</v>
      </c>
      <c r="D61" s="173" t="n">
        <v>205</v>
      </c>
      <c r="E61" s="138" t="s">
        <v>94</v>
      </c>
      <c r="F61" s="138" t="s">
        <v>522</v>
      </c>
      <c r="G61" s="140"/>
      <c r="H61" s="173" t="n">
        <v>40088</v>
      </c>
      <c r="I61" s="173" t="n">
        <v>30011</v>
      </c>
      <c r="J61" s="140" t="s">
        <v>760</v>
      </c>
      <c r="K61" s="140"/>
      <c r="L61" s="175" t="n">
        <v>3397.54</v>
      </c>
      <c r="M61" s="175" t="n">
        <v>0</v>
      </c>
      <c r="N61" s="175" t="n">
        <v>3276</v>
      </c>
      <c r="O61" s="175"/>
      <c r="P61" s="175"/>
      <c r="Q61" s="176" t="n">
        <v>1</v>
      </c>
      <c r="R61" s="138" t="n">
        <v>1.25</v>
      </c>
      <c r="S61" s="177" t="n">
        <v>-15.42</v>
      </c>
      <c r="T61" s="215" t="n">
        <v>1.3545</v>
      </c>
      <c r="U61" s="178" t="n">
        <v>0.28357864079936</v>
      </c>
      <c r="V61" s="177" t="n">
        <v>929.003627258703</v>
      </c>
      <c r="W61" s="177" t="n">
        <v>34.4661480027542</v>
      </c>
      <c r="X61" s="179" t="n">
        <v>0.0357729415989216</v>
      </c>
      <c r="Y61" s="177" t="n">
        <v>14.5819058823529</v>
      </c>
      <c r="Z61" s="177" t="n">
        <v>21.7</v>
      </c>
      <c r="AA61" s="177" t="n">
        <v>75.1201923076923</v>
      </c>
      <c r="AB61" s="177" t="n">
        <v>1059.4518734515</v>
      </c>
      <c r="AC61" s="215" t="n">
        <v>0.27</v>
      </c>
      <c r="AD61" s="215" t="s">
        <v>77</v>
      </c>
      <c r="AE61" s="177" t="n">
        <v>1198.08234</v>
      </c>
      <c r="AF61" s="177" t="n">
        <v>138.630466548497</v>
      </c>
      <c r="AG61" s="181" t="n">
        <v>0.115710299634746</v>
      </c>
      <c r="AH61" s="180" t="n">
        <v>963.469775261457</v>
      </c>
      <c r="AI61" s="181" t="n">
        <v>0.804176593790254</v>
      </c>
      <c r="AJ61" s="181"/>
      <c r="AK61" s="181" t="s">
        <v>1007</v>
      </c>
      <c r="AL61" s="182" t="n">
        <v>0.323398007769079</v>
      </c>
      <c r="AN61" s="144" t="e">
        <v>#NAME?</v>
      </c>
      <c r="AO61" s="144" t="e">
        <f aca="false">_xlfn.xlookup(AN61,A:A,F:F)</f>
        <v>#NAME?</v>
      </c>
      <c r="AP61" s="144" t="e">
        <f aca="false">_xlfn.xlookup(AN61,A:A,J:J)</f>
        <v>#NAME?</v>
      </c>
      <c r="AQ61" s="144" t="e">
        <f aca="false">_xlfn.xlookup(AN61,A:A,N:N)+_xlfn.xlookup(AN61,A:A,O:O)</f>
        <v>#NAME?</v>
      </c>
      <c r="AR61" s="150" t="e">
        <f aca="false">_xlfn.xlookup(AN61,A:A,AH:AH)</f>
        <v>#NAME?</v>
      </c>
      <c r="AS61" s="150" t="e">
        <f aca="false">_xlfn.xlookup(AN61,A:A,S:S)</f>
        <v>#NAME?</v>
      </c>
      <c r="AT61" s="150" t="e">
        <f aca="false">_xlfn.xlookup(AN61,A:A,AE:AE)</f>
        <v>#NAME?</v>
      </c>
      <c r="AU61" s="150" t="e">
        <f aca="false">_xlfn.xlookup(AN61,A:A,AF:AF)</f>
        <v>#NAME?</v>
      </c>
      <c r="AW61" s="205" t="s">
        <v>762</v>
      </c>
      <c r="AX61" s="206" t="e">
        <f aca="false">#VALUE!</f>
        <v>#VALUE!</v>
      </c>
      <c r="AY61" s="207" t="e">
        <f aca="false">#VALUE!</f>
        <v>#VALUE!</v>
      </c>
      <c r="AZ61" s="207" t="e">
        <f aca="false">#VALUE!</f>
        <v>#VALUE!</v>
      </c>
      <c r="BA61" s="207" t="e">
        <f aca="false">#VALUE!</f>
        <v>#VALUE!</v>
      </c>
      <c r="BB61" s="208" t="e">
        <f aca="false">#VALUE!</f>
        <v>#VALUE!</v>
      </c>
      <c r="BC61" s="0"/>
      <c r="BD61" s="0"/>
      <c r="BE61" s="0"/>
      <c r="BF61" s="246"/>
      <c r="BG61" s="144" t="e">
        <v>#NAME?</v>
      </c>
      <c r="BH61" s="152" t="e">
        <f aca="false">_xlfn.xlookup(BG61,A:A,F:F)</f>
        <v>#NAME?</v>
      </c>
      <c r="BI61" s="144" t="e">
        <f aca="false">_xlfn.xlookup(BG61,A:A,J:J)</f>
        <v>#NAME?</v>
      </c>
      <c r="BJ61" s="153" t="e">
        <f aca="false">_xlfn.xlookup(BG61,A:A,N:N)+_xlfn.xlookup(BG61,A:A,O:O)</f>
        <v>#NAME?</v>
      </c>
      <c r="BK61" s="153" t="e">
        <f aca="false">_xlfn.xlookup(BG61,A10:A1004,AB10:AB1004)</f>
        <v>#NAME?</v>
      </c>
      <c r="BM61" s="194" t="s">
        <v>582</v>
      </c>
      <c r="BN61" s="195" t="e">
        <f aca="false">#VALUE!</f>
        <v>#VALUE!</v>
      </c>
      <c r="BO61" s="197" t="e">
        <f aca="false">#VALUE!</f>
        <v>#VALUE!</v>
      </c>
      <c r="BQ61" s="144" t="str">
        <f aca="false">IF(VALUE(MONTH(C61))&lt;10,YEAR(C61)&amp;"-0"&amp;MONTH(C61),YEAR(C61)&amp;"-"&amp;MONTH(C61))</f>
        <v>2024-09</v>
      </c>
      <c r="BR61" s="144" t="str">
        <f aca="false">J61</f>
        <v>S21-1</v>
      </c>
      <c r="BS61" s="144" t="str">
        <f aca="false">IF(ISNUMBER(FIND("-", BR61)), LEFT(BR61, FIND("-", BR61) - 1), BR61)</f>
        <v>S21</v>
      </c>
      <c r="BT61" s="189" t="n">
        <f aca="false">L61-M61+O61</f>
        <v>3397.54</v>
      </c>
    </row>
    <row r="62" customFormat="false" ht="16.4" hidden="false" customHeight="false" outlineLevel="0" collapsed="false">
      <c r="A62" s="140" t="s">
        <v>1008</v>
      </c>
      <c r="B62" s="173"/>
      <c r="C62" s="174" t="n">
        <v>45544</v>
      </c>
      <c r="D62" s="173" t="n">
        <v>206</v>
      </c>
      <c r="E62" s="138" t="s">
        <v>89</v>
      </c>
      <c r="F62" s="138" t="s">
        <v>938</v>
      </c>
      <c r="G62" s="140"/>
      <c r="H62" s="173" t="n">
        <v>40089</v>
      </c>
      <c r="I62" s="173" t="n">
        <v>30017</v>
      </c>
      <c r="J62" s="140" t="s">
        <v>768</v>
      </c>
      <c r="K62" s="140"/>
      <c r="L62" s="175" t="n">
        <v>3252.96</v>
      </c>
      <c r="M62" s="175" t="n">
        <v>0</v>
      </c>
      <c r="N62" s="175" t="n">
        <v>3117.6</v>
      </c>
      <c r="O62" s="175" t="n">
        <v>0</v>
      </c>
      <c r="P62" s="175"/>
      <c r="Q62" s="176" t="n">
        <v>1</v>
      </c>
      <c r="R62" s="138" t="n">
        <v>1.5</v>
      </c>
      <c r="S62" s="177" t="n">
        <v>0</v>
      </c>
      <c r="T62" s="215" t="n">
        <v>1.3561</v>
      </c>
      <c r="U62" s="178" t="n">
        <v>0.326284886247867</v>
      </c>
      <c r="V62" s="177" t="n">
        <v>1017.22576136635</v>
      </c>
      <c r="W62" s="177" t="n">
        <v>44.1659222025113</v>
      </c>
      <c r="X62" s="179" t="n">
        <v>0.0416113324479859</v>
      </c>
      <c r="Y62" s="177" t="n">
        <v>14.5819058823529</v>
      </c>
      <c r="Z62" s="177" t="n">
        <v>21.7</v>
      </c>
      <c r="AA62" s="177" t="n">
        <v>90.1442307692308</v>
      </c>
      <c r="AB62" s="177" t="n">
        <v>1187.81782022044</v>
      </c>
      <c r="AC62" s="215" t="n">
        <v>0.34</v>
      </c>
      <c r="AD62" s="215" t="s">
        <v>77</v>
      </c>
      <c r="AE62" s="177" t="n">
        <v>1437.4443024</v>
      </c>
      <c r="AF62" s="177" t="n">
        <v>249.626482179556</v>
      </c>
      <c r="AG62" s="181" t="n">
        <v>0.173659933649444</v>
      </c>
      <c r="AH62" s="180" t="n">
        <v>1061.39168356886</v>
      </c>
      <c r="AI62" s="181" t="n">
        <v>0.738388041746542</v>
      </c>
      <c r="AJ62" s="181"/>
      <c r="AK62" s="181" t="s">
        <v>1008</v>
      </c>
      <c r="AL62" s="182" t="n">
        <v>0.381003919752516</v>
      </c>
      <c r="AN62" s="144" t="e">
        <v>#NAME?</v>
      </c>
      <c r="AO62" s="144" t="e">
        <f aca="false">_xlfn.xlookup(AN62,A:A,F:F)</f>
        <v>#NAME?</v>
      </c>
      <c r="AP62" s="144" t="e">
        <f aca="false">_xlfn.xlookup(AN62,A:A,J:J)</f>
        <v>#NAME?</v>
      </c>
      <c r="AQ62" s="144" t="e">
        <f aca="false">_xlfn.xlookup(AN62,A:A,N:N)+_xlfn.xlookup(AN62,A:A,O:O)</f>
        <v>#NAME?</v>
      </c>
      <c r="AR62" s="150" t="e">
        <f aca="false">_xlfn.xlookup(AN62,A:A,AH:AH)</f>
        <v>#NAME?</v>
      </c>
      <c r="AS62" s="150" t="e">
        <f aca="false">_xlfn.xlookup(AN62,A:A,S:S)</f>
        <v>#NAME?</v>
      </c>
      <c r="AT62" s="150" t="e">
        <f aca="false">_xlfn.xlookup(AN62,A:A,AE:AE)</f>
        <v>#NAME?</v>
      </c>
      <c r="AU62" s="150" t="e">
        <f aca="false">_xlfn.xlookup(AN62,A:A,AF:AF)</f>
        <v>#NAME?</v>
      </c>
      <c r="AW62" s="205" t="s">
        <v>760</v>
      </c>
      <c r="AX62" s="206" t="e">
        <f aca="false">#VALUE!</f>
        <v>#VALUE!</v>
      </c>
      <c r="AY62" s="207" t="e">
        <f aca="false">#VALUE!</f>
        <v>#VALUE!</v>
      </c>
      <c r="AZ62" s="207" t="e">
        <f aca="false">#VALUE!</f>
        <v>#VALUE!</v>
      </c>
      <c r="BA62" s="207" t="e">
        <f aca="false">#VALUE!</f>
        <v>#VALUE!</v>
      </c>
      <c r="BB62" s="208" t="e">
        <f aca="false">#VALUE!</f>
        <v>#VALUE!</v>
      </c>
      <c r="BC62" s="0"/>
      <c r="BD62" s="0"/>
      <c r="BE62" s="0"/>
      <c r="BF62" s="246"/>
      <c r="BG62" s="144" t="e">
        <v>#NAME?</v>
      </c>
      <c r="BH62" s="152" t="e">
        <f aca="false">_xlfn.xlookup(BG62,A:A,F:F)</f>
        <v>#NAME?</v>
      </c>
      <c r="BI62" s="144" t="e">
        <f aca="false">_xlfn.xlookup(BG62,A:A,J:J)</f>
        <v>#NAME?</v>
      </c>
      <c r="BJ62" s="153" t="e">
        <f aca="false">_xlfn.xlookup(BG62,A:A,N:N)+_xlfn.xlookup(BG62,A:A,O:O)</f>
        <v>#NAME?</v>
      </c>
      <c r="BK62" s="153" t="e">
        <f aca="false">_xlfn.xlookup(BG62,A11:A1005,AB11:AB1005)</f>
        <v>#NAME?</v>
      </c>
      <c r="BM62" s="205" t="s">
        <v>908</v>
      </c>
      <c r="BN62" s="206" t="e">
        <f aca="false">#VALUE!</f>
        <v>#VALUE!</v>
      </c>
      <c r="BO62" s="208" t="e">
        <f aca="false">#VALUE!</f>
        <v>#VALUE!</v>
      </c>
      <c r="BQ62" s="144" t="str">
        <f aca="false">IF(VALUE(MONTH(C62))&lt;10,YEAR(C62)&amp;"-0"&amp;MONTH(C62),YEAR(C62)&amp;"-"&amp;MONTH(C62))</f>
        <v>2024-09</v>
      </c>
      <c r="BR62" s="144" t="str">
        <f aca="false">J62</f>
        <v>B25-3</v>
      </c>
      <c r="BS62" s="144" t="str">
        <f aca="false">IF(ISNUMBER(FIND("-", BR62)), LEFT(BR62, FIND("-", BR62) - 1), BR62)</f>
        <v>B25</v>
      </c>
      <c r="BT62" s="189" t="n">
        <f aca="false">L62-M62+O62</f>
        <v>3252.96</v>
      </c>
    </row>
    <row r="63" customFormat="false" ht="16.4" hidden="false" customHeight="false" outlineLevel="0" collapsed="false">
      <c r="A63" s="140" t="s">
        <v>1009</v>
      </c>
      <c r="B63" s="173"/>
      <c r="C63" s="174" t="n">
        <v>45546</v>
      </c>
      <c r="D63" s="173" t="n">
        <v>207</v>
      </c>
      <c r="E63" s="138" t="s">
        <v>109</v>
      </c>
      <c r="F63" s="138" t="s">
        <v>109</v>
      </c>
      <c r="G63" s="140"/>
      <c r="H63" s="173" t="n">
        <v>40090</v>
      </c>
      <c r="I63" s="173" t="n">
        <v>30012</v>
      </c>
      <c r="J63" s="140" t="s">
        <v>908</v>
      </c>
      <c r="K63" s="140"/>
      <c r="L63" s="175" t="n">
        <v>7115.31</v>
      </c>
      <c r="M63" s="175" t="n">
        <v>0</v>
      </c>
      <c r="N63" s="175" t="n">
        <v>6912</v>
      </c>
      <c r="O63" s="175"/>
      <c r="P63" s="175"/>
      <c r="Q63" s="176" t="n">
        <v>2</v>
      </c>
      <c r="R63" s="138" t="n">
        <v>3.75</v>
      </c>
      <c r="S63" s="177" t="n">
        <v>109.65</v>
      </c>
      <c r="T63" s="215"/>
      <c r="U63" s="178" t="n">
        <v>0.327974576595346</v>
      </c>
      <c r="V63" s="177" t="n">
        <v>2266.96027342703</v>
      </c>
      <c r="W63" s="177" t="n">
        <v>66.6805111676</v>
      </c>
      <c r="X63" s="179" t="n">
        <v>0.0285735969339355</v>
      </c>
      <c r="Y63" s="177" t="n">
        <v>29.1638117647059</v>
      </c>
      <c r="Z63" s="177" t="n">
        <v>43.4</v>
      </c>
      <c r="AA63" s="177" t="n">
        <v>225.360576923077</v>
      </c>
      <c r="AB63" s="177" t="n">
        <v>2741.21517328242</v>
      </c>
      <c r="AC63" s="215" t="n">
        <v>0.48</v>
      </c>
      <c r="AD63" s="215" t="s">
        <v>88</v>
      </c>
      <c r="AE63" s="177" t="n">
        <v>3317.76</v>
      </c>
      <c r="AF63" s="177" t="n">
        <v>576.544826717584</v>
      </c>
      <c r="AG63" s="181" t="n">
        <v>0.173775326339935</v>
      </c>
      <c r="AH63" s="180" t="n">
        <v>2333.64078459463</v>
      </c>
      <c r="AI63" s="181" t="n">
        <v>0.70337841935361</v>
      </c>
      <c r="AJ63" s="181"/>
      <c r="AK63" s="181" t="s">
        <v>1009</v>
      </c>
      <c r="AL63" s="182" t="n">
        <v>0.396587843356831</v>
      </c>
      <c r="AN63" s="144" t="e">
        <v>#NAME?</v>
      </c>
      <c r="AO63" s="144" t="e">
        <f aca="false">_xlfn.xlookup(AN63,A:A,F:F)</f>
        <v>#NAME?</v>
      </c>
      <c r="AP63" s="144" t="e">
        <f aca="false">_xlfn.xlookup(AN63,A:A,J:J)</f>
        <v>#NAME?</v>
      </c>
      <c r="AQ63" s="144" t="e">
        <f aca="false">_xlfn.xlookup(AN63,A:A,N:N)+_xlfn.xlookup(AN63,A:A,O:O)</f>
        <v>#NAME?</v>
      </c>
      <c r="AR63" s="150" t="e">
        <f aca="false">_xlfn.xlookup(AN63,A:A,AH:AH)</f>
        <v>#NAME?</v>
      </c>
      <c r="AS63" s="150" t="e">
        <f aca="false">_xlfn.xlookup(AN63,A:A,S:S)</f>
        <v>#NAME?</v>
      </c>
      <c r="AT63" s="150" t="e">
        <f aca="false">_xlfn.xlookup(AN63,A:A,AE:AE)</f>
        <v>#NAME?</v>
      </c>
      <c r="AU63" s="150" t="e">
        <f aca="false">_xlfn.xlookup(AN63,A:A,AF:AF)</f>
        <v>#NAME?</v>
      </c>
      <c r="AW63" s="216" t="s">
        <v>754</v>
      </c>
      <c r="AX63" s="217" t="e">
        <f aca="false">#VALUE!</f>
        <v>#VALUE!</v>
      </c>
      <c r="AY63" s="225" t="e">
        <f aca="false">#VALUE!</f>
        <v>#VALUE!</v>
      </c>
      <c r="AZ63" s="225" t="e">
        <f aca="false">#VALUE!</f>
        <v>#VALUE!</v>
      </c>
      <c r="BA63" s="225" t="e">
        <f aca="false">#VALUE!</f>
        <v>#VALUE!</v>
      </c>
      <c r="BB63" s="218" t="e">
        <f aca="false">#VALUE!</f>
        <v>#VALUE!</v>
      </c>
      <c r="BC63" s="0"/>
      <c r="BD63" s="0"/>
      <c r="BE63" s="0"/>
      <c r="BF63" s="246"/>
      <c r="BG63" s="144" t="e">
        <v>#NAME?</v>
      </c>
      <c r="BH63" s="152" t="e">
        <f aca="false">_xlfn.xlookup(BG63,A:A,F:F)</f>
        <v>#NAME?</v>
      </c>
      <c r="BI63" s="144" t="e">
        <f aca="false">_xlfn.xlookup(BG63,A:A,J:J)</f>
        <v>#NAME?</v>
      </c>
      <c r="BJ63" s="153" t="e">
        <f aca="false">_xlfn.xlookup(BG63,A:A,N:N)+_xlfn.xlookup(BG63,A:A,O:O)</f>
        <v>#NAME?</v>
      </c>
      <c r="BK63" s="153" t="e">
        <f aca="false">_xlfn.xlookup(BG63,A12:A1006,AB12:AB1006)</f>
        <v>#NAME?</v>
      </c>
      <c r="BM63" s="205" t="s">
        <v>768</v>
      </c>
      <c r="BN63" s="206" t="e">
        <f aca="false">#VALUE!</f>
        <v>#VALUE!</v>
      </c>
      <c r="BO63" s="208" t="e">
        <f aca="false">#VALUE!</f>
        <v>#VALUE!</v>
      </c>
      <c r="BQ63" s="144" t="str">
        <f aca="false">IF(VALUE(MONTH(C63))&lt;10,YEAR(C63)&amp;"-0"&amp;MONTH(C63),YEAR(C63)&amp;"-"&amp;MONTH(C63))</f>
        <v>2024-09</v>
      </c>
      <c r="BR63" s="144" t="str">
        <f aca="false">J63</f>
        <v>D21-1</v>
      </c>
      <c r="BS63" s="144" t="str">
        <f aca="false">IF(ISNUMBER(FIND("-", BR63)), LEFT(BR63, FIND("-", BR63) - 1), BR63)</f>
        <v>D21</v>
      </c>
      <c r="BT63" s="189" t="n">
        <f aca="false">L63-M63+O63</f>
        <v>7115.31</v>
      </c>
    </row>
    <row r="64" customFormat="false" ht="16.4" hidden="false" customHeight="false" outlineLevel="0" collapsed="false">
      <c r="A64" s="140" t="s">
        <v>1010</v>
      </c>
      <c r="B64" s="173"/>
      <c r="C64" s="174" t="n">
        <v>45553</v>
      </c>
      <c r="D64" s="173" t="n">
        <v>208</v>
      </c>
      <c r="E64" s="138" t="s">
        <v>131</v>
      </c>
      <c r="F64" s="138" t="s">
        <v>131</v>
      </c>
      <c r="G64" s="140" t="s">
        <v>1011</v>
      </c>
      <c r="H64" s="173" t="n">
        <v>40093</v>
      </c>
      <c r="I64" s="173" t="n">
        <v>30012</v>
      </c>
      <c r="J64" s="140" t="s">
        <v>908</v>
      </c>
      <c r="K64" s="140"/>
      <c r="L64" s="175" t="n">
        <v>6856.5168</v>
      </c>
      <c r="M64" s="175" t="n">
        <v>6626</v>
      </c>
      <c r="N64" s="175"/>
      <c r="O64" s="175"/>
      <c r="P64" s="175"/>
      <c r="Q64" s="176" t="n">
        <v>0</v>
      </c>
      <c r="R64" s="138" t="n">
        <v>1.75</v>
      </c>
      <c r="S64" s="177" t="n">
        <v>0</v>
      </c>
      <c r="T64" s="215"/>
      <c r="U64" s="178" t="n">
        <v>0.327974576595346</v>
      </c>
      <c r="V64" s="177" t="n">
        <v>0</v>
      </c>
      <c r="W64" s="177" t="n">
        <v>75.6036498781142</v>
      </c>
      <c r="X64" s="179" t="n">
        <v>0.0336201028487235</v>
      </c>
      <c r="Y64" s="177" t="n">
        <v>11.9571628235294</v>
      </c>
      <c r="Z64" s="177" t="n">
        <v>0</v>
      </c>
      <c r="AA64" s="177" t="n">
        <v>105.168269230769</v>
      </c>
      <c r="AB64" s="177" t="n">
        <v>192.729081932413</v>
      </c>
      <c r="AC64" s="215" t="n">
        <v>0</v>
      </c>
      <c r="AD64" s="215" t="s">
        <v>88</v>
      </c>
      <c r="AE64" s="177" t="n">
        <v>0</v>
      </c>
      <c r="AF64" s="177" t="n">
        <v>-192.729081932413</v>
      </c>
      <c r="AG64" s="181"/>
      <c r="AH64" s="180" t="n">
        <v>75.6036498781142</v>
      </c>
      <c r="AI64" s="181"/>
      <c r="AJ64" s="181" t="s">
        <v>895</v>
      </c>
      <c r="AK64" s="181" t="s">
        <v>1010</v>
      </c>
      <c r="AL64" s="182" t="n">
        <v>0.368471517707711</v>
      </c>
      <c r="AN64" s="144" t="e">
        <v>#NAME?</v>
      </c>
      <c r="AO64" s="144" t="e">
        <f aca="false">_xlfn.xlookup(AN64,A:A,F:F)</f>
        <v>#NAME?</v>
      </c>
      <c r="AP64" s="144" t="e">
        <f aca="false">_xlfn.xlookup(AN64,A:A,J:J)</f>
        <v>#NAME?</v>
      </c>
      <c r="AQ64" s="144" t="e">
        <f aca="false">_xlfn.xlookup(AN64,A:A,N:N)+_xlfn.xlookup(AN64,A:A,O:O)</f>
        <v>#NAME?</v>
      </c>
      <c r="AR64" s="150" t="e">
        <f aca="false">_xlfn.xlookup(AN64,A:A,AH:AH)</f>
        <v>#NAME?</v>
      </c>
      <c r="AS64" s="150" t="e">
        <f aca="false">_xlfn.xlookup(AN64,A:A,S:S)</f>
        <v>#NAME?</v>
      </c>
      <c r="AT64" s="150" t="e">
        <f aca="false">_xlfn.xlookup(AN64,A:A,AE:AE)</f>
        <v>#NAME?</v>
      </c>
      <c r="AU64" s="150" t="e">
        <f aca="false">_xlfn.xlookup(AN64,A:A,AF:AF)</f>
        <v>#NAME?</v>
      </c>
      <c r="AW64" s="194" t="s">
        <v>671</v>
      </c>
      <c r="AX64" s="195" t="e">
        <f aca="false">#VALUE!</f>
        <v>#VALUE!</v>
      </c>
      <c r="AY64" s="196" t="e">
        <f aca="false">#VALUE!</f>
        <v>#VALUE!</v>
      </c>
      <c r="AZ64" s="196" t="e">
        <f aca="false">#VALUE!</f>
        <v>#VALUE!</v>
      </c>
      <c r="BA64" s="196" t="e">
        <f aca="false">#VALUE!</f>
        <v>#VALUE!</v>
      </c>
      <c r="BB64" s="197" t="e">
        <f aca="false">#VALUE!</f>
        <v>#VALUE!</v>
      </c>
      <c r="BC64" s="0"/>
      <c r="BD64" s="0"/>
      <c r="BE64" s="0"/>
      <c r="BF64" s="246"/>
      <c r="BG64" s="144" t="e">
        <v>#NAME?</v>
      </c>
      <c r="BH64" s="152" t="e">
        <f aca="false">_xlfn.xlookup(BG64,A:A,F:F)</f>
        <v>#NAME?</v>
      </c>
      <c r="BI64" s="144" t="e">
        <f aca="false">_xlfn.xlookup(BG64,A:A,J:J)</f>
        <v>#NAME?</v>
      </c>
      <c r="BJ64" s="153" t="e">
        <f aca="false">_xlfn.xlookup(BG64,A:A,N:N)+_xlfn.xlookup(BG64,A:A,O:O)</f>
        <v>#NAME?</v>
      </c>
      <c r="BK64" s="153" t="e">
        <f aca="false">_xlfn.xlookup(BG64,A13:A1007,AB13:AB1007)</f>
        <v>#NAME?</v>
      </c>
      <c r="BM64" s="216" t="s">
        <v>754</v>
      </c>
      <c r="BN64" s="217" t="e">
        <f aca="false">#VALUE!</f>
        <v>#VALUE!</v>
      </c>
      <c r="BO64" s="218" t="e">
        <f aca="false">#VALUE!</f>
        <v>#VALUE!</v>
      </c>
      <c r="BT64" s="189"/>
    </row>
    <row r="65" customFormat="false" ht="16.4" hidden="false" customHeight="false" outlineLevel="0" collapsed="false">
      <c r="A65" s="140" t="s">
        <v>1012</v>
      </c>
      <c r="B65" s="173"/>
      <c r="C65" s="174" t="n">
        <v>45555</v>
      </c>
      <c r="D65" s="173" t="n">
        <v>209</v>
      </c>
      <c r="E65" s="138" t="s">
        <v>134</v>
      </c>
      <c r="F65" s="138" t="s">
        <v>671</v>
      </c>
      <c r="G65" s="140"/>
      <c r="H65" s="173" t="n">
        <v>40094</v>
      </c>
      <c r="I65" s="173" t="n">
        <v>30015</v>
      </c>
      <c r="J65" s="140" t="s">
        <v>762</v>
      </c>
      <c r="K65" s="140"/>
      <c r="L65" s="175" t="n">
        <v>6795</v>
      </c>
      <c r="M65" s="175" t="n">
        <v>3036.1</v>
      </c>
      <c r="N65" s="175" t="n">
        <v>3600</v>
      </c>
      <c r="O65" s="175"/>
      <c r="P65" s="175"/>
      <c r="Q65" s="176" t="n">
        <v>1</v>
      </c>
      <c r="R65" s="138" t="n">
        <v>1.5</v>
      </c>
      <c r="S65" s="177" t="n">
        <v>38.3333333333333</v>
      </c>
      <c r="T65" s="215"/>
      <c r="U65" s="178" t="n">
        <v>0.268854241086576</v>
      </c>
      <c r="V65" s="177" t="n">
        <v>967.875267911675</v>
      </c>
      <c r="W65" s="177" t="n">
        <v>42.720938908657</v>
      </c>
      <c r="X65" s="179" t="n">
        <v>0.0233848417954378</v>
      </c>
      <c r="Y65" s="177" t="n">
        <v>14.5819058823529</v>
      </c>
      <c r="Z65" s="177" t="n">
        <v>21.7</v>
      </c>
      <c r="AA65" s="177" t="n">
        <v>90.1442307692308</v>
      </c>
      <c r="AB65" s="177" t="n">
        <v>1175.35567680525</v>
      </c>
      <c r="AC65" s="215" t="n">
        <v>0.343</v>
      </c>
      <c r="AD65" s="215" t="s">
        <v>88</v>
      </c>
      <c r="AE65" s="177" t="n">
        <v>1234.8</v>
      </c>
      <c r="AF65" s="177" t="n">
        <v>59.444323194751</v>
      </c>
      <c r="AG65" s="181" t="n">
        <v>0.0481408513077024</v>
      </c>
      <c r="AH65" s="180" t="n">
        <v>1010.59620682033</v>
      </c>
      <c r="AI65" s="181" t="n">
        <v>0.818429062860651</v>
      </c>
      <c r="AJ65" s="181"/>
      <c r="AK65" s="181" t="s">
        <v>1012</v>
      </c>
      <c r="AL65" s="182" t="n">
        <v>0.326487688001458</v>
      </c>
      <c r="AN65" s="144" t="e">
        <v>#NAME?</v>
      </c>
      <c r="AO65" s="144" t="e">
        <f aca="false">_xlfn.xlookup(AN65,A:A,F:F)</f>
        <v>#NAME?</v>
      </c>
      <c r="AP65" s="144" t="e">
        <f aca="false">_xlfn.xlookup(AN65,A:A,J:J)</f>
        <v>#NAME?</v>
      </c>
      <c r="AQ65" s="144" t="e">
        <f aca="false">_xlfn.xlookup(AN65,A:A,N:N)+_xlfn.xlookup(AN65,A:A,O:O)</f>
        <v>#NAME?</v>
      </c>
      <c r="AR65" s="150" t="e">
        <f aca="false">_xlfn.xlookup(AN65,A:A,AH:AH)</f>
        <v>#NAME?</v>
      </c>
      <c r="AS65" s="150" t="e">
        <f aca="false">_xlfn.xlookup(AN65,A:A,S:S)</f>
        <v>#NAME?</v>
      </c>
      <c r="AT65" s="150" t="e">
        <f aca="false">_xlfn.xlookup(AN65,A:A,AE:AE)</f>
        <v>#NAME?</v>
      </c>
      <c r="AU65" s="150" t="e">
        <f aca="false">_xlfn.xlookup(AN65,A:A,AF:AF)</f>
        <v>#NAME?</v>
      </c>
      <c r="AW65" s="205" t="s">
        <v>768</v>
      </c>
      <c r="AX65" s="206" t="e">
        <f aca="false">#VALUE!</f>
        <v>#VALUE!</v>
      </c>
      <c r="AY65" s="207" t="e">
        <f aca="false">#VALUE!</f>
        <v>#VALUE!</v>
      </c>
      <c r="AZ65" s="207" t="e">
        <f aca="false">#VALUE!</f>
        <v>#VALUE!</v>
      </c>
      <c r="BA65" s="207" t="e">
        <f aca="false">#VALUE!</f>
        <v>#VALUE!</v>
      </c>
      <c r="BB65" s="208" t="e">
        <f aca="false">#VALUE!</f>
        <v>#VALUE!</v>
      </c>
      <c r="BC65" s="0"/>
      <c r="BD65" s="0"/>
      <c r="BE65" s="0"/>
      <c r="BF65" s="246"/>
      <c r="BG65" s="144" t="e">
        <v>#NAME?</v>
      </c>
      <c r="BH65" s="152" t="e">
        <f aca="false">_xlfn.xlookup(BG65,A:A,F:F)</f>
        <v>#NAME?</v>
      </c>
      <c r="BI65" s="144" t="e">
        <f aca="false">_xlfn.xlookup(BG65,A:A,J:J)</f>
        <v>#NAME?</v>
      </c>
      <c r="BJ65" s="153" t="e">
        <f aca="false">_xlfn.xlookup(BG65,A:A,N:N)+_xlfn.xlookup(BG65,A:A,O:O)</f>
        <v>#NAME?</v>
      </c>
      <c r="BK65" s="153" t="e">
        <f aca="false">_xlfn.xlookup(BG65,A14:A1008,AB14:AB1008)</f>
        <v>#NAME?</v>
      </c>
      <c r="BM65" s="194" t="s">
        <v>146</v>
      </c>
      <c r="BN65" s="195" t="e">
        <f aca="false">#VALUE!</f>
        <v>#VALUE!</v>
      </c>
      <c r="BO65" s="197" t="e">
        <f aca="false">#VALUE!</f>
        <v>#VALUE!</v>
      </c>
      <c r="BQ65" s="144" t="str">
        <f aca="false">IF(VALUE(MONTH(C65))&lt;10,YEAR(C65)&amp;"-0"&amp;MONTH(C65),YEAR(C65)&amp;"-"&amp;MONTH(C65))</f>
        <v>2024-09</v>
      </c>
      <c r="BR65" s="144" t="str">
        <f aca="false">J65</f>
        <v>S15-3</v>
      </c>
      <c r="BS65" s="144" t="str">
        <f aca="false">IF(ISNUMBER(FIND("-", BR65)), LEFT(BR65, FIND("-", BR65) - 1), BR65)</f>
        <v>S15</v>
      </c>
      <c r="BT65" s="189" t="n">
        <f aca="false">L65-M65+O65</f>
        <v>3758.9</v>
      </c>
    </row>
    <row r="66" customFormat="false" ht="16.4" hidden="false" customHeight="false" outlineLevel="0" collapsed="false">
      <c r="A66" s="140" t="s">
        <v>1013</v>
      </c>
      <c r="B66" s="173"/>
      <c r="C66" s="174" t="n">
        <v>45555</v>
      </c>
      <c r="D66" s="173" t="n">
        <v>209</v>
      </c>
      <c r="E66" s="138" t="s">
        <v>134</v>
      </c>
      <c r="F66" s="138" t="s">
        <v>671</v>
      </c>
      <c r="G66" s="140"/>
      <c r="H66" s="173" t="n">
        <v>40096</v>
      </c>
      <c r="I66" s="173" t="n">
        <v>30017</v>
      </c>
      <c r="J66" s="140" t="s">
        <v>768</v>
      </c>
      <c r="K66" s="140"/>
      <c r="L66" s="175" t="n">
        <v>13945.1</v>
      </c>
      <c r="M66" s="175" t="n">
        <v>6571.7</v>
      </c>
      <c r="N66" s="175" t="n">
        <v>7200</v>
      </c>
      <c r="O66" s="175"/>
      <c r="P66" s="175"/>
      <c r="Q66" s="176" t="n">
        <v>1</v>
      </c>
      <c r="R66" s="138" t="n">
        <v>1.5</v>
      </c>
      <c r="S66" s="177" t="n">
        <v>76.6666666666667</v>
      </c>
      <c r="T66" s="215"/>
      <c r="U66" s="178" t="n">
        <v>0.326284886247867</v>
      </c>
      <c r="V66" s="177" t="n">
        <v>2349.25118098464</v>
      </c>
      <c r="W66" s="177" t="n">
        <v>56.5777992753803</v>
      </c>
      <c r="X66" s="179" t="n">
        <v>0.012434475192003</v>
      </c>
      <c r="Y66" s="177" t="n">
        <v>29.1638117647059</v>
      </c>
      <c r="Z66" s="177" t="n">
        <v>21.7</v>
      </c>
      <c r="AA66" s="177" t="n">
        <v>90.1442307692308</v>
      </c>
      <c r="AB66" s="177" t="n">
        <v>2623.50368946062</v>
      </c>
      <c r="AC66" s="215" t="n">
        <v>0.452</v>
      </c>
      <c r="AD66" s="215" t="s">
        <v>88</v>
      </c>
      <c r="AE66" s="177" t="n">
        <v>3254.4</v>
      </c>
      <c r="AF66" s="177" t="n">
        <v>630.896310539376</v>
      </c>
      <c r="AG66" s="181" t="n">
        <v>0.193859485785207</v>
      </c>
      <c r="AH66" s="180" t="n">
        <v>2405.82898026002</v>
      </c>
      <c r="AI66" s="181" t="n">
        <v>0.739254234347352</v>
      </c>
      <c r="AJ66" s="181"/>
      <c r="AK66" s="181" t="s">
        <v>1013</v>
      </c>
      <c r="AL66" s="182" t="n">
        <v>0.364375512425087</v>
      </c>
      <c r="AN66" s="144" t="e">
        <v>#NAME?</v>
      </c>
      <c r="AO66" s="144" t="e">
        <f aca="false">_xlfn.xlookup(AN66,A:A,F:F)</f>
        <v>#NAME?</v>
      </c>
      <c r="AP66" s="144" t="e">
        <f aca="false">_xlfn.xlookup(AN66,A:A,J:J)</f>
        <v>#NAME?</v>
      </c>
      <c r="AQ66" s="144" t="e">
        <f aca="false">_xlfn.xlookup(AN66,A:A,N:N)+_xlfn.xlookup(AN66,A:A,O:O)</f>
        <v>#NAME?</v>
      </c>
      <c r="AR66" s="150" t="e">
        <f aca="false">_xlfn.xlookup(AN66,A:A,AH:AH)</f>
        <v>#NAME?</v>
      </c>
      <c r="AS66" s="150" t="e">
        <f aca="false">_xlfn.xlookup(AN66,A:A,S:S)</f>
        <v>#NAME?</v>
      </c>
      <c r="AT66" s="150" t="e">
        <f aca="false">_xlfn.xlookup(AN66,A:A,AE:AE)</f>
        <v>#NAME?</v>
      </c>
      <c r="AU66" s="150" t="e">
        <f aca="false">_xlfn.xlookup(AN66,A:A,AF:AF)</f>
        <v>#NAME?</v>
      </c>
      <c r="AW66" s="205" t="s">
        <v>904</v>
      </c>
      <c r="AX66" s="206" t="e">
        <f aca="false">#VALUE!</f>
        <v>#VALUE!</v>
      </c>
      <c r="AY66" s="207" t="e">
        <f aca="false">#VALUE!</f>
        <v>#VALUE!</v>
      </c>
      <c r="AZ66" s="207" t="e">
        <f aca="false">#VALUE!</f>
        <v>#VALUE!</v>
      </c>
      <c r="BA66" s="207" t="e">
        <f aca="false">#VALUE!</f>
        <v>#VALUE!</v>
      </c>
      <c r="BB66" s="208" t="e">
        <f aca="false">#VALUE!</f>
        <v>#VALUE!</v>
      </c>
      <c r="BC66" s="0"/>
      <c r="BD66" s="0"/>
      <c r="BE66" s="0"/>
      <c r="BF66" s="246"/>
      <c r="BG66" s="144" t="e">
        <v>#NAME?</v>
      </c>
      <c r="BH66" s="152" t="e">
        <f aca="false">_xlfn.xlookup(BG66,A:A,F:F)</f>
        <v>#NAME?</v>
      </c>
      <c r="BI66" s="144" t="e">
        <f aca="false">_xlfn.xlookup(BG66,A:A,J:J)</f>
        <v>#NAME?</v>
      </c>
      <c r="BJ66" s="153" t="e">
        <f aca="false">_xlfn.xlookup(BG66,A:A,N:N)+_xlfn.xlookup(BG66,A:A,O:O)</f>
        <v>#NAME?</v>
      </c>
      <c r="BK66" s="153" t="e">
        <f aca="false">_xlfn.xlookup(BG66,A15:A1009,AB15:AB1009)</f>
        <v>#NAME?</v>
      </c>
      <c r="BM66" s="216" t="s">
        <v>911</v>
      </c>
      <c r="BN66" s="217" t="e">
        <f aca="false">#VALUE!</f>
        <v>#VALUE!</v>
      </c>
      <c r="BO66" s="218" t="e">
        <f aca="false">#VALUE!</f>
        <v>#VALUE!</v>
      </c>
      <c r="BQ66" s="144" t="str">
        <f aca="false">IF(VALUE(MONTH(C66))&lt;10,YEAR(C66)&amp;"-0"&amp;MONTH(C66),YEAR(C66)&amp;"-"&amp;MONTH(C66))</f>
        <v>2024-09</v>
      </c>
      <c r="BR66" s="144" t="str">
        <f aca="false">J66</f>
        <v>B25-3</v>
      </c>
      <c r="BS66" s="144" t="str">
        <f aca="false">IF(ISNUMBER(FIND("-", BR66)), LEFT(BR66, FIND("-", BR66) - 1), BR66)</f>
        <v>B25</v>
      </c>
      <c r="BT66" s="189" t="n">
        <f aca="false">L66-M66+O66</f>
        <v>7373.4</v>
      </c>
    </row>
    <row r="67" customFormat="false" ht="16.4" hidden="false" customHeight="false" outlineLevel="0" collapsed="false">
      <c r="A67" s="140" t="s">
        <v>1014</v>
      </c>
      <c r="B67" s="173"/>
      <c r="C67" s="174" t="n">
        <v>45559</v>
      </c>
      <c r="D67" s="173" t="n">
        <v>210</v>
      </c>
      <c r="E67" s="138" t="s">
        <v>96</v>
      </c>
      <c r="F67" s="138" t="s">
        <v>582</v>
      </c>
      <c r="G67" s="140"/>
      <c r="H67" s="173" t="n">
        <v>40098</v>
      </c>
      <c r="I67" s="173" t="n">
        <v>30017</v>
      </c>
      <c r="J67" s="140" t="s">
        <v>768</v>
      </c>
      <c r="K67" s="140"/>
      <c r="L67" s="175" t="n">
        <v>20659.19</v>
      </c>
      <c r="M67" s="175" t="n">
        <v>4698.72</v>
      </c>
      <c r="N67" s="175" t="n">
        <v>15729.378</v>
      </c>
      <c r="O67" s="175"/>
      <c r="P67" s="175"/>
      <c r="Q67" s="176" t="n">
        <v>3</v>
      </c>
      <c r="R67" s="138" t="n">
        <v>4.5</v>
      </c>
      <c r="S67" s="177" t="n">
        <v>0</v>
      </c>
      <c r="T67" s="215"/>
      <c r="U67" s="178" t="n">
        <v>0.326284886247867</v>
      </c>
      <c r="V67" s="177" t="n">
        <v>5132.2583114797</v>
      </c>
      <c r="W67" s="177" t="n">
        <v>75.4018269327913</v>
      </c>
      <c r="X67" s="179" t="n">
        <v>0.0111859177441128</v>
      </c>
      <c r="Y67" s="177" t="n">
        <v>43.7384266941177</v>
      </c>
      <c r="Z67" s="177" t="n">
        <v>65.1</v>
      </c>
      <c r="AA67" s="177" t="n">
        <v>270.432692307692</v>
      </c>
      <c r="AB67" s="177" t="n">
        <v>5586.9312574143</v>
      </c>
      <c r="AC67" s="215" t="n">
        <v>0.452</v>
      </c>
      <c r="AD67" s="215" t="s">
        <v>88</v>
      </c>
      <c r="AE67" s="177" t="n">
        <v>7109.678856</v>
      </c>
      <c r="AF67" s="177" t="n">
        <v>1522.7475985857</v>
      </c>
      <c r="AG67" s="181" t="n">
        <v>0.21417951913547</v>
      </c>
      <c r="AH67" s="180" t="n">
        <v>5207.66013841249</v>
      </c>
      <c r="AI67" s="181" t="n">
        <v>0.732474735341617</v>
      </c>
      <c r="AJ67" s="181"/>
      <c r="AK67" s="181" t="s">
        <v>1014</v>
      </c>
      <c r="AL67" s="182" t="n">
        <v>0.355190857350768</v>
      </c>
      <c r="AN67" s="144" t="e">
        <v>#NAME?</v>
      </c>
      <c r="AO67" s="144" t="e">
        <f aca="false">_xlfn.xlookup(AN67,A:A,F:F)</f>
        <v>#NAME?</v>
      </c>
      <c r="AP67" s="144" t="e">
        <f aca="false">_xlfn.xlookup(AN67,A:A,J:J)</f>
        <v>#NAME?</v>
      </c>
      <c r="AQ67" s="144" t="e">
        <f aca="false">_xlfn.xlookup(AN67,A:A,N:N)+_xlfn.xlookup(AN67,A:A,O:O)</f>
        <v>#NAME?</v>
      </c>
      <c r="AR67" s="150" t="e">
        <f aca="false">_xlfn.xlookup(AN67,A:A,AH:AH)</f>
        <v>#NAME?</v>
      </c>
      <c r="AS67" s="150" t="e">
        <f aca="false">_xlfn.xlookup(AN67,A:A,S:S)</f>
        <v>#NAME?</v>
      </c>
      <c r="AT67" s="150" t="e">
        <f aca="false">_xlfn.xlookup(AN67,A:A,AE:AE)</f>
        <v>#NAME?</v>
      </c>
      <c r="AU67" s="150" t="e">
        <f aca="false">_xlfn.xlookup(AN67,A:A,AF:AF)</f>
        <v>#NAME?</v>
      </c>
      <c r="AW67" s="216" t="s">
        <v>762</v>
      </c>
      <c r="AX67" s="217" t="e">
        <f aca="false">#VALUE!</f>
        <v>#VALUE!</v>
      </c>
      <c r="AY67" s="225" t="e">
        <f aca="false">#VALUE!</f>
        <v>#VALUE!</v>
      </c>
      <c r="AZ67" s="225" t="e">
        <f aca="false">#VALUE!</f>
        <v>#VALUE!</v>
      </c>
      <c r="BA67" s="225" t="e">
        <f aca="false">#VALUE!</f>
        <v>#VALUE!</v>
      </c>
      <c r="BB67" s="218" t="e">
        <f aca="false">#VALUE!</f>
        <v>#VALUE!</v>
      </c>
      <c r="BC67" s="0"/>
      <c r="BD67" s="0"/>
      <c r="BE67" s="0"/>
      <c r="BF67" s="246"/>
      <c r="BG67" s="144" t="e">
        <v>#NAME?</v>
      </c>
      <c r="BH67" s="152" t="e">
        <f aca="false">_xlfn.xlookup(BG67,A:A,F:F)</f>
        <v>#NAME?</v>
      </c>
      <c r="BI67" s="144" t="e">
        <f aca="false">_xlfn.xlookup(BG67,A:A,J:J)</f>
        <v>#NAME?</v>
      </c>
      <c r="BJ67" s="153" t="e">
        <f aca="false">_xlfn.xlookup(BG67,A:A,N:N)+_xlfn.xlookup(BG67,A:A,O:O)</f>
        <v>#NAME?</v>
      </c>
      <c r="BK67" s="153" t="e">
        <f aca="false">_xlfn.xlookup(BG67,A16:A1010,AB16:AB1010)</f>
        <v>#NAME?</v>
      </c>
      <c r="BM67" s="194" t="s">
        <v>617</v>
      </c>
      <c r="BN67" s="195" t="e">
        <f aca="false">#VALUE!</f>
        <v>#VALUE!</v>
      </c>
      <c r="BO67" s="197" t="e">
        <f aca="false">#VALUE!</f>
        <v>#VALUE!</v>
      </c>
      <c r="BQ67" s="144" t="str">
        <f aca="false">IF(VALUE(MONTH(C67))&lt;10,YEAR(C67)&amp;"-0"&amp;MONTH(C67),YEAR(C67)&amp;"-"&amp;MONTH(C67))</f>
        <v>2024-09</v>
      </c>
      <c r="BR67" s="144" t="str">
        <f aca="false">J67</f>
        <v>B25-3</v>
      </c>
      <c r="BS67" s="144" t="str">
        <f aca="false">IF(ISNUMBER(FIND("-", BR67)), LEFT(BR67, FIND("-", BR67) - 1), BR67)</f>
        <v>B25</v>
      </c>
      <c r="BT67" s="189" t="n">
        <f aca="false">L67-M67+O67</f>
        <v>15960.47</v>
      </c>
    </row>
    <row r="68" customFormat="false" ht="16.4" hidden="false" customHeight="false" outlineLevel="0" collapsed="false">
      <c r="A68" s="140" t="s">
        <v>1015</v>
      </c>
      <c r="B68" s="173"/>
      <c r="C68" s="174" t="n">
        <v>45559</v>
      </c>
      <c r="D68" s="173" t="n">
        <v>211</v>
      </c>
      <c r="E68" s="138" t="s">
        <v>96</v>
      </c>
      <c r="F68" s="138" t="s">
        <v>582</v>
      </c>
      <c r="G68" s="140"/>
      <c r="H68" s="173" t="n">
        <v>40100</v>
      </c>
      <c r="I68" s="173" t="n">
        <v>30012</v>
      </c>
      <c r="J68" s="140" t="s">
        <v>908</v>
      </c>
      <c r="K68" s="140"/>
      <c r="L68" s="175" t="n">
        <v>14230.62</v>
      </c>
      <c r="M68" s="175" t="n">
        <v>0</v>
      </c>
      <c r="N68" s="175" t="n">
        <v>13879.29</v>
      </c>
      <c r="O68" s="175"/>
      <c r="P68" s="175"/>
      <c r="Q68" s="176" t="n">
        <v>3</v>
      </c>
      <c r="R68" s="138" t="n">
        <v>3.5</v>
      </c>
      <c r="S68" s="177" t="n">
        <v>0</v>
      </c>
      <c r="T68" s="215"/>
      <c r="U68" s="178" t="n">
        <v>0.327974576595346</v>
      </c>
      <c r="V68" s="177" t="n">
        <v>4552.05426119402</v>
      </c>
      <c r="W68" s="177" t="n">
        <v>115.227307995243</v>
      </c>
      <c r="X68" s="179" t="n">
        <v>0.0246883129477141</v>
      </c>
      <c r="Y68" s="177" t="n">
        <v>29.1589511294118</v>
      </c>
      <c r="Z68" s="177" t="n">
        <v>65.1</v>
      </c>
      <c r="AA68" s="177" t="n">
        <v>210.336538461538</v>
      </c>
      <c r="AB68" s="177" t="n">
        <v>4971.87705878022</v>
      </c>
      <c r="AC68" s="215" t="n">
        <v>0.466</v>
      </c>
      <c r="AD68" s="215" t="s">
        <v>88</v>
      </c>
      <c r="AE68" s="177" t="n">
        <v>6467.74914</v>
      </c>
      <c r="AF68" s="177" t="n">
        <v>1495.87208121979</v>
      </c>
      <c r="AG68" s="181" t="n">
        <v>0.231281710041677</v>
      </c>
      <c r="AH68" s="180" t="n">
        <v>4667.28156918927</v>
      </c>
      <c r="AI68" s="181" t="n">
        <v>0.721623777942208</v>
      </c>
      <c r="AJ68" s="181"/>
      <c r="AK68" s="181" t="s">
        <v>1015</v>
      </c>
      <c r="AL68" s="182" t="n">
        <v>0.358222723120579</v>
      </c>
      <c r="AN68" s="144" t="e">
        <v>#NAME?</v>
      </c>
      <c r="AO68" s="144" t="e">
        <f aca="false">_xlfn.xlookup(AN68,A:A,F:F)</f>
        <v>#NAME?</v>
      </c>
      <c r="AP68" s="144" t="e">
        <f aca="false">_xlfn.xlookup(AN68,A:A,J:J)</f>
        <v>#NAME?</v>
      </c>
      <c r="AQ68" s="144" t="e">
        <f aca="false">_xlfn.xlookup(AN68,A:A,N:N)+_xlfn.xlookup(AN68,A:A,O:O)</f>
        <v>#NAME?</v>
      </c>
      <c r="AR68" s="150" t="e">
        <f aca="false">_xlfn.xlookup(AN68,A:A,AH:AH)</f>
        <v>#NAME?</v>
      </c>
      <c r="AS68" s="150" t="e">
        <f aca="false">_xlfn.xlookup(AN68,A:A,S:S)</f>
        <v>#NAME?</v>
      </c>
      <c r="AT68" s="150" t="e">
        <f aca="false">_xlfn.xlookup(AN68,A:A,AE:AE)</f>
        <v>#NAME?</v>
      </c>
      <c r="AU68" s="150" t="e">
        <f aca="false">_xlfn.xlookup(AN68,A:A,AF:AF)</f>
        <v>#NAME?</v>
      </c>
      <c r="AW68" s="194" t="s">
        <v>596</v>
      </c>
      <c r="AX68" s="195" t="e">
        <f aca="false">#VALUE!</f>
        <v>#VALUE!</v>
      </c>
      <c r="AY68" s="196" t="e">
        <f aca="false">#VALUE!</f>
        <v>#VALUE!</v>
      </c>
      <c r="AZ68" s="196" t="e">
        <f aca="false">#VALUE!</f>
        <v>#VALUE!</v>
      </c>
      <c r="BA68" s="196" t="e">
        <f aca="false">#VALUE!</f>
        <v>#VALUE!</v>
      </c>
      <c r="BB68" s="197" t="e">
        <f aca="false">#VALUE!</f>
        <v>#VALUE!</v>
      </c>
      <c r="BC68" s="0"/>
      <c r="BD68" s="0"/>
      <c r="BE68" s="0"/>
      <c r="BF68" s="246"/>
      <c r="BG68" s="144" t="e">
        <v>#NAME?</v>
      </c>
      <c r="BH68" s="152" t="e">
        <f aca="false">_xlfn.xlookup(BG68,A:A,F:F)</f>
        <v>#NAME?</v>
      </c>
      <c r="BI68" s="144" t="e">
        <f aca="false">_xlfn.xlookup(BG68,A:A,J:J)</f>
        <v>#NAME?</v>
      </c>
      <c r="BJ68" s="153" t="e">
        <f aca="false">_xlfn.xlookup(BG68,A:A,N:N)+_xlfn.xlookup(BG68,A:A,O:O)</f>
        <v>#NAME?</v>
      </c>
      <c r="BK68" s="153" t="e">
        <f aca="false">_xlfn.xlookup(BG68,A17:A1011,AB17:AB1011)</f>
        <v>#NAME?</v>
      </c>
      <c r="BM68" s="205" t="s">
        <v>768</v>
      </c>
      <c r="BN68" s="206" t="e">
        <f aca="false">#VALUE!</f>
        <v>#VALUE!</v>
      </c>
      <c r="BO68" s="208" t="e">
        <f aca="false">#VALUE!</f>
        <v>#VALUE!</v>
      </c>
      <c r="BQ68" s="144" t="str">
        <f aca="false">IF(VALUE(MONTH(C68))&lt;10,YEAR(C68)&amp;"-0"&amp;MONTH(C68),YEAR(C68)&amp;"-"&amp;MONTH(C68))</f>
        <v>2024-09</v>
      </c>
      <c r="BR68" s="144" t="str">
        <f aca="false">J68</f>
        <v>D21-1</v>
      </c>
      <c r="BS68" s="144" t="str">
        <f aca="false">IF(ISNUMBER(FIND("-", BR68)), LEFT(BR68, FIND("-", BR68) - 1), BR68)</f>
        <v>D21</v>
      </c>
      <c r="BT68" s="189" t="n">
        <f aca="false">L68-M68+O68</f>
        <v>14230.62</v>
      </c>
    </row>
    <row r="69" customFormat="false" ht="16.4" hidden="false" customHeight="false" outlineLevel="0" collapsed="false">
      <c r="A69" s="140" t="s">
        <v>1016</v>
      </c>
      <c r="B69" s="173"/>
      <c r="C69" s="174" t="n">
        <v>45560</v>
      </c>
      <c r="D69" s="173" t="n">
        <v>212</v>
      </c>
      <c r="E69" s="138" t="s">
        <v>85</v>
      </c>
      <c r="F69" s="138" t="s">
        <v>85</v>
      </c>
      <c r="G69" s="140"/>
      <c r="H69" s="173" t="n">
        <v>40101</v>
      </c>
      <c r="I69" s="173" t="n">
        <v>30017</v>
      </c>
      <c r="J69" s="140" t="s">
        <v>768</v>
      </c>
      <c r="K69" s="140"/>
      <c r="L69" s="175" t="n">
        <v>4698.72</v>
      </c>
      <c r="M69" s="175" t="n">
        <v>0</v>
      </c>
      <c r="N69" s="175" t="n">
        <v>4623.36</v>
      </c>
      <c r="O69" s="175"/>
      <c r="P69" s="175"/>
      <c r="Q69" s="176" t="n">
        <v>1</v>
      </c>
      <c r="R69" s="138" t="n">
        <v>2.5</v>
      </c>
      <c r="S69" s="177" t="n">
        <v>0</v>
      </c>
      <c r="T69" s="215"/>
      <c r="U69" s="178" t="n">
        <v>0.326284886247867</v>
      </c>
      <c r="V69" s="177" t="n">
        <v>1508.53249168294</v>
      </c>
      <c r="W69" s="177" t="n">
        <v>24.5888290276394</v>
      </c>
      <c r="X69" s="179" t="n">
        <v>0.0160384104607213</v>
      </c>
      <c r="Y69" s="177" t="n">
        <v>14.6305122352941</v>
      </c>
      <c r="Z69" s="177" t="n">
        <v>21.7</v>
      </c>
      <c r="AA69" s="177" t="n">
        <v>150.240384615385</v>
      </c>
      <c r="AB69" s="177" t="n">
        <v>1719.69221756126</v>
      </c>
      <c r="AC69" s="215" t="n">
        <v>0.532</v>
      </c>
      <c r="AD69" s="215" t="s">
        <v>88</v>
      </c>
      <c r="AE69" s="177" t="n">
        <v>2459.62752</v>
      </c>
      <c r="AF69" s="177" t="n">
        <v>739.935302438745</v>
      </c>
      <c r="AG69" s="181" t="n">
        <v>0.300832258714826</v>
      </c>
      <c r="AH69" s="180" t="n">
        <v>1533.12132071058</v>
      </c>
      <c r="AI69" s="181" t="n">
        <v>0.623314427995413</v>
      </c>
      <c r="AJ69" s="181"/>
      <c r="AK69" s="181" t="s">
        <v>1016</v>
      </c>
      <c r="AL69" s="182" t="n">
        <v>0.371957238363713</v>
      </c>
      <c r="AN69" s="144" t="e">
        <v>#NAME?</v>
      </c>
      <c r="AO69" s="144" t="e">
        <f aca="false">_xlfn.xlookup(AN69,A:A,F:F)</f>
        <v>#NAME?</v>
      </c>
      <c r="AP69" s="144" t="e">
        <f aca="false">_xlfn.xlookup(AN69,A:A,J:J)</f>
        <v>#NAME?</v>
      </c>
      <c r="AQ69" s="144" t="e">
        <f aca="false">_xlfn.xlookup(AN69,A:A,N:N)+_xlfn.xlookup(AN69,A:A,O:O)</f>
        <v>#NAME?</v>
      </c>
      <c r="AR69" s="150" t="e">
        <f aca="false">_xlfn.xlookup(AN69,A:A,AH:AH)</f>
        <v>#NAME?</v>
      </c>
      <c r="AS69" s="150" t="e">
        <f aca="false">_xlfn.xlookup(AN69,A:A,S:S)</f>
        <v>#NAME?</v>
      </c>
      <c r="AT69" s="150" t="e">
        <f aca="false">_xlfn.xlookup(AN69,A:A,AE:AE)</f>
        <v>#NAME?</v>
      </c>
      <c r="AU69" s="150" t="e">
        <f aca="false">_xlfn.xlookup(AN69,A:A,AF:AF)</f>
        <v>#NAME?</v>
      </c>
      <c r="AW69" s="205" t="s">
        <v>760</v>
      </c>
      <c r="AX69" s="206" t="e">
        <f aca="false">#VALUE!</f>
        <v>#VALUE!</v>
      </c>
      <c r="AY69" s="207" t="e">
        <f aca="false">#VALUE!</f>
        <v>#VALUE!</v>
      </c>
      <c r="AZ69" s="207" t="e">
        <f aca="false">#VALUE!</f>
        <v>#VALUE!</v>
      </c>
      <c r="BA69" s="207" t="e">
        <f aca="false">#VALUE!</f>
        <v>#VALUE!</v>
      </c>
      <c r="BB69" s="208" t="e">
        <f aca="false">#VALUE!</f>
        <v>#VALUE!</v>
      </c>
      <c r="BC69" s="0"/>
      <c r="BD69" s="0"/>
      <c r="BE69" s="0"/>
      <c r="BF69" s="246"/>
      <c r="BG69" s="144" t="e">
        <v>#NAME?</v>
      </c>
      <c r="BH69" s="152" t="e">
        <f aca="false">_xlfn.xlookup(BG69,A:A,F:F)</f>
        <v>#NAME?</v>
      </c>
      <c r="BI69" s="144" t="e">
        <f aca="false">_xlfn.xlookup(BG69,A:A,J:J)</f>
        <v>#NAME?</v>
      </c>
      <c r="BJ69" s="153" t="e">
        <f aca="false">_xlfn.xlookup(BG69,A:A,N:N)+_xlfn.xlookup(BG69,A:A,O:O)</f>
        <v>#NAME?</v>
      </c>
      <c r="BK69" s="153" t="e">
        <f aca="false">_xlfn.xlookup(BG69,A18:A1012,AB18:AB1012)</f>
        <v>#NAME?</v>
      </c>
      <c r="BM69" s="216" t="s">
        <v>762</v>
      </c>
      <c r="BN69" s="217" t="e">
        <f aca="false">#VALUE!</f>
        <v>#VALUE!</v>
      </c>
      <c r="BO69" s="218" t="e">
        <f aca="false">#VALUE!</f>
        <v>#VALUE!</v>
      </c>
      <c r="BQ69" s="144" t="str">
        <f aca="false">IF(VALUE(MONTH(C69))&lt;10,YEAR(C69)&amp;"-0"&amp;MONTH(C69),YEAR(C69)&amp;"-"&amp;MONTH(C69))</f>
        <v>2024-09</v>
      </c>
      <c r="BR69" s="144" t="str">
        <f aca="false">J69</f>
        <v>B25-3</v>
      </c>
      <c r="BS69" s="144" t="str">
        <f aca="false">IF(ISNUMBER(FIND("-", BR69)), LEFT(BR69, FIND("-", BR69) - 1), BR69)</f>
        <v>B25</v>
      </c>
      <c r="BT69" s="189" t="n">
        <f aca="false">L69-M69+O69</f>
        <v>4698.72</v>
      </c>
    </row>
    <row r="70" customFormat="false" ht="16.4" hidden="false" customHeight="false" outlineLevel="0" collapsed="false">
      <c r="A70" s="140" t="s">
        <v>1017</v>
      </c>
      <c r="B70" s="173"/>
      <c r="C70" s="174" t="n">
        <v>45565</v>
      </c>
      <c r="D70" s="173" t="n">
        <v>213</v>
      </c>
      <c r="E70" s="138" t="s">
        <v>63</v>
      </c>
      <c r="F70" s="138" t="s">
        <v>500</v>
      </c>
      <c r="G70" s="140"/>
      <c r="H70" s="173" t="n">
        <v>40103</v>
      </c>
      <c r="I70" s="173" t="n">
        <v>30019</v>
      </c>
      <c r="J70" s="140" t="s">
        <v>907</v>
      </c>
      <c r="K70" s="140"/>
      <c r="L70" s="175" t="n">
        <v>35573.454048</v>
      </c>
      <c r="M70" s="175"/>
      <c r="N70" s="175" t="n">
        <v>35028</v>
      </c>
      <c r="O70" s="175"/>
      <c r="P70" s="175"/>
      <c r="Q70" s="176" t="n">
        <v>5</v>
      </c>
      <c r="R70" s="138" t="n">
        <v>11</v>
      </c>
      <c r="S70" s="177" t="n">
        <v>-117.03</v>
      </c>
      <c r="T70" s="215" t="n">
        <v>1.354</v>
      </c>
      <c r="U70" s="178" t="n">
        <v>0.378144584023772</v>
      </c>
      <c r="V70" s="177" t="n">
        <v>13245.6484891847</v>
      </c>
      <c r="W70" s="177" t="n">
        <v>206.260494085051</v>
      </c>
      <c r="X70" s="179" t="n">
        <v>0.0153331764541062</v>
      </c>
      <c r="Y70" s="177" t="n">
        <v>145.819058823529</v>
      </c>
      <c r="Z70" s="177" t="n">
        <v>108.5</v>
      </c>
      <c r="AA70" s="177" t="n">
        <v>661.057692307692</v>
      </c>
      <c r="AB70" s="177" t="n">
        <v>14250.255734401</v>
      </c>
      <c r="AC70" s="215" t="n">
        <v>0.31</v>
      </c>
      <c r="AD70" s="215" t="s">
        <v>77</v>
      </c>
      <c r="AE70" s="177" t="n">
        <v>14702.65272</v>
      </c>
      <c r="AF70" s="177" t="n">
        <v>452.396985599033</v>
      </c>
      <c r="AG70" s="181" t="n">
        <v>0.030769752521165</v>
      </c>
      <c r="AH70" s="180" t="n">
        <v>13451.9089832697</v>
      </c>
      <c r="AI70" s="181" t="n">
        <v>0.914930743414155</v>
      </c>
      <c r="AJ70" s="181"/>
      <c r="AK70" s="181" t="s">
        <v>1017</v>
      </c>
      <c r="AL70" s="182" t="n">
        <v>0.406824704076766</v>
      </c>
      <c r="AN70" s="144" t="e">
        <v>#NAME?</v>
      </c>
      <c r="AO70" s="144" t="e">
        <f aca="false">_xlfn.xlookup(AN70,A:A,F:F)</f>
        <v>#NAME?</v>
      </c>
      <c r="AP70" s="144" t="e">
        <f aca="false">_xlfn.xlookup(AN70,A:A,J:J)</f>
        <v>#NAME?</v>
      </c>
      <c r="AQ70" s="144" t="e">
        <f aca="false">_xlfn.xlookup(AN70,A:A,N:N)+_xlfn.xlookup(AN70,A:A,O:O)</f>
        <v>#NAME?</v>
      </c>
      <c r="AR70" s="150" t="e">
        <f aca="false">_xlfn.xlookup(AN70,A:A,AH:AH)</f>
        <v>#NAME?</v>
      </c>
      <c r="AS70" s="150" t="e">
        <f aca="false">_xlfn.xlookup(AN70,A:A,S:S)</f>
        <v>#NAME?</v>
      </c>
      <c r="AT70" s="150" t="e">
        <f aca="false">_xlfn.xlookup(AN70,A:A,AE:AE)</f>
        <v>#NAME?</v>
      </c>
      <c r="AU70" s="150" t="e">
        <f aca="false">_xlfn.xlookup(AN70,A:A,AF:AF)</f>
        <v>#NAME?</v>
      </c>
      <c r="AW70" s="216" t="s">
        <v>754</v>
      </c>
      <c r="AX70" s="217" t="e">
        <f aca="false">#VALUE!</f>
        <v>#VALUE!</v>
      </c>
      <c r="AY70" s="225" t="e">
        <f aca="false">#VALUE!</f>
        <v>#VALUE!</v>
      </c>
      <c r="AZ70" s="225" t="e">
        <f aca="false">#VALUE!</f>
        <v>#VALUE!</v>
      </c>
      <c r="BA70" s="225" t="e">
        <f aca="false">#VALUE!</f>
        <v>#VALUE!</v>
      </c>
      <c r="BB70" s="218" t="e">
        <f aca="false">#VALUE!</f>
        <v>#VALUE!</v>
      </c>
      <c r="BC70" s="0"/>
      <c r="BD70" s="0"/>
      <c r="BE70" s="0"/>
      <c r="BF70" s="246"/>
      <c r="BG70" s="144" t="e">
        <v>#NAME?</v>
      </c>
      <c r="BH70" s="152" t="e">
        <f aca="false">_xlfn.xlookup(BG70,A:A,F:F)</f>
        <v>#NAME?</v>
      </c>
      <c r="BI70" s="144" t="e">
        <f aca="false">_xlfn.xlookup(BG70,A:A,J:J)</f>
        <v>#NAME?</v>
      </c>
      <c r="BJ70" s="153" t="e">
        <f aca="false">_xlfn.xlookup(BG70,A:A,N:N)+_xlfn.xlookup(BG70,A:A,O:O)</f>
        <v>#NAME?</v>
      </c>
      <c r="BK70" s="153" t="e">
        <f aca="false">_xlfn.xlookup(BG70,A19:A1013,AB19:AB1013)</f>
        <v>#NAME?</v>
      </c>
      <c r="BM70" s="194" t="s">
        <v>671</v>
      </c>
      <c r="BN70" s="195" t="e">
        <f aca="false">#VALUE!</f>
        <v>#VALUE!</v>
      </c>
      <c r="BO70" s="197" t="e">
        <f aca="false">#VALUE!</f>
        <v>#VALUE!</v>
      </c>
      <c r="BQ70" s="144" t="str">
        <f aca="false">IF(VALUE(MONTH(C70))&lt;10,YEAR(C70)&amp;"-0"&amp;MONTH(C70),YEAR(C70)&amp;"-"&amp;MONTH(C70))</f>
        <v>2024-09</v>
      </c>
      <c r="BR70" s="144" t="str">
        <f aca="false">J70</f>
        <v>D16-1</v>
      </c>
      <c r="BS70" s="144" t="str">
        <f aca="false">IF(ISNUMBER(FIND("-", BR70)), LEFT(BR70, FIND("-", BR70) - 1), BR70)</f>
        <v>D16</v>
      </c>
      <c r="BT70" s="189" t="n">
        <f aca="false">L70-M70+O70</f>
        <v>35573.454048</v>
      </c>
    </row>
    <row r="71" customFormat="false" ht="16.4" hidden="false" customHeight="false" outlineLevel="0" collapsed="false">
      <c r="A71" s="140" t="s">
        <v>1018</v>
      </c>
      <c r="B71" s="173"/>
      <c r="C71" s="174" t="n">
        <v>45566</v>
      </c>
      <c r="D71" s="173" t="n">
        <v>214</v>
      </c>
      <c r="E71" s="138" t="s">
        <v>141</v>
      </c>
      <c r="F71" s="138" t="s">
        <v>141</v>
      </c>
      <c r="G71" s="140"/>
      <c r="H71" s="173" t="n">
        <v>40104</v>
      </c>
      <c r="I71" s="173" t="n">
        <v>30012</v>
      </c>
      <c r="J71" s="140" t="s">
        <v>908</v>
      </c>
      <c r="K71" s="140"/>
      <c r="L71" s="175" t="n">
        <v>670.8</v>
      </c>
      <c r="M71" s="175" t="n">
        <v>204.6</v>
      </c>
      <c r="N71" s="175" t="n">
        <v>283.65</v>
      </c>
      <c r="O71" s="175"/>
      <c r="P71" s="175"/>
      <c r="Q71" s="176" t="n">
        <v>0</v>
      </c>
      <c r="R71" s="138" t="n">
        <v>0.75</v>
      </c>
      <c r="S71" s="177" t="n">
        <v>0</v>
      </c>
      <c r="T71" s="215"/>
      <c r="U71" s="178" t="n">
        <v>0.327974576595346</v>
      </c>
      <c r="V71" s="177" t="n">
        <v>93.0299886512699</v>
      </c>
      <c r="W71" s="177" t="n">
        <v>59.8717589574804</v>
      </c>
      <c r="X71" s="179" t="n">
        <v>0.272137745974955</v>
      </c>
      <c r="Y71" s="177" t="n">
        <v>1.85311720588235</v>
      </c>
      <c r="Z71" s="177" t="n">
        <v>0</v>
      </c>
      <c r="AA71" s="177" t="n">
        <v>45.0721153846154</v>
      </c>
      <c r="AB71" s="177" t="n">
        <v>199.826980199248</v>
      </c>
      <c r="AC71" s="215" t="n">
        <v>0</v>
      </c>
      <c r="AD71" s="215" t="s">
        <v>88</v>
      </c>
      <c r="AE71" s="177" t="n">
        <v>0</v>
      </c>
      <c r="AF71" s="177" t="n">
        <v>-199.826980199248</v>
      </c>
      <c r="AG71" s="181"/>
      <c r="AH71" s="180" t="n">
        <v>152.90174760875</v>
      </c>
      <c r="AI71" s="181"/>
      <c r="AJ71" s="181" t="s">
        <v>895</v>
      </c>
      <c r="AK71" s="181" t="s">
        <v>1018</v>
      </c>
      <c r="AL71" s="182" t="n">
        <v>0.704484329981485</v>
      </c>
      <c r="AN71" s="144" t="e">
        <v>#NAME?</v>
      </c>
      <c r="AO71" s="144" t="e">
        <f aca="false">_xlfn.xlookup(AN71,A:A,F:F)</f>
        <v>#NAME?</v>
      </c>
      <c r="AP71" s="144" t="e">
        <f aca="false">_xlfn.xlookup(AN71,A:A,J:J)</f>
        <v>#NAME?</v>
      </c>
      <c r="AQ71" s="144" t="e">
        <f aca="false">_xlfn.xlookup(AN71,A:A,N:N)+_xlfn.xlookup(AN71,A:A,O:O)</f>
        <v>#NAME?</v>
      </c>
      <c r="AR71" s="150" t="e">
        <f aca="false">_xlfn.xlookup(AN71,A:A,AH:AH)</f>
        <v>#NAME?</v>
      </c>
      <c r="AS71" s="150" t="e">
        <f aca="false">_xlfn.xlookup(AN71,A:A,S:S)</f>
        <v>#NAME?</v>
      </c>
      <c r="AT71" s="150" t="e">
        <f aca="false">_xlfn.xlookup(AN71,A:A,AE:AE)</f>
        <v>#NAME?</v>
      </c>
      <c r="AU71" s="150" t="e">
        <f aca="false">_xlfn.xlookup(AN71,A:A,AF:AF)</f>
        <v>#NAME?</v>
      </c>
      <c r="AW71" s="194" t="s">
        <v>758</v>
      </c>
      <c r="AX71" s="195" t="e">
        <f aca="false">#VALUE!</f>
        <v>#VALUE!</v>
      </c>
      <c r="AY71" s="196" t="e">
        <f aca="false">#VALUE!</f>
        <v>#VALUE!</v>
      </c>
      <c r="AZ71" s="196" t="e">
        <f aca="false">#VALUE!</f>
        <v>#VALUE!</v>
      </c>
      <c r="BA71" s="196" t="e">
        <f aca="false">#VALUE!</f>
        <v>#VALUE!</v>
      </c>
      <c r="BB71" s="197" t="e">
        <f aca="false">#VALUE!</f>
        <v>#VALUE!</v>
      </c>
      <c r="BC71" s="0"/>
      <c r="BD71" s="0"/>
      <c r="BE71" s="0"/>
      <c r="BF71" s="246"/>
      <c r="BG71" s="144" t="e">
        <v>#NAME?</v>
      </c>
      <c r="BH71" s="152" t="e">
        <f aca="false">_xlfn.xlookup(BG71,A:A,F:F)</f>
        <v>#NAME?</v>
      </c>
      <c r="BI71" s="144" t="e">
        <f aca="false">_xlfn.xlookup(BG71,A:A,J:J)</f>
        <v>#NAME?</v>
      </c>
      <c r="BJ71" s="153" t="e">
        <f aca="false">_xlfn.xlookup(BG71,A:A,N:N)+_xlfn.xlookup(BG71,A:A,O:O)</f>
        <v>#NAME?</v>
      </c>
      <c r="BK71" s="153" t="e">
        <f aca="false">_xlfn.xlookup(BG71,A20:A1014,AB20:AB1014)</f>
        <v>#NAME?</v>
      </c>
      <c r="BM71" s="205" t="s">
        <v>904</v>
      </c>
      <c r="BN71" s="206" t="e">
        <f aca="false">#VALUE!</f>
        <v>#VALUE!</v>
      </c>
      <c r="BO71" s="208" t="e">
        <f aca="false">#VALUE!</f>
        <v>#VALUE!</v>
      </c>
      <c r="BQ71" s="144" t="str">
        <f aca="false">IF(VALUE(MONTH(C71))&lt;10,YEAR(C71)&amp;"-0"&amp;MONTH(C71),YEAR(C71)&amp;"-"&amp;MONTH(C71))</f>
        <v>2024-10</v>
      </c>
      <c r="BR71" s="144" t="str">
        <f aca="false">J71</f>
        <v>D21-1</v>
      </c>
      <c r="BS71" s="144" t="str">
        <f aca="false">IF(ISNUMBER(FIND("-", BR71)), LEFT(BR71, FIND("-", BR71) - 1), BR71)</f>
        <v>D21</v>
      </c>
      <c r="BT71" s="189" t="n">
        <f aca="false">L71-M71+O71</f>
        <v>466.2</v>
      </c>
    </row>
    <row r="72" customFormat="false" ht="16.4" hidden="false" customHeight="false" outlineLevel="0" collapsed="false">
      <c r="A72" s="140" t="s">
        <v>1019</v>
      </c>
      <c r="B72" s="173"/>
      <c r="C72" s="174" t="n">
        <v>45568</v>
      </c>
      <c r="D72" s="173" t="n">
        <v>215</v>
      </c>
      <c r="E72" s="138" t="s">
        <v>96</v>
      </c>
      <c r="F72" s="138" t="s">
        <v>582</v>
      </c>
      <c r="G72" s="140"/>
      <c r="H72" s="173" t="n">
        <v>40105</v>
      </c>
      <c r="I72" s="173" t="n">
        <v>30023</v>
      </c>
      <c r="J72" s="140" t="s">
        <v>754</v>
      </c>
      <c r="K72" s="140"/>
      <c r="L72" s="175" t="n">
        <v>1778.708844</v>
      </c>
      <c r="M72" s="175" t="n">
        <v>1420.4675</v>
      </c>
      <c r="N72" s="175" t="n">
        <v>321.3</v>
      </c>
      <c r="O72" s="175"/>
      <c r="P72" s="175"/>
      <c r="Q72" s="176" t="n">
        <v>0</v>
      </c>
      <c r="R72" s="138" t="n">
        <v>0.375</v>
      </c>
      <c r="S72" s="177" t="n">
        <v>0</v>
      </c>
      <c r="T72" s="215"/>
      <c r="U72" s="178" t="n">
        <v>0.2951148717267</v>
      </c>
      <c r="V72" s="177" t="n">
        <v>94.8204082857887</v>
      </c>
      <c r="W72" s="177" t="n">
        <v>10.9019399959719</v>
      </c>
      <c r="X72" s="179" t="n">
        <v>0.0207686289549927</v>
      </c>
      <c r="Y72" s="177" t="n">
        <v>2.711323125</v>
      </c>
      <c r="Z72" s="177" t="n">
        <v>0</v>
      </c>
      <c r="AA72" s="177" t="n">
        <v>22.5360576923077</v>
      </c>
      <c r="AB72" s="177" t="n">
        <v>130.969729099068</v>
      </c>
      <c r="AC72" s="215" t="n">
        <v>0</v>
      </c>
      <c r="AD72" s="215" t="s">
        <v>88</v>
      </c>
      <c r="AE72" s="177" t="n">
        <v>0</v>
      </c>
      <c r="AF72" s="177" t="n">
        <v>-130.969729099068</v>
      </c>
      <c r="AG72" s="181"/>
      <c r="AH72" s="180" t="n">
        <v>105.722348281761</v>
      </c>
      <c r="AI72" s="181"/>
      <c r="AJ72" s="181" t="s">
        <v>895</v>
      </c>
      <c r="AK72" s="181" t="s">
        <v>1019</v>
      </c>
      <c r="AL72" s="182" t="n">
        <v>0.407624429191</v>
      </c>
      <c r="AN72" s="144" t="e">
        <v>#NAME?</v>
      </c>
      <c r="AO72" s="144" t="e">
        <f aca="false">_xlfn.xlookup(AN72,A:A,F:F)</f>
        <v>#NAME?</v>
      </c>
      <c r="AP72" s="144" t="e">
        <f aca="false">_xlfn.xlookup(AN72,A:A,J:J)</f>
        <v>#NAME?</v>
      </c>
      <c r="AQ72" s="144" t="e">
        <f aca="false">_xlfn.xlookup(AN72,A:A,N:N)+_xlfn.xlookup(AN72,A:A,O:O)</f>
        <v>#NAME?</v>
      </c>
      <c r="AR72" s="150" t="e">
        <f aca="false">_xlfn.xlookup(AN72,A:A,AH:AH)</f>
        <v>#NAME?</v>
      </c>
      <c r="AS72" s="150" t="e">
        <f aca="false">_xlfn.xlookup(AN72,A:A,S:S)</f>
        <v>#NAME?</v>
      </c>
      <c r="AT72" s="150" t="e">
        <f aca="false">_xlfn.xlookup(AN72,A:A,AE:AE)</f>
        <v>#NAME?</v>
      </c>
      <c r="AU72" s="150" t="e">
        <f aca="false">_xlfn.xlookup(AN72,A:A,AF:AF)</f>
        <v>#NAME?</v>
      </c>
      <c r="AW72" s="216" t="s">
        <v>754</v>
      </c>
      <c r="AX72" s="217" t="e">
        <f aca="false">#VALUE!</f>
        <v>#VALUE!</v>
      </c>
      <c r="AY72" s="225" t="e">
        <f aca="false">#VALUE!</f>
        <v>#VALUE!</v>
      </c>
      <c r="AZ72" s="225" t="e">
        <f aca="false">#VALUE!</f>
        <v>#VALUE!</v>
      </c>
      <c r="BA72" s="225" t="e">
        <f aca="false">#VALUE!</f>
        <v>#VALUE!</v>
      </c>
      <c r="BB72" s="218" t="e">
        <f aca="false">#VALUE!</f>
        <v>#VALUE!</v>
      </c>
      <c r="BC72" s="0"/>
      <c r="BD72" s="0"/>
      <c r="BE72" s="0"/>
      <c r="BF72" s="246"/>
      <c r="BG72" s="144" t="e">
        <v>#NAME?</v>
      </c>
      <c r="BH72" s="152" t="e">
        <f aca="false">_xlfn.xlookup(BG72,A:A,F:F)</f>
        <v>#NAME?</v>
      </c>
      <c r="BI72" s="144" t="e">
        <f aca="false">_xlfn.xlookup(BG72,A:A,J:J)</f>
        <v>#NAME?</v>
      </c>
      <c r="BJ72" s="153" t="e">
        <f aca="false">_xlfn.xlookup(BG72,A:A,N:N)+_xlfn.xlookup(BG72,A:A,O:O)</f>
        <v>#NAME?</v>
      </c>
      <c r="BK72" s="153" t="e">
        <f aca="false">_xlfn.xlookup(BG72,A21:A1015,AB21:AB1015)</f>
        <v>#NAME?</v>
      </c>
      <c r="BM72" s="205" t="s">
        <v>768</v>
      </c>
      <c r="BN72" s="206" t="e">
        <f aca="false">#VALUE!</f>
        <v>#VALUE!</v>
      </c>
      <c r="BO72" s="208" t="e">
        <f aca="false">#VALUE!</f>
        <v>#VALUE!</v>
      </c>
      <c r="BQ72" s="144" t="str">
        <f aca="false">IF(VALUE(MONTH(C72))&lt;10,YEAR(C72)&amp;"-0"&amp;MONTH(C72),YEAR(C72)&amp;"-"&amp;MONTH(C72))</f>
        <v>2024-10</v>
      </c>
      <c r="BR72" s="144" t="str">
        <f aca="false">J72</f>
        <v>T11-1</v>
      </c>
      <c r="BS72" s="144" t="str">
        <f aca="false">IF(ISNUMBER(FIND("-", BR72)), LEFT(BR72, FIND("-", BR72) - 1), BR72)</f>
        <v>T11</v>
      </c>
      <c r="BT72" s="189" t="n">
        <f aca="false">L72-M72+O72</f>
        <v>358.241344</v>
      </c>
    </row>
    <row r="73" customFormat="false" ht="16.4" hidden="false" customHeight="false" outlineLevel="0" collapsed="false">
      <c r="A73" s="140" t="s">
        <v>1020</v>
      </c>
      <c r="B73" s="173"/>
      <c r="C73" s="174" t="n">
        <v>45568</v>
      </c>
      <c r="D73" s="173" t="n">
        <v>215</v>
      </c>
      <c r="E73" s="138" t="s">
        <v>109</v>
      </c>
      <c r="F73" s="138" t="s">
        <v>109</v>
      </c>
      <c r="G73" s="140"/>
      <c r="H73" s="173" t="n">
        <v>40105</v>
      </c>
      <c r="I73" s="173" t="n">
        <v>30023</v>
      </c>
      <c r="J73" s="140" t="s">
        <v>754</v>
      </c>
      <c r="K73" s="140"/>
      <c r="L73" s="175" t="n">
        <v>1778.708844</v>
      </c>
      <c r="M73" s="175" t="n">
        <v>1420.4675</v>
      </c>
      <c r="N73" s="175" t="n">
        <v>321.3</v>
      </c>
      <c r="O73" s="175"/>
      <c r="P73" s="175"/>
      <c r="Q73" s="176" t="n">
        <v>0</v>
      </c>
      <c r="R73" s="138" t="n">
        <v>0.375</v>
      </c>
      <c r="S73" s="177" t="n">
        <v>0</v>
      </c>
      <c r="T73" s="215"/>
      <c r="U73" s="178" t="n">
        <v>0.2951148717267</v>
      </c>
      <c r="V73" s="177" t="n">
        <v>94.8204082857887</v>
      </c>
      <c r="W73" s="177" t="n">
        <v>10.9019399959719</v>
      </c>
      <c r="X73" s="179" t="n">
        <v>0.0207686289549927</v>
      </c>
      <c r="Y73" s="177" t="n">
        <v>2.711323125</v>
      </c>
      <c r="Z73" s="177" t="n">
        <v>0</v>
      </c>
      <c r="AA73" s="177" t="n">
        <v>22.5360576923077</v>
      </c>
      <c r="AB73" s="177" t="n">
        <v>130.969729099068</v>
      </c>
      <c r="AC73" s="215" t="n">
        <v>0</v>
      </c>
      <c r="AD73" s="215" t="s">
        <v>88</v>
      </c>
      <c r="AE73" s="177" t="n">
        <v>0</v>
      </c>
      <c r="AF73" s="177" t="n">
        <v>-130.969729099068</v>
      </c>
      <c r="AG73" s="181"/>
      <c r="AH73" s="180" t="n">
        <v>105.722348281761</v>
      </c>
      <c r="AI73" s="181"/>
      <c r="AJ73" s="181" t="s">
        <v>895</v>
      </c>
      <c r="AK73" s="181" t="s">
        <v>1020</v>
      </c>
      <c r="AL73" s="182" t="n">
        <v>0.407624429191</v>
      </c>
      <c r="AN73" s="144" t="e">
        <v>#NAME?</v>
      </c>
      <c r="AO73" s="144" t="e">
        <f aca="false">_xlfn.xlookup(AN73,A:A,F:F)</f>
        <v>#NAME?</v>
      </c>
      <c r="AP73" s="144" t="e">
        <f aca="false">_xlfn.xlookup(AN73,A:A,J:J)</f>
        <v>#NAME?</v>
      </c>
      <c r="AQ73" s="144" t="e">
        <f aca="false">_xlfn.xlookup(AN73,A:A,N:N)+_xlfn.xlookup(AN73,A:A,O:O)</f>
        <v>#NAME?</v>
      </c>
      <c r="AR73" s="150" t="e">
        <f aca="false">_xlfn.xlookup(AN73,A:A,AH:AH)</f>
        <v>#NAME?</v>
      </c>
      <c r="AS73" s="150" t="e">
        <f aca="false">_xlfn.xlookup(AN73,A:A,S:S)</f>
        <v>#NAME?</v>
      </c>
      <c r="AT73" s="150" t="e">
        <f aca="false">_xlfn.xlookup(AN73,A:A,AE:AE)</f>
        <v>#NAME?</v>
      </c>
      <c r="AU73" s="150" t="e">
        <f aca="false">_xlfn.xlookup(AN73,A:A,AF:AF)</f>
        <v>#NAME?</v>
      </c>
      <c r="AW73" s="194" t="s">
        <v>938</v>
      </c>
      <c r="AX73" s="195" t="e">
        <f aca="false">#VALUE!</f>
        <v>#VALUE!</v>
      </c>
      <c r="AY73" s="196" t="e">
        <f aca="false">#VALUE!</f>
        <v>#VALUE!</v>
      </c>
      <c r="AZ73" s="196" t="e">
        <f aca="false">#VALUE!</f>
        <v>#VALUE!</v>
      </c>
      <c r="BA73" s="196" t="e">
        <f aca="false">#VALUE!</f>
        <v>#VALUE!</v>
      </c>
      <c r="BB73" s="197" t="e">
        <f aca="false">#VALUE!</f>
        <v>#VALUE!</v>
      </c>
      <c r="BC73" s="0"/>
      <c r="BD73" s="0"/>
      <c r="BE73" s="0"/>
      <c r="BF73" s="246"/>
      <c r="BG73" s="144" t="e">
        <v>#NAME?</v>
      </c>
      <c r="BH73" s="152" t="e">
        <f aca="false">_xlfn.xlookup(BG73,A:A,F:F)</f>
        <v>#NAME?</v>
      </c>
      <c r="BI73" s="144" t="e">
        <f aca="false">_xlfn.xlookup(BG73,A:A,J:J)</f>
        <v>#NAME?</v>
      </c>
      <c r="BJ73" s="153" t="e">
        <f aca="false">_xlfn.xlookup(BG73,A:A,N:N)+_xlfn.xlookup(BG73,A:A,O:O)</f>
        <v>#NAME?</v>
      </c>
      <c r="BK73" s="153" t="e">
        <f aca="false">_xlfn.xlookup(BG73,A22:A1016,AB22:AB1016)</f>
        <v>#NAME?</v>
      </c>
      <c r="BM73" s="205" t="s">
        <v>762</v>
      </c>
      <c r="BN73" s="206" t="e">
        <f aca="false">#VALUE!</f>
        <v>#VALUE!</v>
      </c>
      <c r="BO73" s="208" t="e">
        <f aca="false">#VALUE!</f>
        <v>#VALUE!</v>
      </c>
      <c r="BQ73" s="144" t="str">
        <f aca="false">IF(VALUE(MONTH(C73))&lt;10,YEAR(C73)&amp;"-0"&amp;MONTH(C73),YEAR(C73)&amp;"-"&amp;MONTH(C73))</f>
        <v>2024-10</v>
      </c>
      <c r="BR73" s="144" t="str">
        <f aca="false">J73</f>
        <v>T11-1</v>
      </c>
      <c r="BS73" s="144" t="str">
        <f aca="false">IF(ISNUMBER(FIND("-", BR73)), LEFT(BR73, FIND("-", BR73) - 1), BR73)</f>
        <v>T11</v>
      </c>
      <c r="BT73" s="189" t="n">
        <f aca="false">L73-M73+O73</f>
        <v>358.241344</v>
      </c>
    </row>
    <row r="74" customFormat="false" ht="16.4" hidden="false" customHeight="false" outlineLevel="0" collapsed="false">
      <c r="A74" s="140" t="s">
        <v>1021</v>
      </c>
      <c r="B74" s="173"/>
      <c r="C74" s="174" t="n">
        <v>45568</v>
      </c>
      <c r="D74" s="173" t="n">
        <v>215</v>
      </c>
      <c r="E74" s="138" t="s">
        <v>115</v>
      </c>
      <c r="F74" s="138" t="s">
        <v>943</v>
      </c>
      <c r="G74" s="140"/>
      <c r="H74" s="173" t="n">
        <v>40105</v>
      </c>
      <c r="I74" s="173" t="n">
        <v>30023</v>
      </c>
      <c r="J74" s="140" t="s">
        <v>754</v>
      </c>
      <c r="K74" s="140"/>
      <c r="L74" s="175" t="n">
        <v>1778.708844</v>
      </c>
      <c r="M74" s="175" t="n">
        <v>1420.4675</v>
      </c>
      <c r="N74" s="175" t="n">
        <v>321.3</v>
      </c>
      <c r="O74" s="175"/>
      <c r="P74" s="175"/>
      <c r="Q74" s="176" t="n">
        <v>0</v>
      </c>
      <c r="R74" s="138" t="n">
        <v>0.375</v>
      </c>
      <c r="S74" s="177" t="n">
        <v>0</v>
      </c>
      <c r="T74" s="215"/>
      <c r="U74" s="178" t="n">
        <v>0.2951148717267</v>
      </c>
      <c r="V74" s="177" t="n">
        <v>94.8204082857887</v>
      </c>
      <c r="W74" s="177" t="n">
        <v>10.9019399959719</v>
      </c>
      <c r="X74" s="179" t="n">
        <v>0.0207686289549927</v>
      </c>
      <c r="Y74" s="177" t="n">
        <v>2.711323125</v>
      </c>
      <c r="Z74" s="177" t="n">
        <v>0</v>
      </c>
      <c r="AA74" s="177" t="n">
        <v>22.5360576923077</v>
      </c>
      <c r="AB74" s="177" t="n">
        <v>130.969729099068</v>
      </c>
      <c r="AC74" s="215" t="n">
        <v>0</v>
      </c>
      <c r="AD74" s="215" t="s">
        <v>88</v>
      </c>
      <c r="AE74" s="177" t="n">
        <v>0</v>
      </c>
      <c r="AF74" s="177" t="n">
        <v>-130.969729099068</v>
      </c>
      <c r="AG74" s="181"/>
      <c r="AH74" s="180" t="n">
        <v>105.722348281761</v>
      </c>
      <c r="AI74" s="181"/>
      <c r="AJ74" s="181" t="s">
        <v>895</v>
      </c>
      <c r="AK74" s="181" t="s">
        <v>1021</v>
      </c>
      <c r="AL74" s="182" t="n">
        <v>0.407624429191</v>
      </c>
      <c r="AN74" s="144" t="e">
        <v>#NAME?</v>
      </c>
      <c r="AO74" s="144" t="e">
        <f aca="false">_xlfn.xlookup(AN74,A:A,F:F)</f>
        <v>#NAME?</v>
      </c>
      <c r="AP74" s="144" t="e">
        <f aca="false">_xlfn.xlookup(AN74,A:A,J:J)</f>
        <v>#NAME?</v>
      </c>
      <c r="AQ74" s="144" t="e">
        <f aca="false">_xlfn.xlookup(AN74,A:A,N:N)+_xlfn.xlookup(AN74,A:A,O:O)</f>
        <v>#NAME?</v>
      </c>
      <c r="AR74" s="150" t="e">
        <f aca="false">_xlfn.xlookup(AN74,A:A,AH:AH)</f>
        <v>#NAME?</v>
      </c>
      <c r="AS74" s="150" t="e">
        <f aca="false">_xlfn.xlookup(AN74,A:A,S:S)</f>
        <v>#NAME?</v>
      </c>
      <c r="AT74" s="150" t="e">
        <f aca="false">_xlfn.xlookup(AN74,A:A,AE:AE)</f>
        <v>#NAME?</v>
      </c>
      <c r="AU74" s="150" t="e">
        <f aca="false">_xlfn.xlookup(AN74,A:A,AF:AF)</f>
        <v>#NAME?</v>
      </c>
      <c r="AW74" s="205" t="s">
        <v>764</v>
      </c>
      <c r="AX74" s="206" t="e">
        <f aca="false">#VALUE!</f>
        <v>#VALUE!</v>
      </c>
      <c r="AY74" s="207" t="e">
        <f aca="false">#VALUE!</f>
        <v>#VALUE!</v>
      </c>
      <c r="AZ74" s="207" t="e">
        <f aca="false">#VALUE!</f>
        <v>#VALUE!</v>
      </c>
      <c r="BA74" s="207" t="e">
        <f aca="false">#VALUE!</f>
        <v>#VALUE!</v>
      </c>
      <c r="BB74" s="208" t="e">
        <f aca="false">#VALUE!</f>
        <v>#VALUE!</v>
      </c>
      <c r="BC74" s="0"/>
      <c r="BD74" s="0"/>
      <c r="BE74" s="0"/>
      <c r="BF74" s="246"/>
      <c r="BG74" s="144" t="e">
        <v>#NAME?</v>
      </c>
      <c r="BH74" s="152" t="e">
        <f aca="false">_xlfn.xlookup(BG74,A:A,F:F)</f>
        <v>#NAME?</v>
      </c>
      <c r="BI74" s="144" t="e">
        <f aca="false">_xlfn.xlookup(BG74,A:A,J:J)</f>
        <v>#NAME?</v>
      </c>
      <c r="BJ74" s="153" t="e">
        <f aca="false">_xlfn.xlookup(BG74,A:A,N:N)+_xlfn.xlookup(BG74,A:A,O:O)</f>
        <v>#NAME?</v>
      </c>
      <c r="BK74" s="153" t="e">
        <f aca="false">_xlfn.xlookup(BG74,A23:A1017,AB23:AB1017)</f>
        <v>#NAME?</v>
      </c>
      <c r="BM74" s="205" t="s">
        <v>760</v>
      </c>
      <c r="BN74" s="206" t="e">
        <f aca="false">#VALUE!</f>
        <v>#VALUE!</v>
      </c>
      <c r="BO74" s="208" t="e">
        <f aca="false">#VALUE!</f>
        <v>#VALUE!</v>
      </c>
      <c r="BQ74" s="144" t="str">
        <f aca="false">IF(VALUE(MONTH(C74))&lt;10,YEAR(C74)&amp;"-0"&amp;MONTH(C74),YEAR(C74)&amp;"-"&amp;MONTH(C74))</f>
        <v>2024-10</v>
      </c>
      <c r="BR74" s="144" t="str">
        <f aca="false">J74</f>
        <v>T11-1</v>
      </c>
      <c r="BS74" s="144" t="str">
        <f aca="false">IF(ISNUMBER(FIND("-", BR74)), LEFT(BR74, FIND("-", BR74) - 1), BR74)</f>
        <v>T11</v>
      </c>
      <c r="BT74" s="189" t="n">
        <f aca="false">L74-M74+O74</f>
        <v>358.241344</v>
      </c>
    </row>
    <row r="75" customFormat="false" ht="16.4" hidden="false" customHeight="false" outlineLevel="0" collapsed="false">
      <c r="A75" s="140" t="s">
        <v>1022</v>
      </c>
      <c r="B75" s="173"/>
      <c r="C75" s="174" t="n">
        <v>45568</v>
      </c>
      <c r="D75" s="173" t="n">
        <v>215</v>
      </c>
      <c r="E75" s="138" t="s">
        <v>1023</v>
      </c>
      <c r="F75" s="138" t="s">
        <v>726</v>
      </c>
      <c r="G75" s="140"/>
      <c r="H75" s="173" t="n">
        <v>40105</v>
      </c>
      <c r="I75" s="173" t="n">
        <v>30023</v>
      </c>
      <c r="J75" s="140" t="s">
        <v>754</v>
      </c>
      <c r="K75" s="140"/>
      <c r="L75" s="175" t="n">
        <v>1778.708844</v>
      </c>
      <c r="M75" s="175" t="n">
        <v>1420.4675</v>
      </c>
      <c r="N75" s="175" t="n">
        <v>321.3</v>
      </c>
      <c r="O75" s="175"/>
      <c r="P75" s="175"/>
      <c r="Q75" s="176" t="n">
        <v>0</v>
      </c>
      <c r="R75" s="138" t="n">
        <v>0.375</v>
      </c>
      <c r="S75" s="177" t="n">
        <v>0</v>
      </c>
      <c r="T75" s="215"/>
      <c r="U75" s="178" t="n">
        <v>0.2951148717267</v>
      </c>
      <c r="V75" s="177" t="n">
        <v>94.8204082857887</v>
      </c>
      <c r="W75" s="177" t="n">
        <v>10.9019399959719</v>
      </c>
      <c r="X75" s="179" t="n">
        <v>0.0207686289549927</v>
      </c>
      <c r="Y75" s="177" t="n">
        <v>2.711323125</v>
      </c>
      <c r="Z75" s="177" t="n">
        <v>0</v>
      </c>
      <c r="AA75" s="177" t="n">
        <v>22.5360576923077</v>
      </c>
      <c r="AB75" s="177" t="n">
        <v>130.969729099068</v>
      </c>
      <c r="AC75" s="215" t="n">
        <v>0</v>
      </c>
      <c r="AD75" s="215" t="s">
        <v>88</v>
      </c>
      <c r="AE75" s="177" t="n">
        <v>0</v>
      </c>
      <c r="AF75" s="177" t="n">
        <v>-130.969729099068</v>
      </c>
      <c r="AG75" s="181"/>
      <c r="AH75" s="180" t="n">
        <v>105.722348281761</v>
      </c>
      <c r="AI75" s="181"/>
      <c r="AJ75" s="181" t="s">
        <v>895</v>
      </c>
      <c r="AK75" s="181" t="s">
        <v>1022</v>
      </c>
      <c r="AL75" s="182" t="n">
        <v>0.407624429191</v>
      </c>
      <c r="AN75" s="144" t="e">
        <v>#NAME?</v>
      </c>
      <c r="AO75" s="144" t="e">
        <f aca="false">_xlfn.xlookup(AN75,A:A,F:F)</f>
        <v>#NAME?</v>
      </c>
      <c r="AP75" s="144" t="e">
        <f aca="false">_xlfn.xlookup(AN75,A:A,J:J)</f>
        <v>#NAME?</v>
      </c>
      <c r="AQ75" s="144" t="e">
        <f aca="false">_xlfn.xlookup(AN75,A:A,N:N)+_xlfn.xlookup(AN75,A:A,O:O)</f>
        <v>#NAME?</v>
      </c>
      <c r="AR75" s="150" t="e">
        <f aca="false">_xlfn.xlookup(AN75,A:A,AH:AH)</f>
        <v>#NAME?</v>
      </c>
      <c r="AS75" s="150" t="e">
        <f aca="false">_xlfn.xlookup(AN75,A:A,S:S)</f>
        <v>#NAME?</v>
      </c>
      <c r="AT75" s="150" t="e">
        <f aca="false">_xlfn.xlookup(AN75,A:A,AE:AE)</f>
        <v>#NAME?</v>
      </c>
      <c r="AU75" s="150" t="e">
        <f aca="false">_xlfn.xlookup(AN75,A:A,AF:AF)</f>
        <v>#NAME?</v>
      </c>
      <c r="AW75" s="216" t="s">
        <v>768</v>
      </c>
      <c r="AX75" s="217" t="e">
        <f aca="false">#VALUE!</f>
        <v>#VALUE!</v>
      </c>
      <c r="AY75" s="225" t="e">
        <f aca="false">#VALUE!</f>
        <v>#VALUE!</v>
      </c>
      <c r="AZ75" s="225" t="e">
        <f aca="false">#VALUE!</f>
        <v>#VALUE!</v>
      </c>
      <c r="BA75" s="225" t="e">
        <f aca="false">#VALUE!</f>
        <v>#VALUE!</v>
      </c>
      <c r="BB75" s="218" t="e">
        <f aca="false">#VALUE!</f>
        <v>#VALUE!</v>
      </c>
      <c r="BC75" s="0"/>
      <c r="BD75" s="0"/>
      <c r="BE75" s="0"/>
      <c r="BF75" s="246"/>
      <c r="BG75" s="144" t="e">
        <v>#NAME?</v>
      </c>
      <c r="BH75" s="152" t="e">
        <f aca="false">_xlfn.xlookup(BG75,A:A,F:F)</f>
        <v>#NAME?</v>
      </c>
      <c r="BI75" s="144" t="e">
        <f aca="false">_xlfn.xlookup(BG75,A:A,J:J)</f>
        <v>#NAME?</v>
      </c>
      <c r="BJ75" s="153" t="e">
        <f aca="false">_xlfn.xlookup(BG75,A:A,N:N)+_xlfn.xlookup(BG75,A:A,O:O)</f>
        <v>#NAME?</v>
      </c>
      <c r="BK75" s="153" t="e">
        <f aca="false">_xlfn.xlookup(BG75,A24:A1018,AB24:AB1018)</f>
        <v>#NAME?</v>
      </c>
      <c r="BM75" s="216" t="s">
        <v>790</v>
      </c>
      <c r="BN75" s="217" t="e">
        <f aca="false">#VALUE!</f>
        <v>#VALUE!</v>
      </c>
      <c r="BO75" s="218" t="e">
        <f aca="false">#VALUE!</f>
        <v>#VALUE!</v>
      </c>
      <c r="BQ75" s="144" t="str">
        <f aca="false">IF(VALUE(MONTH(C75))&lt;10,YEAR(C75)&amp;"-0"&amp;MONTH(C75),YEAR(C75)&amp;"-"&amp;MONTH(C75))</f>
        <v>2024-10</v>
      </c>
      <c r="BR75" s="144" t="str">
        <f aca="false">J75</f>
        <v>T11-1</v>
      </c>
      <c r="BS75" s="144" t="str">
        <f aca="false">IF(ISNUMBER(FIND("-", BR75)), LEFT(BR75, FIND("-", BR75) - 1), BR75)</f>
        <v>T11</v>
      </c>
      <c r="BT75" s="189" t="n">
        <f aca="false">L75-M75+O75</f>
        <v>358.241344</v>
      </c>
    </row>
    <row r="76" customFormat="false" ht="16.4" hidden="false" customHeight="false" outlineLevel="0" collapsed="false">
      <c r="A76" s="140" t="s">
        <v>1024</v>
      </c>
      <c r="B76" s="173"/>
      <c r="C76" s="174" t="n">
        <v>45568</v>
      </c>
      <c r="D76" s="173" t="n">
        <v>216</v>
      </c>
      <c r="E76" s="138" t="s">
        <v>146</v>
      </c>
      <c r="F76" s="138" t="s">
        <v>146</v>
      </c>
      <c r="G76" s="140"/>
      <c r="H76" s="173" t="n">
        <v>40106</v>
      </c>
      <c r="I76" s="173" t="n">
        <v>30024</v>
      </c>
      <c r="J76" s="140" t="s">
        <v>911</v>
      </c>
      <c r="K76" s="140"/>
      <c r="L76" s="175" t="n">
        <v>2511.14616</v>
      </c>
      <c r="M76" s="175" t="n">
        <v>2143.28928</v>
      </c>
      <c r="N76" s="175" t="n">
        <v>316.8</v>
      </c>
      <c r="O76" s="175"/>
      <c r="P76" s="175"/>
      <c r="Q76" s="176" t="n">
        <v>0</v>
      </c>
      <c r="R76" s="138" t="n">
        <v>0.75</v>
      </c>
      <c r="S76" s="177" t="n">
        <v>0</v>
      </c>
      <c r="T76" s="215"/>
      <c r="U76" s="178" t="n">
        <v>0.286374902011219</v>
      </c>
      <c r="V76" s="177" t="n">
        <v>90.7235689571541</v>
      </c>
      <c r="W76" s="177" t="n">
        <v>14.6214090069985</v>
      </c>
      <c r="X76" s="179" t="n">
        <v>0.0203321020549436</v>
      </c>
      <c r="Y76" s="177" t="n">
        <v>2.67334941176471</v>
      </c>
      <c r="Z76" s="177" t="n">
        <v>0</v>
      </c>
      <c r="AA76" s="177" t="n">
        <v>45.0721153846154</v>
      </c>
      <c r="AB76" s="177" t="n">
        <v>153.090442760533</v>
      </c>
      <c r="AC76" s="215" t="n">
        <v>0</v>
      </c>
      <c r="AD76" s="215" t="s">
        <v>88</v>
      </c>
      <c r="AE76" s="177" t="n">
        <v>0</v>
      </c>
      <c r="AF76" s="177" t="n">
        <v>-153.090442760533</v>
      </c>
      <c r="AG76" s="181"/>
      <c r="AH76" s="180" t="n">
        <v>105.344977964153</v>
      </c>
      <c r="AI76" s="181"/>
      <c r="AJ76" s="181" t="s">
        <v>895</v>
      </c>
      <c r="AK76" s="181" t="s">
        <v>1024</v>
      </c>
      <c r="AL76" s="182" t="n">
        <v>0.483240033966328</v>
      </c>
      <c r="AN76" s="144" t="e">
        <v>#NAME?</v>
      </c>
      <c r="AO76" s="144" t="e">
        <f aca="false">_xlfn.xlookup(AN76,A:A,F:F)</f>
        <v>#NAME?</v>
      </c>
      <c r="AP76" s="144" t="e">
        <f aca="false">_xlfn.xlookup(AN76,A:A,J:J)</f>
        <v>#NAME?</v>
      </c>
      <c r="AQ76" s="144" t="e">
        <f aca="false">_xlfn.xlookup(AN76,A:A,N:N)+_xlfn.xlookup(AN76,A:A,O:O)</f>
        <v>#NAME?</v>
      </c>
      <c r="AR76" s="150" t="e">
        <f aca="false">_xlfn.xlookup(AN76,A:A,AH:AH)</f>
        <v>#NAME?</v>
      </c>
      <c r="AS76" s="150" t="e">
        <f aca="false">_xlfn.xlookup(AN76,A:A,S:S)</f>
        <v>#NAME?</v>
      </c>
      <c r="AT76" s="150" t="e">
        <f aca="false">_xlfn.xlookup(AN76,A:A,AE:AE)</f>
        <v>#NAME?</v>
      </c>
      <c r="AU76" s="150" t="e">
        <f aca="false">_xlfn.xlookup(AN76,A:A,AF:AF)</f>
        <v>#NAME?</v>
      </c>
      <c r="AW76" s="194" t="s">
        <v>462</v>
      </c>
      <c r="AX76" s="195" t="e">
        <f aca="false">#VALUE!</f>
        <v>#VALUE!</v>
      </c>
      <c r="AY76" s="196" t="e">
        <f aca="false">#VALUE!</f>
        <v>#VALUE!</v>
      </c>
      <c r="AZ76" s="196" t="e">
        <f aca="false">#VALUE!</f>
        <v>#VALUE!</v>
      </c>
      <c r="BA76" s="196" t="e">
        <f aca="false">#VALUE!</f>
        <v>#VALUE!</v>
      </c>
      <c r="BB76" s="197" t="e">
        <f aca="false">#VALUE!</f>
        <v>#VALUE!</v>
      </c>
      <c r="BC76" s="0"/>
      <c r="BD76" s="0"/>
      <c r="BE76" s="0"/>
      <c r="BF76" s="246"/>
      <c r="BG76" s="144" t="e">
        <v>#NAME?</v>
      </c>
      <c r="BH76" s="152" t="e">
        <f aca="false">_xlfn.xlookup(BG76,A:A,F:F)</f>
        <v>#NAME?</v>
      </c>
      <c r="BI76" s="144" t="e">
        <f aca="false">_xlfn.xlookup(BG76,A:A,J:J)</f>
        <v>#NAME?</v>
      </c>
      <c r="BJ76" s="153" t="e">
        <f aca="false">_xlfn.xlookup(BG76,A:A,N:N)+_xlfn.xlookup(BG76,A:A,O:O)</f>
        <v>#NAME?</v>
      </c>
      <c r="BK76" s="153" t="e">
        <f aca="false">_xlfn.xlookup(BG76,A24:A1019,AB24:AB1019)</f>
        <v>#NAME?</v>
      </c>
      <c r="BM76" s="194" t="s">
        <v>596</v>
      </c>
      <c r="BN76" s="195" t="e">
        <f aca="false">#VALUE!</f>
        <v>#VALUE!</v>
      </c>
      <c r="BO76" s="197" t="e">
        <f aca="false">#VALUE!</f>
        <v>#VALUE!</v>
      </c>
      <c r="BQ76" s="144" t="str">
        <f aca="false">IF(VALUE(MONTH(C76))&lt;10,YEAR(C76)&amp;"-0"&amp;MONTH(C76),YEAR(C76)&amp;"-"&amp;MONTH(C76))</f>
        <v>2024-10</v>
      </c>
      <c r="BR76" s="144" t="str">
        <f aca="false">J76</f>
        <v>S31-1</v>
      </c>
      <c r="BS76" s="144" t="str">
        <f aca="false">IF(ISNUMBER(FIND("-", BR76)), LEFT(BR76, FIND("-", BR76) - 1), BR76)</f>
        <v>S31</v>
      </c>
      <c r="BT76" s="189" t="n">
        <f aca="false">L76-M76+O76</f>
        <v>367.85688</v>
      </c>
    </row>
    <row r="77" customFormat="false" ht="16.4" hidden="false" customHeight="false" outlineLevel="0" collapsed="false">
      <c r="A77" s="140" t="s">
        <v>1025</v>
      </c>
      <c r="B77" s="173"/>
      <c r="C77" s="174" t="n">
        <v>45568</v>
      </c>
      <c r="D77" s="173" t="n">
        <v>216</v>
      </c>
      <c r="E77" s="138" t="s">
        <v>1023</v>
      </c>
      <c r="F77" s="138" t="s">
        <v>726</v>
      </c>
      <c r="G77" s="140"/>
      <c r="H77" s="173" t="n">
        <v>40106</v>
      </c>
      <c r="I77" s="173" t="n">
        <v>30024</v>
      </c>
      <c r="J77" s="140" t="s">
        <v>911</v>
      </c>
      <c r="K77" s="140"/>
      <c r="L77" s="175" t="n">
        <v>2511.14616</v>
      </c>
      <c r="M77" s="175" t="n">
        <v>2143.28928</v>
      </c>
      <c r="N77" s="175" t="n">
        <v>316.8</v>
      </c>
      <c r="O77" s="175"/>
      <c r="P77" s="175"/>
      <c r="Q77" s="176" t="n">
        <v>0</v>
      </c>
      <c r="R77" s="138" t="n">
        <v>0.75</v>
      </c>
      <c r="S77" s="177" t="n">
        <v>0</v>
      </c>
      <c r="T77" s="215"/>
      <c r="U77" s="178" t="n">
        <v>0.286374902011219</v>
      </c>
      <c r="V77" s="177" t="n">
        <v>90.7235689571541</v>
      </c>
      <c r="W77" s="177" t="n">
        <v>14.6214090069985</v>
      </c>
      <c r="X77" s="179" t="n">
        <v>0.0203321020549436</v>
      </c>
      <c r="Y77" s="177" t="n">
        <v>2.67334941176471</v>
      </c>
      <c r="Z77" s="177" t="n">
        <v>0</v>
      </c>
      <c r="AA77" s="177" t="n">
        <v>45.0721153846154</v>
      </c>
      <c r="AB77" s="177" t="n">
        <v>153.090442760533</v>
      </c>
      <c r="AC77" s="215" t="n">
        <v>0</v>
      </c>
      <c r="AD77" s="215" t="s">
        <v>88</v>
      </c>
      <c r="AE77" s="177" t="n">
        <v>0</v>
      </c>
      <c r="AF77" s="177" t="n">
        <v>-153.090442760533</v>
      </c>
      <c r="AG77" s="181"/>
      <c r="AH77" s="180" t="n">
        <v>105.344977964153</v>
      </c>
      <c r="AI77" s="181"/>
      <c r="AJ77" s="181" t="s">
        <v>895</v>
      </c>
      <c r="AK77" s="181" t="s">
        <v>1025</v>
      </c>
      <c r="AL77" s="182" t="n">
        <v>0.483240033966328</v>
      </c>
      <c r="AN77" s="144" t="e">
        <v>#NAME?</v>
      </c>
      <c r="AO77" s="144" t="e">
        <f aca="false">_xlfn.xlookup(AN77,A:A,F:F)</f>
        <v>#NAME?</v>
      </c>
      <c r="AP77" s="144" t="e">
        <f aca="false">_xlfn.xlookup(AN77,A:A,J:J)</f>
        <v>#NAME?</v>
      </c>
      <c r="AQ77" s="144" t="e">
        <f aca="false">_xlfn.xlookup(AN77,A:A,N:N)+_xlfn.xlookup(AN77,A:A,O:O)</f>
        <v>#NAME?</v>
      </c>
      <c r="AR77" s="150" t="e">
        <f aca="false">_xlfn.xlookup(AN77,A:A,AH:AH)</f>
        <v>#NAME?</v>
      </c>
      <c r="AS77" s="150" t="e">
        <f aca="false">_xlfn.xlookup(AN77,A:A,S:S)</f>
        <v>#NAME?</v>
      </c>
      <c r="AT77" s="150" t="e">
        <f aca="false">_xlfn.xlookup(AN77,A:A,AE:AE)</f>
        <v>#NAME?</v>
      </c>
      <c r="AU77" s="150" t="e">
        <f aca="false">_xlfn.xlookup(AN77,A:A,AF:AF)</f>
        <v>#NAME?</v>
      </c>
      <c r="AW77" s="205" t="s">
        <v>768</v>
      </c>
      <c r="AX77" s="206" t="e">
        <f aca="false">#VALUE!</f>
        <v>#VALUE!</v>
      </c>
      <c r="AY77" s="207" t="e">
        <f aca="false">#VALUE!</f>
        <v>#VALUE!</v>
      </c>
      <c r="AZ77" s="207" t="e">
        <f aca="false">#VALUE!</f>
        <v>#VALUE!</v>
      </c>
      <c r="BA77" s="207" t="e">
        <f aca="false">#VALUE!</f>
        <v>#VALUE!</v>
      </c>
      <c r="BB77" s="208" t="e">
        <f aca="false">#VALUE!</f>
        <v>#VALUE!</v>
      </c>
      <c r="BC77" s="0"/>
      <c r="BD77" s="0"/>
      <c r="BE77" s="0"/>
      <c r="BF77" s="246"/>
      <c r="BG77" s="144" t="e">
        <v>#NAME?</v>
      </c>
      <c r="BH77" s="152" t="e">
        <f aca="false">_xlfn.xlookup(BG77,A:A,F:F)</f>
        <v>#NAME?</v>
      </c>
      <c r="BI77" s="144" t="e">
        <f aca="false">_xlfn.xlookup(BG77,A:A,J:J)</f>
        <v>#NAME?</v>
      </c>
      <c r="BJ77" s="153" t="e">
        <f aca="false">_xlfn.xlookup(BG77,A:A,N:N)+_xlfn.xlookup(BG77,A:A,O:O)</f>
        <v>#NAME?</v>
      </c>
      <c r="BK77" s="153" t="e">
        <f aca="false">_xlfn.xlookup(BG77,A25:A1020,AB25:AB1020)</f>
        <v>#NAME?</v>
      </c>
      <c r="BM77" s="205" t="s">
        <v>908</v>
      </c>
      <c r="BN77" s="206" t="e">
        <f aca="false">#VALUE!</f>
        <v>#VALUE!</v>
      </c>
      <c r="BO77" s="208" t="e">
        <f aca="false">#VALUE!</f>
        <v>#VALUE!</v>
      </c>
      <c r="BQ77" s="144" t="str">
        <f aca="false">IF(VALUE(MONTH(C77))&lt;10,YEAR(C77)&amp;"-0"&amp;MONTH(C77),YEAR(C77)&amp;"-"&amp;MONTH(C77))</f>
        <v>2024-10</v>
      </c>
      <c r="BR77" s="144" t="str">
        <f aca="false">J77</f>
        <v>S31-1</v>
      </c>
      <c r="BS77" s="144" t="str">
        <f aca="false">IF(ISNUMBER(FIND("-", BR77)), LEFT(BR77, FIND("-", BR77) - 1), BR77)</f>
        <v>S31</v>
      </c>
      <c r="BT77" s="189" t="n">
        <f aca="false">L77-M77+O77</f>
        <v>367.85688</v>
      </c>
    </row>
    <row r="78" customFormat="false" ht="16.4" hidden="false" customHeight="false" outlineLevel="0" collapsed="false">
      <c r="A78" s="140" t="s">
        <v>1026</v>
      </c>
      <c r="B78" s="173"/>
      <c r="C78" s="174" t="n">
        <v>45568</v>
      </c>
      <c r="D78" s="173" t="n">
        <v>217</v>
      </c>
      <c r="E78" s="138" t="s">
        <v>141</v>
      </c>
      <c r="F78" s="138" t="s">
        <v>141</v>
      </c>
      <c r="G78" s="140"/>
      <c r="H78" s="173" t="n">
        <v>40107</v>
      </c>
      <c r="I78" s="173" t="n">
        <v>30011</v>
      </c>
      <c r="J78" s="140" t="s">
        <v>760</v>
      </c>
      <c r="K78" s="140"/>
      <c r="L78" s="175" t="n">
        <v>489.6</v>
      </c>
      <c r="M78" s="175" t="n">
        <v>189</v>
      </c>
      <c r="N78" s="175" t="n">
        <v>224.1</v>
      </c>
      <c r="O78" s="175"/>
      <c r="P78" s="175"/>
      <c r="Q78" s="176" t="n">
        <v>0</v>
      </c>
      <c r="R78" s="138" t="n">
        <v>1.125</v>
      </c>
      <c r="S78" s="177" t="n">
        <v>0</v>
      </c>
      <c r="T78" s="215"/>
      <c r="U78" s="178" t="n">
        <v>0.28357864079936</v>
      </c>
      <c r="V78" s="177" t="n">
        <v>63.5499734031366</v>
      </c>
      <c r="W78" s="177" t="n">
        <v>21.693766021151</v>
      </c>
      <c r="X78" s="179" t="n">
        <v>0.15625</v>
      </c>
      <c r="Y78" s="177" t="n">
        <v>2.03539102941177</v>
      </c>
      <c r="Z78" s="177" t="n">
        <v>0</v>
      </c>
      <c r="AA78" s="177" t="n">
        <v>67.6081730769231</v>
      </c>
      <c r="AB78" s="177" t="n">
        <v>154.887303530622</v>
      </c>
      <c r="AC78" s="215" t="n">
        <v>0</v>
      </c>
      <c r="AD78" s="215" t="s">
        <v>88</v>
      </c>
      <c r="AE78" s="177" t="n">
        <v>0</v>
      </c>
      <c r="AF78" s="177" t="n">
        <v>-154.887303530622</v>
      </c>
      <c r="AG78" s="181"/>
      <c r="AH78" s="180" t="n">
        <v>85.2437394242876</v>
      </c>
      <c r="AI78" s="181"/>
      <c r="AJ78" s="181" t="s">
        <v>895</v>
      </c>
      <c r="AK78" s="181" t="s">
        <v>1026</v>
      </c>
      <c r="AL78" s="182" t="n">
        <v>0.691152626196441</v>
      </c>
      <c r="AN78" s="144" t="e">
        <v>#NAME?</v>
      </c>
      <c r="AO78" s="144" t="e">
        <f aca="false">_xlfn.xlookup(AN78,A:A,F:F)</f>
        <v>#NAME?</v>
      </c>
      <c r="AP78" s="144" t="e">
        <f aca="false">_xlfn.xlookup(AN78,A:A,J:J)</f>
        <v>#NAME?</v>
      </c>
      <c r="AQ78" s="144" t="e">
        <f aca="false">_xlfn.xlookup(AN78,A:A,N:N)+_xlfn.xlookup(AN78,A:A,O:O)</f>
        <v>#NAME?</v>
      </c>
      <c r="AR78" s="150" t="e">
        <f aca="false">_xlfn.xlookup(AN78,A:A,AH:AH)</f>
        <v>#NAME?</v>
      </c>
      <c r="AS78" s="150" t="e">
        <f aca="false">_xlfn.xlookup(AN78,A:A,S:S)</f>
        <v>#NAME?</v>
      </c>
      <c r="AT78" s="150" t="e">
        <f aca="false">_xlfn.xlookup(AN78,A:A,AE:AE)</f>
        <v>#NAME?</v>
      </c>
      <c r="AU78" s="150" t="e">
        <f aca="false">_xlfn.xlookup(AN78,A:A,AF:AF)</f>
        <v>#NAME?</v>
      </c>
      <c r="AW78" s="205" t="s">
        <v>904</v>
      </c>
      <c r="AX78" s="206" t="e">
        <f aca="false">#VALUE!</f>
        <v>#VALUE!</v>
      </c>
      <c r="AY78" s="207" t="e">
        <f aca="false">#VALUE!</f>
        <v>#VALUE!</v>
      </c>
      <c r="AZ78" s="207" t="e">
        <f aca="false">#VALUE!</f>
        <v>#VALUE!</v>
      </c>
      <c r="BA78" s="207" t="e">
        <f aca="false">#VALUE!</f>
        <v>#VALUE!</v>
      </c>
      <c r="BB78" s="208" t="e">
        <f aca="false">#VALUE!</f>
        <v>#VALUE!</v>
      </c>
      <c r="BC78" s="0"/>
      <c r="BD78" s="0"/>
      <c r="BE78" s="0"/>
      <c r="BF78" s="246"/>
      <c r="BG78" s="144" t="e">
        <v>#NAME?</v>
      </c>
      <c r="BH78" s="152" t="e">
        <f aca="false">_xlfn.xlookup(BG78,A:A,F:F)</f>
        <v>#NAME?</v>
      </c>
      <c r="BI78" s="144" t="e">
        <f aca="false">_xlfn.xlookup(BG78,A:A,J:J)</f>
        <v>#NAME?</v>
      </c>
      <c r="BJ78" s="153" t="e">
        <f aca="false">_xlfn.xlookup(BG78,A:A,N:N)+_xlfn.xlookup(BG78,A:A,O:O)</f>
        <v>#NAME?</v>
      </c>
      <c r="BK78" s="153" t="e">
        <f aca="false">_xlfn.xlookup(BG78,A26:A1021,AB26:AB1021)</f>
        <v>#NAME?</v>
      </c>
      <c r="BM78" s="216" t="s">
        <v>760</v>
      </c>
      <c r="BN78" s="217" t="e">
        <f aca="false">#VALUE!</f>
        <v>#VALUE!</v>
      </c>
      <c r="BO78" s="218" t="e">
        <f aca="false">#VALUE!</f>
        <v>#VALUE!</v>
      </c>
      <c r="BQ78" s="144" t="str">
        <f aca="false">IF(VALUE(MONTH(C78))&lt;10,YEAR(C78)&amp;"-0"&amp;MONTH(C78),YEAR(C78)&amp;"-"&amp;MONTH(C78))</f>
        <v>2024-10</v>
      </c>
      <c r="BR78" s="144" t="str">
        <f aca="false">J78</f>
        <v>S21-1</v>
      </c>
      <c r="BS78" s="144" t="str">
        <f aca="false">IF(ISNUMBER(FIND("-", BR78)), LEFT(BR78, FIND("-", BR78) - 1), BR78)</f>
        <v>S21</v>
      </c>
      <c r="BT78" s="189" t="n">
        <f aca="false">L78-M78+O78</f>
        <v>300.6</v>
      </c>
    </row>
    <row r="79" customFormat="false" ht="16.4" hidden="false" customHeight="false" outlineLevel="0" collapsed="false">
      <c r="A79" s="140" t="s">
        <v>1027</v>
      </c>
      <c r="B79" s="173"/>
      <c r="C79" s="174" t="n">
        <v>45568</v>
      </c>
      <c r="D79" s="173" t="n">
        <v>217</v>
      </c>
      <c r="E79" s="138" t="s">
        <v>1023</v>
      </c>
      <c r="F79" s="138" t="s">
        <v>726</v>
      </c>
      <c r="G79" s="140"/>
      <c r="H79" s="173" t="n">
        <v>40107</v>
      </c>
      <c r="I79" s="173" t="n">
        <v>30011</v>
      </c>
      <c r="J79" s="140" t="s">
        <v>760</v>
      </c>
      <c r="K79" s="140"/>
      <c r="L79" s="175" t="n">
        <v>489.6</v>
      </c>
      <c r="M79" s="175" t="n">
        <v>189</v>
      </c>
      <c r="N79" s="175" t="n">
        <v>224.1</v>
      </c>
      <c r="O79" s="175"/>
      <c r="P79" s="175"/>
      <c r="Q79" s="176" t="n">
        <v>0</v>
      </c>
      <c r="R79" s="138" t="n">
        <v>1.125</v>
      </c>
      <c r="S79" s="177" t="n">
        <v>0</v>
      </c>
      <c r="T79" s="215"/>
      <c r="U79" s="178" t="n">
        <v>0.28357864079936</v>
      </c>
      <c r="V79" s="177" t="n">
        <v>63.5499734031366</v>
      </c>
      <c r="W79" s="177" t="n">
        <v>21.693766021151</v>
      </c>
      <c r="X79" s="179" t="n">
        <v>0.15625</v>
      </c>
      <c r="Y79" s="177" t="n">
        <v>2.03539102941177</v>
      </c>
      <c r="Z79" s="177" t="n">
        <v>0</v>
      </c>
      <c r="AA79" s="177" t="n">
        <v>67.6081730769231</v>
      </c>
      <c r="AB79" s="177" t="n">
        <v>154.887303530622</v>
      </c>
      <c r="AC79" s="215" t="n">
        <v>0</v>
      </c>
      <c r="AD79" s="215" t="s">
        <v>88</v>
      </c>
      <c r="AE79" s="177" t="n">
        <v>0</v>
      </c>
      <c r="AF79" s="177" t="n">
        <v>-154.887303530622</v>
      </c>
      <c r="AG79" s="181"/>
      <c r="AH79" s="180" t="n">
        <v>85.2437394242876</v>
      </c>
      <c r="AI79" s="181"/>
      <c r="AJ79" s="181" t="s">
        <v>895</v>
      </c>
      <c r="AK79" s="181" t="s">
        <v>1027</v>
      </c>
      <c r="AL79" s="182" t="n">
        <v>0.691152626196441</v>
      </c>
      <c r="AN79" s="144" t="e">
        <v>#NAME?</v>
      </c>
      <c r="AO79" s="144" t="e">
        <f aca="false">_xlfn.xlookup(AN79,A:A,F:F)</f>
        <v>#NAME?</v>
      </c>
      <c r="AP79" s="144" t="e">
        <f aca="false">_xlfn.xlookup(AN79,A:A,J:J)</f>
        <v>#NAME?</v>
      </c>
      <c r="AQ79" s="144" t="e">
        <f aca="false">_xlfn.xlookup(AN79,A:A,N:N)+_xlfn.xlookup(AN79,A:A,O:O)</f>
        <v>#NAME?</v>
      </c>
      <c r="AR79" s="150" t="e">
        <f aca="false">_xlfn.xlookup(AN79,A:A,AH:AH)</f>
        <v>#NAME?</v>
      </c>
      <c r="AS79" s="150" t="e">
        <f aca="false">_xlfn.xlookup(AN79,A:A,S:S)</f>
        <v>#NAME?</v>
      </c>
      <c r="AT79" s="150" t="e">
        <f aca="false">_xlfn.xlookup(AN79,A:A,AE:AE)</f>
        <v>#NAME?</v>
      </c>
      <c r="AU79" s="150" t="e">
        <f aca="false">_xlfn.xlookup(AN79,A:A,AF:AF)</f>
        <v>#NAME?</v>
      </c>
      <c r="AW79" s="205" t="s">
        <v>740</v>
      </c>
      <c r="AX79" s="206" t="e">
        <f aca="false">#VALUE!</f>
        <v>#VALUE!</v>
      </c>
      <c r="AY79" s="207" t="e">
        <f aca="false">#VALUE!</f>
        <v>#VALUE!</v>
      </c>
      <c r="AZ79" s="207" t="e">
        <f aca="false">#VALUE!</f>
        <v>#VALUE!</v>
      </c>
      <c r="BA79" s="207" t="e">
        <f aca="false">#VALUE!</f>
        <v>#VALUE!</v>
      </c>
      <c r="BB79" s="208" t="e">
        <f aca="false">#VALUE!</f>
        <v>#VALUE!</v>
      </c>
      <c r="BC79" s="0"/>
      <c r="BD79" s="0"/>
      <c r="BE79" s="0"/>
      <c r="BF79" s="246"/>
      <c r="BG79" s="144" t="e">
        <v>#NAME?</v>
      </c>
      <c r="BH79" s="152" t="e">
        <f aca="false">_xlfn.xlookup(BG79,A:A,F:F)</f>
        <v>#NAME?</v>
      </c>
      <c r="BI79" s="144" t="e">
        <f aca="false">_xlfn.xlookup(BG79,A:A,J:J)</f>
        <v>#NAME?</v>
      </c>
      <c r="BJ79" s="153" t="e">
        <f aca="false">_xlfn.xlookup(BG79,A:A,N:N)+_xlfn.xlookup(BG79,A:A,O:O)</f>
        <v>#NAME?</v>
      </c>
      <c r="BK79" s="153" t="e">
        <f aca="false">_xlfn.xlookup(BG79,A27:A1022,AB27:AB1022)</f>
        <v>#NAME?</v>
      </c>
      <c r="BM79" s="194" t="s">
        <v>938</v>
      </c>
      <c r="BN79" s="195" t="e">
        <f aca="false">#VALUE!</f>
        <v>#VALUE!</v>
      </c>
      <c r="BO79" s="197" t="e">
        <f aca="false">#VALUE!</f>
        <v>#VALUE!</v>
      </c>
      <c r="BQ79" s="144" t="str">
        <f aca="false">IF(VALUE(MONTH(C79))&lt;10,YEAR(C79)&amp;"-0"&amp;MONTH(C79),YEAR(C79)&amp;"-"&amp;MONTH(C79))</f>
        <v>2024-10</v>
      </c>
      <c r="BR79" s="144" t="str">
        <f aca="false">J79</f>
        <v>S21-1</v>
      </c>
      <c r="BS79" s="144" t="str">
        <f aca="false">IF(ISNUMBER(FIND("-", BR79)), LEFT(BR79, FIND("-", BR79) - 1), BR79)</f>
        <v>S21</v>
      </c>
      <c r="BT79" s="189" t="n">
        <f aca="false">L79-M79+O79</f>
        <v>300.6</v>
      </c>
    </row>
    <row r="80" customFormat="false" ht="16.4" hidden="false" customHeight="false" outlineLevel="0" collapsed="false">
      <c r="A80" s="140" t="s">
        <v>1028</v>
      </c>
      <c r="B80" s="173"/>
      <c r="C80" s="174" t="n">
        <v>45568</v>
      </c>
      <c r="D80" s="173" t="n">
        <v>217</v>
      </c>
      <c r="E80" s="138" t="s">
        <v>141</v>
      </c>
      <c r="F80" s="138" t="s">
        <v>141</v>
      </c>
      <c r="G80" s="140"/>
      <c r="H80" s="173" t="n">
        <v>40108</v>
      </c>
      <c r="I80" s="173" t="n">
        <v>30015</v>
      </c>
      <c r="J80" s="140" t="s">
        <v>762</v>
      </c>
      <c r="K80" s="140"/>
      <c r="L80" s="175" t="n">
        <v>491.4</v>
      </c>
      <c r="M80" s="175" t="n">
        <v>263.16</v>
      </c>
      <c r="N80" s="175" t="n">
        <v>206.55</v>
      </c>
      <c r="O80" s="175"/>
      <c r="P80" s="175"/>
      <c r="Q80" s="176" t="n">
        <v>0</v>
      </c>
      <c r="R80" s="138" t="n">
        <v>0.75</v>
      </c>
      <c r="S80" s="177" t="n">
        <v>0</v>
      </c>
      <c r="T80" s="215"/>
      <c r="U80" s="178" t="n">
        <v>0.268854241086576</v>
      </c>
      <c r="V80" s="177" t="n">
        <v>55.5318434964324</v>
      </c>
      <c r="W80" s="177" t="n">
        <v>5.83144848916783</v>
      </c>
      <c r="X80" s="179" t="n">
        <v>0.044139194139194</v>
      </c>
      <c r="Y80" s="177" t="n">
        <v>1.64046441176471</v>
      </c>
      <c r="Z80" s="177" t="n">
        <v>0</v>
      </c>
      <c r="AA80" s="177" t="n">
        <v>45.0721153846154</v>
      </c>
      <c r="AB80" s="177" t="n">
        <v>108.07587178198</v>
      </c>
      <c r="AC80" s="215" t="n">
        <v>0</v>
      </c>
      <c r="AD80" s="215" t="s">
        <v>88</v>
      </c>
      <c r="AE80" s="177" t="n">
        <v>0</v>
      </c>
      <c r="AF80" s="177" t="n">
        <v>-108.07587178198</v>
      </c>
      <c r="AG80" s="181"/>
      <c r="AH80" s="180" t="n">
        <v>61.3632919856002</v>
      </c>
      <c r="AI80" s="181"/>
      <c r="AJ80" s="181" t="s">
        <v>895</v>
      </c>
      <c r="AK80" s="181" t="s">
        <v>1028</v>
      </c>
      <c r="AL80" s="182" t="n">
        <v>0.523243145882257</v>
      </c>
      <c r="AN80" s="144" t="e">
        <v>#NAME?</v>
      </c>
      <c r="AO80" s="144" t="e">
        <f aca="false">_xlfn.xlookup(AN80,A:A,F:F)</f>
        <v>#NAME?</v>
      </c>
      <c r="AP80" s="144" t="e">
        <f aca="false">_xlfn.xlookup(AN80,A:A,J:J)</f>
        <v>#NAME?</v>
      </c>
      <c r="AQ80" s="144" t="e">
        <f aca="false">_xlfn.xlookup(AN80,A:A,N:N)+_xlfn.xlookup(AN80,A:A,O:O)</f>
        <v>#NAME?</v>
      </c>
      <c r="AR80" s="150" t="e">
        <f aca="false">_xlfn.xlookup(AN80,A:A,AH:AH)</f>
        <v>#NAME?</v>
      </c>
      <c r="AS80" s="150" t="e">
        <f aca="false">_xlfn.xlookup(AN80,A:A,S:S)</f>
        <v>#NAME?</v>
      </c>
      <c r="AT80" s="150" t="e">
        <f aca="false">_xlfn.xlookup(AN80,A:A,AE:AE)</f>
        <v>#NAME?</v>
      </c>
      <c r="AU80" s="150" t="e">
        <f aca="false">_xlfn.xlookup(AN80,A:A,AF:AF)</f>
        <v>#NAME?</v>
      </c>
      <c r="AW80" s="205" t="s">
        <v>762</v>
      </c>
      <c r="AX80" s="206" t="e">
        <f aca="false">#VALUE!</f>
        <v>#VALUE!</v>
      </c>
      <c r="AY80" s="207" t="e">
        <f aca="false">#VALUE!</f>
        <v>#VALUE!</v>
      </c>
      <c r="AZ80" s="207" t="e">
        <f aca="false">#VALUE!</f>
        <v>#VALUE!</v>
      </c>
      <c r="BA80" s="207" t="e">
        <f aca="false">#VALUE!</f>
        <v>#VALUE!</v>
      </c>
      <c r="BB80" s="208" t="e">
        <f aca="false">#VALUE!</f>
        <v>#VALUE!</v>
      </c>
      <c r="BC80" s="0"/>
      <c r="BD80" s="0"/>
      <c r="BE80" s="0"/>
      <c r="BF80" s="246"/>
      <c r="BG80" s="144" t="e">
        <v>#NAME?</v>
      </c>
      <c r="BH80" s="152" t="e">
        <f aca="false">_xlfn.xlookup(BG80,A:A,F:F)</f>
        <v>#NAME?</v>
      </c>
      <c r="BI80" s="247" t="e">
        <f aca="false">_xlfn.xlookup(BG80,A:A,J:J)</f>
        <v>#NAME?</v>
      </c>
      <c r="BJ80" s="153" t="e">
        <f aca="false">_xlfn.xlookup(BG80,A:A,N:N)+_xlfn.xlookup(BG80,A:A,O:O)</f>
        <v>#NAME?</v>
      </c>
      <c r="BK80" s="153" t="e">
        <f aca="false">_xlfn.xlookup(BG80,A28:A1023,AB28:AB1023)</f>
        <v>#NAME?</v>
      </c>
      <c r="BM80" s="216" t="s">
        <v>768</v>
      </c>
      <c r="BN80" s="217" t="e">
        <f aca="false">#VALUE!</f>
        <v>#VALUE!</v>
      </c>
      <c r="BO80" s="218" t="e">
        <f aca="false">#VALUE!</f>
        <v>#VALUE!</v>
      </c>
      <c r="BQ80" s="144" t="str">
        <f aca="false">IF(VALUE(MONTH(C80))&lt;10,YEAR(C80)&amp;"-0"&amp;MONTH(C80),YEAR(C80)&amp;"-"&amp;MONTH(C80))</f>
        <v>2024-10</v>
      </c>
      <c r="BR80" s="144" t="str">
        <f aca="false">J80</f>
        <v>S15-3</v>
      </c>
      <c r="BS80" s="144" t="str">
        <f aca="false">IF(ISNUMBER(FIND("-", BR80)), LEFT(BR80, FIND("-", BR80) - 1), BR80)</f>
        <v>S15</v>
      </c>
      <c r="BT80" s="189" t="n">
        <f aca="false">L80-M80+O80</f>
        <v>228.24</v>
      </c>
    </row>
    <row r="81" customFormat="false" ht="16.4" hidden="false" customHeight="false" outlineLevel="0" collapsed="false">
      <c r="A81" s="140" t="s">
        <v>1029</v>
      </c>
      <c r="B81" s="173"/>
      <c r="C81" s="174" t="n">
        <v>45568</v>
      </c>
      <c r="D81" s="173" t="n">
        <v>217</v>
      </c>
      <c r="E81" s="138" t="s">
        <v>141</v>
      </c>
      <c r="F81" s="138" t="s">
        <v>141</v>
      </c>
      <c r="G81" s="140"/>
      <c r="H81" s="173" t="n">
        <v>40109</v>
      </c>
      <c r="I81" s="173" t="n">
        <v>30016</v>
      </c>
      <c r="J81" s="140" t="s">
        <v>764</v>
      </c>
      <c r="K81" s="140"/>
      <c r="L81" s="175" t="n">
        <v>10337.18</v>
      </c>
      <c r="M81" s="175" t="n">
        <v>9984.38</v>
      </c>
      <c r="N81" s="175" t="n">
        <v>280.8</v>
      </c>
      <c r="O81" s="175"/>
      <c r="P81" s="175"/>
      <c r="Q81" s="176" t="n">
        <v>0</v>
      </c>
      <c r="R81" s="138" t="n">
        <v>2</v>
      </c>
      <c r="S81" s="177" t="n">
        <v>0</v>
      </c>
      <c r="T81" s="215"/>
      <c r="U81" s="178" t="n">
        <v>0.326284886247867</v>
      </c>
      <c r="V81" s="177" t="n">
        <v>91.620796058401</v>
      </c>
      <c r="W81" s="177" t="n">
        <v>23.492511809847</v>
      </c>
      <c r="X81" s="179" t="n">
        <v>0.00696514910256006</v>
      </c>
      <c r="Y81" s="177" t="n">
        <v>2.36955970588235</v>
      </c>
      <c r="Z81" s="177" t="n">
        <v>0</v>
      </c>
      <c r="AA81" s="177" t="n">
        <v>120.192307692308</v>
      </c>
      <c r="AB81" s="177" t="n">
        <v>237.675175266438</v>
      </c>
      <c r="AC81" s="215" t="n">
        <v>0</v>
      </c>
      <c r="AD81" s="215" t="s">
        <v>88</v>
      </c>
      <c r="AE81" s="177" t="n">
        <v>0</v>
      </c>
      <c r="AF81" s="177" t="n">
        <v>-237.675175266438</v>
      </c>
      <c r="AG81" s="181"/>
      <c r="AH81" s="180" t="n">
        <v>115.113307868248</v>
      </c>
      <c r="AI81" s="181"/>
      <c r="AJ81" s="181" t="s">
        <v>895</v>
      </c>
      <c r="AK81" s="181" t="s">
        <v>1029</v>
      </c>
      <c r="AL81" s="182" t="n">
        <v>0.846421564339167</v>
      </c>
      <c r="AN81" s="144" t="e">
        <v>#NAME?</v>
      </c>
      <c r="AO81" s="144" t="e">
        <f aca="false">_xlfn.xlookup(AN81,A:A,F:F)</f>
        <v>#NAME?</v>
      </c>
      <c r="AP81" s="144" t="e">
        <f aca="false">_xlfn.xlookup(AN81,A:A,J:J)</f>
        <v>#NAME?</v>
      </c>
      <c r="AQ81" s="144" t="e">
        <f aca="false">_xlfn.xlookup(AN81,A:A,N:N)+_xlfn.xlookup(AN81,A:A,O:O)</f>
        <v>#NAME?</v>
      </c>
      <c r="AR81" s="150" t="e">
        <f aca="false">_xlfn.xlookup(AN81,A:A,AH:AH)</f>
        <v>#NAME?</v>
      </c>
      <c r="AS81" s="150" t="e">
        <f aca="false">_xlfn.xlookup(AN81,A:A,S:S)</f>
        <v>#NAME?</v>
      </c>
      <c r="AT81" s="150" t="e">
        <f aca="false">_xlfn.xlookup(AN81,A:A,AE:AE)</f>
        <v>#NAME?</v>
      </c>
      <c r="AU81" s="150" t="e">
        <f aca="false">_xlfn.xlookup(AN81,A:A,AF:AF)</f>
        <v>#NAME?</v>
      </c>
      <c r="AW81" s="216" t="s">
        <v>760</v>
      </c>
      <c r="AX81" s="217" t="e">
        <f aca="false">#VALUE!</f>
        <v>#VALUE!</v>
      </c>
      <c r="AY81" s="225" t="e">
        <f aca="false">#VALUE!</f>
        <v>#VALUE!</v>
      </c>
      <c r="AZ81" s="225" t="e">
        <f aca="false">#VALUE!</f>
        <v>#VALUE!</v>
      </c>
      <c r="BA81" s="225" t="e">
        <f aca="false">#VALUE!</f>
        <v>#VALUE!</v>
      </c>
      <c r="BB81" s="218" t="e">
        <f aca="false">#VALUE!</f>
        <v>#VALUE!</v>
      </c>
      <c r="BC81" s="0"/>
      <c r="BD81" s="0"/>
      <c r="BE81" s="0"/>
      <c r="BF81" s="246"/>
      <c r="BG81" s="144" t="e">
        <v>#NAME?</v>
      </c>
      <c r="BH81" s="152" t="e">
        <f aca="false">_xlfn.xlookup(BG81,A:A,F:F)</f>
        <v>#NAME?</v>
      </c>
      <c r="BI81" s="144" t="e">
        <f aca="false">_xlfn.xlookup(BG81,A:A,J:J)</f>
        <v>#NAME?</v>
      </c>
      <c r="BJ81" s="153" t="e">
        <f aca="false">_xlfn.xlookup(BG81,A:A,N:N)+_xlfn.xlookup(BG81,A:A,O:O)</f>
        <v>#NAME?</v>
      </c>
      <c r="BK81" s="153" t="e">
        <f aca="false">_xlfn.xlookup(BG81,A29:A1024,AB29:AB1024)</f>
        <v>#NAME?</v>
      </c>
      <c r="BM81" s="194" t="s">
        <v>91</v>
      </c>
      <c r="BN81" s="195" t="e">
        <f aca="false">#VALUE!</f>
        <v>#VALUE!</v>
      </c>
      <c r="BO81" s="197" t="e">
        <f aca="false">#VALUE!</f>
        <v>#VALUE!</v>
      </c>
      <c r="BQ81" s="144" t="str">
        <f aca="false">IF(VALUE(MONTH(C81))&lt;10,YEAR(C81)&amp;"-0"&amp;MONTH(C81),YEAR(C81)&amp;"-"&amp;MONTH(C81))</f>
        <v>2024-10</v>
      </c>
      <c r="BR81" s="144" t="str">
        <f aca="false">J81</f>
        <v>B15-3</v>
      </c>
      <c r="BS81" s="144" t="str">
        <f aca="false">IF(ISNUMBER(FIND("-", BR81)), LEFT(BR81, FIND("-", BR81) - 1), BR81)</f>
        <v>B15</v>
      </c>
      <c r="BT81" s="189" t="n">
        <f aca="false">L81-M81+O81</f>
        <v>352.800000000001</v>
      </c>
    </row>
    <row r="82" customFormat="false" ht="16.4" hidden="false" customHeight="false" outlineLevel="0" collapsed="false">
      <c r="A82" s="140" t="s">
        <v>1030</v>
      </c>
      <c r="B82" s="173"/>
      <c r="C82" s="174" t="n">
        <v>45568</v>
      </c>
      <c r="D82" s="173" t="n">
        <v>217</v>
      </c>
      <c r="E82" s="138" t="s">
        <v>141</v>
      </c>
      <c r="F82" s="138" t="s">
        <v>141</v>
      </c>
      <c r="G82" s="140"/>
      <c r="H82" s="173" t="n">
        <v>40110</v>
      </c>
      <c r="I82" s="173" t="n">
        <v>30017</v>
      </c>
      <c r="J82" s="140" t="s">
        <v>768</v>
      </c>
      <c r="K82" s="140"/>
      <c r="L82" s="175" t="n">
        <v>552.9</v>
      </c>
      <c r="M82" s="175" t="n">
        <v>285</v>
      </c>
      <c r="N82" s="175" t="n">
        <v>249.84</v>
      </c>
      <c r="O82" s="175"/>
      <c r="P82" s="175"/>
      <c r="Q82" s="176" t="n">
        <v>0</v>
      </c>
      <c r="R82" s="138" t="n">
        <v>0.5</v>
      </c>
      <c r="S82" s="177" t="n">
        <v>0</v>
      </c>
      <c r="T82" s="215"/>
      <c r="U82" s="178" t="n">
        <v>0.326284886247867</v>
      </c>
      <c r="V82" s="177" t="n">
        <v>81.519015980167</v>
      </c>
      <c r="W82" s="177" t="n">
        <v>5.89270504563646</v>
      </c>
      <c r="X82" s="179" t="n">
        <v>0.0326641345632121</v>
      </c>
      <c r="Y82" s="177" t="n">
        <v>2.10830055882353</v>
      </c>
      <c r="Z82" s="177" t="n">
        <v>0</v>
      </c>
      <c r="AA82" s="177" t="n">
        <v>30.0480769230769</v>
      </c>
      <c r="AB82" s="177" t="n">
        <v>119.568098507704</v>
      </c>
      <c r="AC82" s="215" t="n">
        <v>0</v>
      </c>
      <c r="AD82" s="215" t="s">
        <v>88</v>
      </c>
      <c r="AE82" s="177" t="n">
        <v>0</v>
      </c>
      <c r="AF82" s="177" t="n">
        <v>-119.568098507704</v>
      </c>
      <c r="AG82" s="181"/>
      <c r="AH82" s="180" t="n">
        <v>87.4117210258035</v>
      </c>
      <c r="AI82" s="181"/>
      <c r="AJ82" s="181" t="s">
        <v>895</v>
      </c>
      <c r="AK82" s="181" t="s">
        <v>1030</v>
      </c>
      <c r="AL82" s="182" t="n">
        <v>0.478578684388825</v>
      </c>
      <c r="AN82" s="144" t="e">
        <v>#NAME?</v>
      </c>
      <c r="AO82" s="144" t="e">
        <f aca="false">_xlfn.xlookup(AN82,A:A,F:F)</f>
        <v>#NAME?</v>
      </c>
      <c r="AP82" s="144" t="e">
        <f aca="false">_xlfn.xlookup(AN82,A:A,J:J)</f>
        <v>#NAME?</v>
      </c>
      <c r="AQ82" s="144" t="e">
        <f aca="false">_xlfn.xlookup(AN82,A:A,N:N)+_xlfn.xlookup(AN82,A:A,O:O)</f>
        <v>#NAME?</v>
      </c>
      <c r="AR82" s="150" t="e">
        <f aca="false">_xlfn.xlookup(AN82,A:A,AH:AH)</f>
        <v>#NAME?</v>
      </c>
      <c r="AS82" s="150" t="e">
        <f aca="false">_xlfn.xlookup(AN82,A:A,S:S)</f>
        <v>#NAME?</v>
      </c>
      <c r="AT82" s="150" t="e">
        <f aca="false">_xlfn.xlookup(AN82,A:A,AE:AE)</f>
        <v>#NAME?</v>
      </c>
      <c r="AU82" s="150" t="e">
        <f aca="false">_xlfn.xlookup(AN82,A:A,AF:AF)</f>
        <v>#NAME?</v>
      </c>
      <c r="AW82" s="194" t="s">
        <v>354</v>
      </c>
      <c r="AX82" s="195" t="e">
        <f aca="false">#VALUE!</f>
        <v>#VALUE!</v>
      </c>
      <c r="AY82" s="196" t="e">
        <f aca="false">#VALUE!</f>
        <v>#VALUE!</v>
      </c>
      <c r="AZ82" s="196" t="e">
        <f aca="false">#VALUE!</f>
        <v>#VALUE!</v>
      </c>
      <c r="BA82" s="196" t="e">
        <f aca="false">#VALUE!</f>
        <v>#VALUE!</v>
      </c>
      <c r="BB82" s="197" t="e">
        <f aca="false">#VALUE!</f>
        <v>#VALUE!</v>
      </c>
      <c r="BC82" s="0"/>
      <c r="BD82" s="0"/>
      <c r="BE82" s="0"/>
      <c r="BF82" s="246"/>
      <c r="BG82" s="144" t="e">
        <v>#NAME?</v>
      </c>
      <c r="BH82" s="152" t="e">
        <f aca="false">_xlfn.xlookup(BG82,A:A,F:F)</f>
        <v>#NAME?</v>
      </c>
      <c r="BI82" s="144" t="e">
        <f aca="false">_xlfn.xlookup(BG82,A:A,J:J)</f>
        <v>#NAME?</v>
      </c>
      <c r="BJ82" s="153" t="e">
        <f aca="false">_xlfn.xlookup(BG82,A:A,N:N)+_xlfn.xlookup(BG82,A:A,O:O)</f>
        <v>#NAME?</v>
      </c>
      <c r="BK82" s="153" t="e">
        <f aca="false">_xlfn.xlookup(BG82,A30:A1025,AB30:AB1025)</f>
        <v>#NAME?</v>
      </c>
      <c r="BM82" s="205" t="s">
        <v>768</v>
      </c>
      <c r="BN82" s="206" t="e">
        <f aca="false">#VALUE!</f>
        <v>#VALUE!</v>
      </c>
      <c r="BO82" s="208" t="e">
        <f aca="false">#VALUE!</f>
        <v>#VALUE!</v>
      </c>
      <c r="BQ82" s="144" t="str">
        <f aca="false">IF(VALUE(MONTH(C82))&lt;10,YEAR(C82)&amp;"-0"&amp;MONTH(C82),YEAR(C82)&amp;"-"&amp;MONTH(C82))</f>
        <v>2024-10</v>
      </c>
      <c r="BR82" s="144" t="str">
        <f aca="false">J82</f>
        <v>B25-3</v>
      </c>
      <c r="BS82" s="144" t="str">
        <f aca="false">IF(ISNUMBER(FIND("-", BR82)), LEFT(BR82, FIND("-", BR82) - 1), BR82)</f>
        <v>B25</v>
      </c>
      <c r="BT82" s="189" t="n">
        <f aca="false">L82-M82+O82</f>
        <v>267.9</v>
      </c>
    </row>
    <row r="83" customFormat="false" ht="16.4" hidden="false" customHeight="false" outlineLevel="0" collapsed="false">
      <c r="A83" s="140" t="s">
        <v>1031</v>
      </c>
      <c r="B83" s="173"/>
      <c r="C83" s="174" t="n">
        <v>45568</v>
      </c>
      <c r="D83" s="173" t="n">
        <v>220</v>
      </c>
      <c r="E83" s="138" t="s">
        <v>159</v>
      </c>
      <c r="F83" s="138" t="s">
        <v>726</v>
      </c>
      <c r="G83" s="140"/>
      <c r="H83" s="173" t="n">
        <v>40114</v>
      </c>
      <c r="I83" s="173" t="n">
        <v>30013</v>
      </c>
      <c r="J83" s="140" t="s">
        <v>904</v>
      </c>
      <c r="K83" s="140"/>
      <c r="L83" s="175" t="n">
        <v>507.6</v>
      </c>
      <c r="M83" s="175" t="n">
        <v>225.6</v>
      </c>
      <c r="N83" s="175" t="n">
        <v>270.72</v>
      </c>
      <c r="O83" s="175"/>
      <c r="P83" s="175"/>
      <c r="Q83" s="176" t="n">
        <v>0</v>
      </c>
      <c r="R83" s="138" t="n">
        <v>0.75</v>
      </c>
      <c r="S83" s="177" t="n">
        <v>0</v>
      </c>
      <c r="T83" s="215"/>
      <c r="U83" s="178" t="n">
        <v>0.358173933722525</v>
      </c>
      <c r="V83" s="177" t="n">
        <v>96.964847337362</v>
      </c>
      <c r="W83" s="177" t="n">
        <v>4.04020197239008</v>
      </c>
      <c r="X83" s="179" t="n">
        <v>0.0222222222222222</v>
      </c>
      <c r="Y83" s="177" t="n">
        <v>2.28449858823529</v>
      </c>
      <c r="Z83" s="177" t="n">
        <v>0</v>
      </c>
      <c r="AA83" s="177" t="n">
        <v>45.0721153846154</v>
      </c>
      <c r="AB83" s="177" t="n">
        <v>148.361663282603</v>
      </c>
      <c r="AC83" s="215" t="n">
        <v>0</v>
      </c>
      <c r="AD83" s="215" t="s">
        <v>88</v>
      </c>
      <c r="AE83" s="177" t="n">
        <v>0</v>
      </c>
      <c r="AF83" s="177" t="n">
        <v>-148.361663282603</v>
      </c>
      <c r="AG83" s="181"/>
      <c r="AH83" s="180" t="n">
        <v>101.005049309752</v>
      </c>
      <c r="AI83" s="181"/>
      <c r="AJ83" s="181" t="s">
        <v>895</v>
      </c>
      <c r="AK83" s="181" t="s">
        <v>1031</v>
      </c>
      <c r="AL83" s="182" t="n">
        <v>0.548026238484791</v>
      </c>
      <c r="AN83" s="144" t="e">
        <v>#NAME?</v>
      </c>
      <c r="AO83" s="144" t="e">
        <f aca="false">_xlfn.xlookup(AN83,A:A,F:F)</f>
        <v>#NAME?</v>
      </c>
      <c r="AP83" s="144" t="e">
        <f aca="false">_xlfn.xlookup(AN83,A:A,J:J)</f>
        <v>#NAME?</v>
      </c>
      <c r="AQ83" s="144" t="e">
        <f aca="false">_xlfn.xlookup(AN83,A:A,N:N)+_xlfn.xlookup(AN83,A:A,O:O)</f>
        <v>#NAME?</v>
      </c>
      <c r="AR83" s="150" t="e">
        <f aca="false">_xlfn.xlookup(AN83,A:A,AH:AH)</f>
        <v>#NAME?</v>
      </c>
      <c r="AS83" s="150" t="e">
        <f aca="false">_xlfn.xlookup(AN83,A:A,S:S)</f>
        <v>#NAME?</v>
      </c>
      <c r="AT83" s="150" t="e">
        <f aca="false">_xlfn.xlookup(AN83,A:A,AE:AE)</f>
        <v>#NAME?</v>
      </c>
      <c r="AU83" s="150" t="e">
        <f aca="false">_xlfn.xlookup(AN83,A:A,AF:AF)</f>
        <v>#NAME?</v>
      </c>
      <c r="AW83" s="205" t="s">
        <v>764</v>
      </c>
      <c r="AX83" s="206" t="e">
        <f aca="false">#VALUE!</f>
        <v>#VALUE!</v>
      </c>
      <c r="AY83" s="207" t="e">
        <f aca="false">#VALUE!</f>
        <v>#VALUE!</v>
      </c>
      <c r="AZ83" s="207" t="e">
        <f aca="false">#VALUE!</f>
        <v>#VALUE!</v>
      </c>
      <c r="BA83" s="207" t="e">
        <f aca="false">#VALUE!</f>
        <v>#VALUE!</v>
      </c>
      <c r="BB83" s="208" t="e">
        <f aca="false">#VALUE!</f>
        <v>#VALUE!</v>
      </c>
      <c r="BC83" s="0"/>
      <c r="BD83" s="0"/>
      <c r="BE83" s="0"/>
      <c r="BF83" s="246"/>
      <c r="BG83" s="144" t="e">
        <v>#NAME?</v>
      </c>
      <c r="BH83" s="152" t="e">
        <f aca="false">_xlfn.xlookup(BG83,A:A,F:F)</f>
        <v>#NAME?</v>
      </c>
      <c r="BI83" s="144" t="e">
        <f aca="false">_xlfn.xlookup(BG83,A:A,J:J)</f>
        <v>#NAME?</v>
      </c>
      <c r="BJ83" s="153" t="e">
        <f aca="false">_xlfn.xlookup(BG83,A:A,N:N)+_xlfn.xlookup(BG83,A:A,O:O)</f>
        <v>#NAME?</v>
      </c>
      <c r="BK83" s="153" t="e">
        <f aca="false">_xlfn.xlookup(BG83,A31:A1026,AB31:AB1026)</f>
        <v>#NAME?</v>
      </c>
      <c r="BM83" s="216" t="s">
        <v>760</v>
      </c>
      <c r="BN83" s="217" t="e">
        <f aca="false">#VALUE!</f>
        <v>#VALUE!</v>
      </c>
      <c r="BO83" s="218" t="e">
        <f aca="false">#VALUE!</f>
        <v>#VALUE!</v>
      </c>
      <c r="BQ83" s="144" t="str">
        <f aca="false">IF(VALUE(MONTH(C83))&lt;10,YEAR(C83)&amp;"-0"&amp;MONTH(C83),YEAR(C83)&amp;"-"&amp;MONTH(C83))</f>
        <v>2024-10</v>
      </c>
      <c r="BR83" s="144" t="str">
        <f aca="false">J83</f>
        <v>D11-1</v>
      </c>
      <c r="BS83" s="144" t="str">
        <f aca="false">IF(ISNUMBER(FIND("-", BR83)), LEFT(BR83, FIND("-", BR83) - 1), BR83)</f>
        <v>D11</v>
      </c>
      <c r="BT83" s="189" t="n">
        <f aca="false">L83-M83+O83</f>
        <v>282</v>
      </c>
    </row>
    <row r="84" customFormat="false" ht="16.4" hidden="false" customHeight="false" outlineLevel="0" collapsed="false">
      <c r="A84" s="140" t="s">
        <v>1032</v>
      </c>
      <c r="B84" s="173"/>
      <c r="C84" s="174" t="n">
        <v>45572</v>
      </c>
      <c r="D84" s="173" t="n">
        <v>221</v>
      </c>
      <c r="E84" s="138" t="s">
        <v>94</v>
      </c>
      <c r="F84" s="138" t="s">
        <v>522</v>
      </c>
      <c r="G84" s="140"/>
      <c r="H84" s="173" t="n">
        <v>40067</v>
      </c>
      <c r="I84" s="173" t="n">
        <v>30015</v>
      </c>
      <c r="J84" s="140" t="s">
        <v>762</v>
      </c>
      <c r="K84" s="140"/>
      <c r="L84" s="175" t="n">
        <v>14372.30016</v>
      </c>
      <c r="M84" s="175" t="n">
        <v>10770.91</v>
      </c>
      <c r="N84" s="175" t="n">
        <v>3456</v>
      </c>
      <c r="O84" s="175"/>
      <c r="P84" s="175"/>
      <c r="Q84" s="176" t="n">
        <v>1</v>
      </c>
      <c r="R84" s="138" t="n">
        <v>2</v>
      </c>
      <c r="S84" s="177" t="n">
        <v>-23.5</v>
      </c>
      <c r="T84" s="215" t="n">
        <v>1.3577</v>
      </c>
      <c r="U84" s="178" t="n">
        <v>0.268854241086576</v>
      </c>
      <c r="V84" s="177" t="n">
        <v>929.160257195208</v>
      </c>
      <c r="W84" s="177" t="n">
        <v>39.0887611282561</v>
      </c>
      <c r="X84" s="179" t="n">
        <v>0.0101159980226854</v>
      </c>
      <c r="Y84" s="177" t="n">
        <v>14.5819058823529</v>
      </c>
      <c r="Z84" s="177" t="n">
        <v>21.7</v>
      </c>
      <c r="AA84" s="177" t="n">
        <v>120.192307692308</v>
      </c>
      <c r="AB84" s="177" t="n">
        <v>1101.22323189812</v>
      </c>
      <c r="AC84" s="215" t="n">
        <v>0.28</v>
      </c>
      <c r="AD84" s="215" t="s">
        <v>77</v>
      </c>
      <c r="AE84" s="177" t="n">
        <v>1313.819136</v>
      </c>
      <c r="AF84" s="177" t="n">
        <v>212.595904101875</v>
      </c>
      <c r="AG84" s="181" t="n">
        <v>0.161815198360663</v>
      </c>
      <c r="AH84" s="180" t="n">
        <v>968.249018323464</v>
      </c>
      <c r="AI84" s="181" t="n">
        <v>0.736972838796789</v>
      </c>
      <c r="AJ84" s="181"/>
      <c r="AK84" s="181" t="s">
        <v>1032</v>
      </c>
      <c r="AL84" s="182" t="n">
        <v>0.318640981452004</v>
      </c>
      <c r="AN84" s="144" t="e">
        <v>#NAME?</v>
      </c>
      <c r="AO84" s="144" t="e">
        <f aca="false">_xlfn.xlookup(AN84,A:A,F:F)</f>
        <v>#NAME?</v>
      </c>
      <c r="AP84" s="144" t="e">
        <f aca="false">_xlfn.xlookup(AN84,A:A,J:J)</f>
        <v>#NAME?</v>
      </c>
      <c r="AQ84" s="144" t="e">
        <f aca="false">_xlfn.xlookup(AN84,A:A,N:N)+_xlfn.xlookup(AN84,A:A,O:O)</f>
        <v>#NAME?</v>
      </c>
      <c r="AR84" s="150" t="e">
        <f aca="false">_xlfn.xlookup(AN84,A:A,AH:AH)</f>
        <v>#NAME?</v>
      </c>
      <c r="AS84" s="150" t="e">
        <f aca="false">_xlfn.xlookup(AN84,A:A,S:S)</f>
        <v>#NAME?</v>
      </c>
      <c r="AT84" s="150" t="e">
        <f aca="false">_xlfn.xlookup(AN84,A:A,AE:AE)</f>
        <v>#NAME?</v>
      </c>
      <c r="AU84" s="150" t="e">
        <f aca="false">_xlfn.xlookup(AN84,A:A,AF:AF)</f>
        <v>#NAME?</v>
      </c>
      <c r="AW84" s="205" t="s">
        <v>768</v>
      </c>
      <c r="AX84" s="206" t="e">
        <f aca="false">#VALUE!</f>
        <v>#VALUE!</v>
      </c>
      <c r="AY84" s="207" t="e">
        <f aca="false">#VALUE!</f>
        <v>#VALUE!</v>
      </c>
      <c r="AZ84" s="207" t="e">
        <f aca="false">#VALUE!</f>
        <v>#VALUE!</v>
      </c>
      <c r="BA84" s="207" t="e">
        <f aca="false">#VALUE!</f>
        <v>#VALUE!</v>
      </c>
      <c r="BB84" s="208" t="e">
        <f aca="false">#VALUE!</f>
        <v>#VALUE!</v>
      </c>
      <c r="BC84" s="0"/>
      <c r="BD84" s="0"/>
      <c r="BE84" s="0"/>
      <c r="BF84" s="246"/>
      <c r="BG84" s="144" t="e">
        <v>#NAME?</v>
      </c>
      <c r="BH84" s="152" t="e">
        <f aca="false">_xlfn.xlookup(BG84,A:A,F:F)</f>
        <v>#NAME?</v>
      </c>
      <c r="BI84" s="144" t="e">
        <f aca="false">_xlfn.xlookup(BG84,A:A,J:J)</f>
        <v>#NAME?</v>
      </c>
      <c r="BJ84" s="153" t="e">
        <f aca="false">_xlfn.xlookup(BG84,A:A,N:N)+_xlfn.xlookup(BG84,A:A,O:O)</f>
        <v>#NAME?</v>
      </c>
      <c r="BK84" s="153" t="e">
        <f aca="false">_xlfn.xlookup(BG84,A32:A1027,AB32:AB1027)</f>
        <v>#NAME?</v>
      </c>
      <c r="BM84" s="194" t="s">
        <v>462</v>
      </c>
      <c r="BN84" s="195" t="e">
        <f aca="false">#VALUE!</f>
        <v>#VALUE!</v>
      </c>
      <c r="BO84" s="197" t="e">
        <f aca="false">#VALUE!</f>
        <v>#VALUE!</v>
      </c>
      <c r="BQ84" s="144" t="str">
        <f aca="false">IF(VALUE(MONTH(C84))&lt;10,YEAR(C84)&amp;"-0"&amp;MONTH(C84),YEAR(C84)&amp;"-"&amp;MONTH(C84))</f>
        <v>2024-10</v>
      </c>
      <c r="BR84" s="144" t="str">
        <f aca="false">J84</f>
        <v>S15-3</v>
      </c>
      <c r="BS84" s="144" t="str">
        <f aca="false">IF(ISNUMBER(FIND("-", BR84)), LEFT(BR84, FIND("-", BR84) - 1), BR84)</f>
        <v>S15</v>
      </c>
      <c r="BT84" s="189" t="n">
        <f aca="false">L84-M84+O84</f>
        <v>3601.39016</v>
      </c>
    </row>
    <row r="85" customFormat="false" ht="16.4" hidden="false" customHeight="false" outlineLevel="0" collapsed="false">
      <c r="A85" s="140" t="s">
        <v>1033</v>
      </c>
      <c r="B85" s="173"/>
      <c r="C85" s="174" t="n">
        <v>45575</v>
      </c>
      <c r="D85" s="173" t="n">
        <v>223</v>
      </c>
      <c r="E85" s="138" t="s">
        <v>85</v>
      </c>
      <c r="F85" s="138" t="s">
        <v>85</v>
      </c>
      <c r="G85" s="140"/>
      <c r="H85" s="173" t="n">
        <v>40120</v>
      </c>
      <c r="I85" s="173" t="n">
        <v>30012</v>
      </c>
      <c r="J85" s="140" t="s">
        <v>908</v>
      </c>
      <c r="K85" s="140"/>
      <c r="L85" s="175" t="n">
        <v>14230.61568</v>
      </c>
      <c r="M85" s="175" t="n">
        <v>4847.112</v>
      </c>
      <c r="N85" s="175" t="n">
        <v>9135</v>
      </c>
      <c r="O85" s="175"/>
      <c r="P85" s="175"/>
      <c r="Q85" s="176" t="n">
        <v>3</v>
      </c>
      <c r="R85" s="138" t="n">
        <v>4</v>
      </c>
      <c r="S85" s="177" t="n">
        <v>153.6</v>
      </c>
      <c r="T85" s="215"/>
      <c r="U85" s="178" t="n">
        <v>0.327974576595346</v>
      </c>
      <c r="V85" s="177" t="n">
        <v>2996.04775719849</v>
      </c>
      <c r="W85" s="177" t="n">
        <v>81.502889230385</v>
      </c>
      <c r="X85" s="179" t="n">
        <v>0.0174626091792537</v>
      </c>
      <c r="Y85" s="177" t="n">
        <v>38.2775029411765</v>
      </c>
      <c r="Z85" s="177" t="n">
        <v>65.1</v>
      </c>
      <c r="AA85" s="177" t="n">
        <v>240.384615384615</v>
      </c>
      <c r="AB85" s="177" t="n">
        <v>3574.91276475466</v>
      </c>
      <c r="AC85" s="215" t="n">
        <v>0.385</v>
      </c>
      <c r="AD85" s="215" t="s">
        <v>88</v>
      </c>
      <c r="AE85" s="177" t="n">
        <v>3516.975</v>
      </c>
      <c r="AF85" s="177" t="n">
        <v>-57.9377647546639</v>
      </c>
      <c r="AG85" s="181" t="n">
        <v>-0.0164737493882283</v>
      </c>
      <c r="AH85" s="180" t="n">
        <v>3077.55064642887</v>
      </c>
      <c r="AI85" s="181" t="n">
        <v>0.875056162306776</v>
      </c>
      <c r="AJ85" s="181"/>
      <c r="AK85" s="181" t="s">
        <v>1033</v>
      </c>
      <c r="AL85" s="182" t="n">
        <v>0.391342393514468</v>
      </c>
      <c r="AN85" s="144" t="e">
        <v>#NAME?</v>
      </c>
      <c r="AO85" s="144" t="e">
        <f aca="false">_xlfn.xlookup(AN85,A:A,F:F)</f>
        <v>#NAME?</v>
      </c>
      <c r="AP85" s="144" t="e">
        <f aca="false">_xlfn.xlookup(AN85,A:A,J:J)</f>
        <v>#NAME?</v>
      </c>
      <c r="AQ85" s="144" t="e">
        <f aca="false">_xlfn.xlookup(AN85,A:A,N:N)+_xlfn.xlookup(AN85,A:A,O:O)</f>
        <v>#NAME?</v>
      </c>
      <c r="AR85" s="150" t="e">
        <f aca="false">_xlfn.xlookup(AN85,A:A,AH:AH)</f>
        <v>#NAME?</v>
      </c>
      <c r="AS85" s="150" t="e">
        <f aca="false">_xlfn.xlookup(AN85,A:A,S:S)</f>
        <v>#NAME?</v>
      </c>
      <c r="AT85" s="150" t="e">
        <f aca="false">_xlfn.xlookup(AN85,A:A,AE:AE)</f>
        <v>#NAME?</v>
      </c>
      <c r="AU85" s="150" t="e">
        <f aca="false">_xlfn.xlookup(AN85,A:A,AF:AF)</f>
        <v>#NAME?</v>
      </c>
      <c r="AW85" s="216" t="s">
        <v>760</v>
      </c>
      <c r="AX85" s="217" t="e">
        <f aca="false">#VALUE!</f>
        <v>#VALUE!</v>
      </c>
      <c r="AY85" s="225" t="e">
        <f aca="false">#VALUE!</f>
        <v>#VALUE!</v>
      </c>
      <c r="AZ85" s="225" t="e">
        <f aca="false">#VALUE!</f>
        <v>#VALUE!</v>
      </c>
      <c r="BA85" s="225" t="e">
        <f aca="false">#VALUE!</f>
        <v>#VALUE!</v>
      </c>
      <c r="BB85" s="218" t="e">
        <f aca="false">#VALUE!</f>
        <v>#VALUE!</v>
      </c>
      <c r="BC85" s="246"/>
      <c r="BD85" s="246"/>
      <c r="BE85" s="246"/>
      <c r="BF85" s="246"/>
      <c r="BG85" s="144" t="e">
        <v>#NAME?</v>
      </c>
      <c r="BH85" s="152" t="e">
        <f aca="false">_xlfn.xlookup(BG85,A:A,F:F)</f>
        <v>#NAME?</v>
      </c>
      <c r="BI85" s="144" t="e">
        <f aca="false">_xlfn.xlookup(BG85,A:A,J:J)</f>
        <v>#NAME?</v>
      </c>
      <c r="BJ85" s="153" t="e">
        <f aca="false">_xlfn.xlookup(BG85,A:A,N:N)+_xlfn.xlookup(BG85,A:A,O:O)</f>
        <v>#NAME?</v>
      </c>
      <c r="BK85" s="153" t="e">
        <f aca="false">_xlfn.xlookup(BG85,A33:A1028,AB33:AB1028)</f>
        <v>#NAME?</v>
      </c>
      <c r="BM85" s="205" t="s">
        <v>768</v>
      </c>
      <c r="BN85" s="206" t="e">
        <f aca="false">#VALUE!</f>
        <v>#VALUE!</v>
      </c>
      <c r="BO85" s="208" t="e">
        <f aca="false">#VALUE!</f>
        <v>#VALUE!</v>
      </c>
      <c r="BQ85" s="144" t="str">
        <f aca="false">IF(VALUE(MONTH(C85))&lt;10,YEAR(C85)&amp;"-0"&amp;MONTH(C85),YEAR(C85)&amp;"-"&amp;MONTH(C85))</f>
        <v>2024-10</v>
      </c>
      <c r="BR85" s="144" t="str">
        <f aca="false">J85</f>
        <v>D21-1</v>
      </c>
      <c r="BS85" s="144" t="str">
        <f aca="false">IF(ISNUMBER(FIND("-", BR85)), LEFT(BR85, FIND("-", BR85) - 1), BR85)</f>
        <v>D21</v>
      </c>
      <c r="BT85" s="189" t="n">
        <f aca="false">L85-M85+O85</f>
        <v>9383.50368</v>
      </c>
    </row>
    <row r="86" customFormat="false" ht="16.4" hidden="false" customHeight="false" outlineLevel="0" collapsed="false">
      <c r="A86" s="140" t="s">
        <v>1034</v>
      </c>
      <c r="B86" s="173"/>
      <c r="C86" s="174" t="n">
        <v>45575</v>
      </c>
      <c r="D86" s="173" t="n">
        <v>224</v>
      </c>
      <c r="E86" s="138" t="s">
        <v>85</v>
      </c>
      <c r="F86" s="138" t="s">
        <v>85</v>
      </c>
      <c r="G86" s="140"/>
      <c r="H86" s="173" t="n">
        <v>40121</v>
      </c>
      <c r="I86" s="173" t="n">
        <v>30016</v>
      </c>
      <c r="J86" s="140" t="s">
        <v>764</v>
      </c>
      <c r="K86" s="140"/>
      <c r="L86" s="175" t="n">
        <v>9984.384</v>
      </c>
      <c r="M86" s="175" t="n">
        <v>4843.296</v>
      </c>
      <c r="N86" s="175" t="n">
        <v>4933.2</v>
      </c>
      <c r="O86" s="175"/>
      <c r="P86" s="175"/>
      <c r="Q86" s="176" t="n">
        <v>1</v>
      </c>
      <c r="R86" s="138" t="n">
        <v>2.5</v>
      </c>
      <c r="S86" s="177" t="n">
        <v>64</v>
      </c>
      <c r="T86" s="215"/>
      <c r="U86" s="178" t="n">
        <v>0.326284886247867</v>
      </c>
      <c r="V86" s="177" t="n">
        <v>1609.62860083798</v>
      </c>
      <c r="W86" s="177" t="n">
        <v>67.8307124322962</v>
      </c>
      <c r="X86" s="179" t="n">
        <v>0.0208213145648243</v>
      </c>
      <c r="Y86" s="177" t="n">
        <v>26.85501</v>
      </c>
      <c r="Z86" s="177" t="n">
        <v>21.7</v>
      </c>
      <c r="AA86" s="177" t="n">
        <v>150.240384615385</v>
      </c>
      <c r="AB86" s="177" t="n">
        <v>1940.25470788566</v>
      </c>
      <c r="AC86" s="215" t="n">
        <v>0.466</v>
      </c>
      <c r="AD86" s="215" t="s">
        <v>88</v>
      </c>
      <c r="AE86" s="177" t="n">
        <v>2298.8712</v>
      </c>
      <c r="AF86" s="177" t="n">
        <v>358.616492114343</v>
      </c>
      <c r="AG86" s="181" t="n">
        <v>0.155996774466679</v>
      </c>
      <c r="AH86" s="180" t="n">
        <v>1677.45931327027</v>
      </c>
      <c r="AI86" s="181" t="n">
        <v>0.729688254509549</v>
      </c>
      <c r="AJ86" s="181"/>
      <c r="AK86" s="181" t="s">
        <v>1034</v>
      </c>
      <c r="AL86" s="182" t="n">
        <v>0.393305503098528</v>
      </c>
      <c r="AN86" s="144" t="e">
        <v>#NAME?</v>
      </c>
      <c r="AO86" s="144" t="e">
        <f aca="false">_xlfn.xlookup(AN86,A:A,F:F)</f>
        <v>#NAME?</v>
      </c>
      <c r="AP86" s="144" t="e">
        <f aca="false">_xlfn.xlookup(AN86,A:A,J:J)</f>
        <v>#NAME?</v>
      </c>
      <c r="AQ86" s="144" t="e">
        <f aca="false">_xlfn.xlookup(AN86,A:A,N:N)+_xlfn.xlookup(AN86,A:A,O:O)</f>
        <v>#NAME?</v>
      </c>
      <c r="AR86" s="150" t="e">
        <f aca="false">_xlfn.xlookup(AN86,A:A,AH:AH)</f>
        <v>#NAME?</v>
      </c>
      <c r="AS86" s="150" t="e">
        <f aca="false">_xlfn.xlookup(AN86,A:A,S:S)</f>
        <v>#NAME?</v>
      </c>
      <c r="AT86" s="150" t="e">
        <f aca="false">_xlfn.xlookup(AN86,A:A,AE:AE)</f>
        <v>#NAME?</v>
      </c>
      <c r="AU86" s="150" t="e">
        <f aca="false">_xlfn.xlookup(AN86,A:A,AF:AF)</f>
        <v>#NAME?</v>
      </c>
      <c r="AW86" s="194" t="s">
        <v>527</v>
      </c>
      <c r="AX86" s="195" t="e">
        <f aca="false">#VALUE!</f>
        <v>#VALUE!</v>
      </c>
      <c r="AY86" s="196" t="e">
        <f aca="false">#VALUE!</f>
        <v>#VALUE!</v>
      </c>
      <c r="AZ86" s="196" t="e">
        <f aca="false">#VALUE!</f>
        <v>#VALUE!</v>
      </c>
      <c r="BA86" s="196" t="e">
        <f aca="false">#VALUE!</f>
        <v>#VALUE!</v>
      </c>
      <c r="BB86" s="197" t="e">
        <f aca="false">#VALUE!</f>
        <v>#VALUE!</v>
      </c>
      <c r="BC86" s="246"/>
      <c r="BD86" s="246"/>
      <c r="BE86" s="246"/>
      <c r="BF86" s="246"/>
      <c r="BG86" s="144" t="e">
        <v>#NAME?</v>
      </c>
      <c r="BH86" s="152" t="e">
        <f aca="false">_xlfn.xlookup(BG86,A:A,F:F)</f>
        <v>#NAME?</v>
      </c>
      <c r="BI86" s="144" t="e">
        <f aca="false">_xlfn.xlookup(BG86,A:A,J:J)</f>
        <v>#NAME?</v>
      </c>
      <c r="BJ86" s="153" t="e">
        <f aca="false">_xlfn.xlookup(BG86,A:A,N:N)+_xlfn.xlookup(BG86,A:A,O:O)</f>
        <v>#NAME?</v>
      </c>
      <c r="BK86" s="153" t="e">
        <f aca="false">_xlfn.xlookup(BG86,A34:A1029,AB34:AB1029)</f>
        <v>#NAME?</v>
      </c>
      <c r="BM86" s="216" t="s">
        <v>760</v>
      </c>
      <c r="BN86" s="217" t="e">
        <f aca="false">#VALUE!</f>
        <v>#VALUE!</v>
      </c>
      <c r="BO86" s="218" t="e">
        <f aca="false">#VALUE!</f>
        <v>#VALUE!</v>
      </c>
      <c r="BQ86" s="144" t="str">
        <f aca="false">IF(VALUE(MONTH(C86))&lt;10,YEAR(C86)&amp;"-0"&amp;MONTH(C86),YEAR(C86)&amp;"-"&amp;MONTH(C86))</f>
        <v>2024-10</v>
      </c>
      <c r="BR86" s="144" t="str">
        <f aca="false">J86</f>
        <v>B15-3</v>
      </c>
      <c r="BS86" s="144" t="str">
        <f aca="false">IF(ISNUMBER(FIND("-", BR86)), LEFT(BR86, FIND("-", BR86) - 1), BR86)</f>
        <v>B15</v>
      </c>
      <c r="BT86" s="189" t="n">
        <f aca="false">L86-M86+O86</f>
        <v>5141.088</v>
      </c>
    </row>
    <row r="87" customFormat="false" ht="16.4" hidden="false" customHeight="false" outlineLevel="0" collapsed="false">
      <c r="A87" s="140" t="s">
        <v>1035</v>
      </c>
      <c r="B87" s="173"/>
      <c r="C87" s="174" t="n">
        <v>45575</v>
      </c>
      <c r="D87" s="173" t="n">
        <v>225</v>
      </c>
      <c r="E87" s="138" t="s">
        <v>94</v>
      </c>
      <c r="F87" s="138" t="s">
        <v>522</v>
      </c>
      <c r="G87" s="140"/>
      <c r="H87" s="173" t="n">
        <v>40067</v>
      </c>
      <c r="I87" s="173" t="n">
        <v>30015</v>
      </c>
      <c r="J87" s="140" t="s">
        <v>762</v>
      </c>
      <c r="K87" s="140"/>
      <c r="L87" s="175" t="n">
        <v>10770.912</v>
      </c>
      <c r="M87" s="175" t="n">
        <v>7228.8</v>
      </c>
      <c r="N87" s="175" t="n">
        <v>3492</v>
      </c>
      <c r="O87" s="175"/>
      <c r="P87" s="175"/>
      <c r="Q87" s="176" t="n">
        <v>1</v>
      </c>
      <c r="R87" s="138" t="n">
        <v>1.8</v>
      </c>
      <c r="S87" s="177" t="n">
        <v>-9.4</v>
      </c>
      <c r="T87" s="248" t="n">
        <v>1.376</v>
      </c>
      <c r="U87" s="178" t="n">
        <v>0.268854241086576</v>
      </c>
      <c r="V87" s="177" t="n">
        <v>938.839009874325</v>
      </c>
      <c r="W87" s="177" t="n">
        <v>13.4728237293308</v>
      </c>
      <c r="X87" s="179" t="n">
        <v>0.00465253081633208</v>
      </c>
      <c r="Y87" s="177" t="n">
        <v>14.5819058823529</v>
      </c>
      <c r="Z87" s="177" t="n">
        <v>21.7</v>
      </c>
      <c r="AA87" s="177" t="n">
        <v>108.173076923077</v>
      </c>
      <c r="AB87" s="177" t="n">
        <v>1087.36681640909</v>
      </c>
      <c r="AC87" s="215" t="n">
        <v>0.28</v>
      </c>
      <c r="AD87" s="215" t="s">
        <v>77</v>
      </c>
      <c r="AE87" s="177" t="n">
        <v>1345.39776</v>
      </c>
      <c r="AF87" s="177" t="n">
        <v>258.030943590915</v>
      </c>
      <c r="AG87" s="181" t="n">
        <v>0.191787849855581</v>
      </c>
      <c r="AH87" s="180" t="n">
        <v>952.311833603655</v>
      </c>
      <c r="AI87" s="181" t="n">
        <v>0.707829210005267</v>
      </c>
      <c r="AJ87" s="181"/>
      <c r="AK87" s="181" t="s">
        <v>1035</v>
      </c>
      <c r="AL87" s="182" t="n">
        <v>0.311387977207642</v>
      </c>
      <c r="AN87" s="144" t="e">
        <v>#NAME?</v>
      </c>
      <c r="AO87" s="144" t="e">
        <f aca="false">_xlfn.xlookup(AN87,A:A,F:F)</f>
        <v>#NAME?</v>
      </c>
      <c r="AP87" s="144" t="e">
        <f aca="false">_xlfn.xlookup(AN87,A:A,J:J)</f>
        <v>#NAME?</v>
      </c>
      <c r="AQ87" s="144" t="e">
        <f aca="false">_xlfn.xlookup(AN87,A:A,N:N)+_xlfn.xlookup(AN87,A:A,O:O)</f>
        <v>#NAME?</v>
      </c>
      <c r="AR87" s="150" t="e">
        <f aca="false">_xlfn.xlookup(AN87,A:A,AH:AH)</f>
        <v>#NAME?</v>
      </c>
      <c r="AS87" s="150" t="e">
        <f aca="false">_xlfn.xlookup(AN87,A:A,S:S)</f>
        <v>#NAME?</v>
      </c>
      <c r="AT87" s="150" t="e">
        <f aca="false">_xlfn.xlookup(AN87,A:A,AE:AE)</f>
        <v>#NAME?</v>
      </c>
      <c r="AU87" s="150" t="e">
        <f aca="false">_xlfn.xlookup(AN87,A:A,AF:AF)</f>
        <v>#NAME?</v>
      </c>
      <c r="AW87" s="205" t="s">
        <v>740</v>
      </c>
      <c r="AX87" s="206" t="e">
        <f aca="false">#VALUE!</f>
        <v>#VALUE!</v>
      </c>
      <c r="AY87" s="207" t="e">
        <f aca="false">#VALUE!</f>
        <v>#VALUE!</v>
      </c>
      <c r="AZ87" s="207" t="e">
        <f aca="false">#VALUE!</f>
        <v>#VALUE!</v>
      </c>
      <c r="BA87" s="207" t="e">
        <f aca="false">#VALUE!</f>
        <v>#VALUE!</v>
      </c>
      <c r="BB87" s="208" t="e">
        <f aca="false">#VALUE!</f>
        <v>#VALUE!</v>
      </c>
      <c r="BC87" s="246"/>
      <c r="BD87" s="246"/>
      <c r="BE87" s="246"/>
      <c r="BF87" s="246"/>
      <c r="BG87" s="144" t="e">
        <v>#NAME?</v>
      </c>
      <c r="BH87" s="152" t="e">
        <f aca="false">_xlfn.xlookup(BG87,A:A,F:F)</f>
        <v>#NAME?</v>
      </c>
      <c r="BI87" s="144" t="e">
        <f aca="false">_xlfn.xlookup(BG87,A:A,J:J)</f>
        <v>#NAME?</v>
      </c>
      <c r="BJ87" s="153" t="e">
        <f aca="false">_xlfn.xlookup(BG87,A:A,N:N)+_xlfn.xlookup(BG87,A:A,O:O)</f>
        <v>#NAME?</v>
      </c>
      <c r="BK87" s="153" t="e">
        <f aca="false">_xlfn.xlookup(BG87,A35:A1030,AB35:AB1030)</f>
        <v>#NAME?</v>
      </c>
      <c r="BM87" s="194" t="s">
        <v>354</v>
      </c>
      <c r="BN87" s="195" t="e">
        <f aca="false">#VALUE!</f>
        <v>#VALUE!</v>
      </c>
      <c r="BO87" s="197" t="e">
        <f aca="false">#VALUE!</f>
        <v>#VALUE!</v>
      </c>
      <c r="BQ87" s="144" t="str">
        <f aca="false">IF(VALUE(MONTH(C87))&lt;10,YEAR(C87)&amp;"-0"&amp;MONTH(C87),YEAR(C87)&amp;"-"&amp;MONTH(C87))</f>
        <v>2024-10</v>
      </c>
      <c r="BR87" s="144" t="str">
        <f aca="false">J87</f>
        <v>S15-3</v>
      </c>
      <c r="BS87" s="144" t="str">
        <f aca="false">IF(ISNUMBER(FIND("-", BR87)), LEFT(BR87, FIND("-", BR87) - 1), BR87)</f>
        <v>S15</v>
      </c>
      <c r="BT87" s="189" t="n">
        <f aca="false">L87-M87+O87</f>
        <v>3542.112</v>
      </c>
    </row>
    <row r="88" customFormat="false" ht="16.4" hidden="false" customHeight="false" outlineLevel="0" collapsed="false">
      <c r="A88" s="140" t="s">
        <v>1036</v>
      </c>
      <c r="B88" s="173"/>
      <c r="C88" s="174" t="n">
        <v>45575</v>
      </c>
      <c r="D88" s="173" t="n">
        <v>208</v>
      </c>
      <c r="E88" s="138" t="s">
        <v>131</v>
      </c>
      <c r="F88" s="138" t="s">
        <v>131</v>
      </c>
      <c r="G88" s="140" t="s">
        <v>1011</v>
      </c>
      <c r="H88" s="173" t="n">
        <v>40093</v>
      </c>
      <c r="I88" s="173" t="n">
        <v>30012</v>
      </c>
      <c r="J88" s="140" t="s">
        <v>908</v>
      </c>
      <c r="K88" s="140"/>
      <c r="L88" s="175" t="n">
        <v>16690.53</v>
      </c>
      <c r="M88" s="175" t="n">
        <v>0</v>
      </c>
      <c r="N88" s="175"/>
      <c r="O88" s="175"/>
      <c r="P88" s="175"/>
      <c r="Q88" s="176"/>
      <c r="R88" s="138"/>
      <c r="S88" s="177" t="n">
        <v>0</v>
      </c>
      <c r="T88" s="215"/>
      <c r="U88" s="178" t="n">
        <v>0.327974576595346</v>
      </c>
      <c r="V88" s="177" t="n">
        <v>0</v>
      </c>
      <c r="W88" s="177" t="n">
        <v>5474.06950990192</v>
      </c>
      <c r="X88" s="179" t="n">
        <v>1</v>
      </c>
      <c r="Y88" s="177" t="n">
        <v>0</v>
      </c>
      <c r="Z88" s="177" t="n">
        <v>0</v>
      </c>
      <c r="AA88" s="177" t="n">
        <v>0</v>
      </c>
      <c r="AB88" s="177" t="n">
        <v>5474.06950990192</v>
      </c>
      <c r="AC88" s="215" t="n">
        <v>0</v>
      </c>
      <c r="AD88" s="215" t="s">
        <v>88</v>
      </c>
      <c r="AE88" s="177" t="n">
        <v>0</v>
      </c>
      <c r="AF88" s="177" t="n">
        <v>-5474.06950990192</v>
      </c>
      <c r="AG88" s="181"/>
      <c r="AH88" s="180" t="n">
        <v>5474.06950990192</v>
      </c>
      <c r="AI88" s="181"/>
      <c r="AJ88" s="181" t="s">
        <v>895</v>
      </c>
      <c r="AK88" s="181" t="s">
        <v>1036</v>
      </c>
      <c r="AL88" s="182"/>
      <c r="AN88" s="144" t="e">
        <v>#NAME?</v>
      </c>
      <c r="AO88" s="144" t="e">
        <f aca="false">_xlfn.xlookup(AN88,A:A,F:F)</f>
        <v>#NAME?</v>
      </c>
      <c r="AP88" s="144" t="e">
        <f aca="false">_xlfn.xlookup(AN88,A:A,J:J)</f>
        <v>#NAME?</v>
      </c>
      <c r="AQ88" s="144" t="e">
        <f aca="false">_xlfn.xlookup(AN88,A:A,N:N)+_xlfn.xlookup(AN88,A:A,O:O)</f>
        <v>#NAME?</v>
      </c>
      <c r="AR88" s="150" t="e">
        <f aca="false">_xlfn.xlookup(AN88,A:A,AH:AH)</f>
        <v>#NAME?</v>
      </c>
      <c r="AS88" s="150" t="e">
        <f aca="false">_xlfn.xlookup(AN88,A:A,S:S)</f>
        <v>#NAME?</v>
      </c>
      <c r="AT88" s="150" t="e">
        <f aca="false">_xlfn.xlookup(AN88,A:A,AE:AE)</f>
        <v>#NAME?</v>
      </c>
      <c r="AU88" s="150" t="e">
        <f aca="false">_xlfn.xlookup(AN88,A:A,AF:AF)</f>
        <v>#NAME?</v>
      </c>
      <c r="AW88" s="216" t="s">
        <v>762</v>
      </c>
      <c r="AX88" s="217" t="e">
        <f aca="false">#VALUE!</f>
        <v>#VALUE!</v>
      </c>
      <c r="AY88" s="225" t="e">
        <f aca="false">#VALUE!</f>
        <v>#VALUE!</v>
      </c>
      <c r="AZ88" s="225" t="e">
        <f aca="false">#VALUE!</f>
        <v>#VALUE!</v>
      </c>
      <c r="BA88" s="225" t="e">
        <f aca="false">#VALUE!</f>
        <v>#VALUE!</v>
      </c>
      <c r="BB88" s="218" t="e">
        <f aca="false">#VALUE!</f>
        <v>#VALUE!</v>
      </c>
      <c r="BC88" s="246"/>
      <c r="BD88" s="246"/>
      <c r="BE88" s="246"/>
      <c r="BF88" s="246"/>
      <c r="BG88" s="144" t="e">
        <v>#NAME?</v>
      </c>
      <c r="BH88" s="152" t="e">
        <f aca="false">_xlfn.xlookup(BG88,A:A,F:F)</f>
        <v>#NAME?</v>
      </c>
      <c r="BI88" s="144" t="e">
        <f aca="false">_xlfn.xlookup(BG88,A:A,J:J)</f>
        <v>#NAME?</v>
      </c>
      <c r="BJ88" s="153" t="e">
        <f aca="false">_xlfn.xlookup(BG88,A:A,N:N)+_xlfn.xlookup(BG88,A:A,O:O)</f>
        <v>#NAME?</v>
      </c>
      <c r="BK88" s="153" t="e">
        <f aca="false">_xlfn.xlookup(BG88,A36:A1031,AB36:AB1031)</f>
        <v>#NAME?</v>
      </c>
      <c r="BM88" s="216" t="s">
        <v>762</v>
      </c>
      <c r="BN88" s="217" t="e">
        <f aca="false">#VALUE!</f>
        <v>#VALUE!</v>
      </c>
      <c r="BO88" s="218" t="e">
        <f aca="false">#VALUE!</f>
        <v>#VALUE!</v>
      </c>
      <c r="BT88" s="189"/>
    </row>
    <row r="89" customFormat="false" ht="16.4" hidden="false" customHeight="false" outlineLevel="0" collapsed="false">
      <c r="A89" s="140" t="s">
        <v>1037</v>
      </c>
      <c r="B89" s="173"/>
      <c r="C89" s="174" t="n">
        <v>45576</v>
      </c>
      <c r="D89" s="173" t="n">
        <v>226</v>
      </c>
      <c r="E89" s="138" t="s">
        <v>120</v>
      </c>
      <c r="F89" s="138" t="s">
        <v>617</v>
      </c>
      <c r="G89" s="140" t="n">
        <v>14258</v>
      </c>
      <c r="H89" s="173" t="n">
        <v>40126</v>
      </c>
      <c r="I89" s="173" t="n">
        <v>30015</v>
      </c>
      <c r="J89" s="140" t="s">
        <v>762</v>
      </c>
      <c r="K89" s="140"/>
      <c r="L89" s="175" t="n">
        <v>21458.69</v>
      </c>
      <c r="M89" s="175" t="n">
        <v>0</v>
      </c>
      <c r="N89" s="175" t="n">
        <v>21276</v>
      </c>
      <c r="O89" s="175" t="n">
        <v>0</v>
      </c>
      <c r="P89" s="175" t="n">
        <v>180</v>
      </c>
      <c r="Q89" s="176" t="n">
        <v>5</v>
      </c>
      <c r="R89" s="138" t="n">
        <v>4.75</v>
      </c>
      <c r="S89" s="177" t="n">
        <v>243.2</v>
      </c>
      <c r="T89" s="215"/>
      <c r="U89" s="178" t="n">
        <v>0.268854241086576</v>
      </c>
      <c r="V89" s="177" t="n">
        <v>5720.142833358</v>
      </c>
      <c r="W89" s="177" t="n">
        <v>49.1169813041063</v>
      </c>
      <c r="X89" s="179" t="n">
        <v>0.0085135672308048</v>
      </c>
      <c r="Y89" s="177" t="n">
        <v>43.7457176470588</v>
      </c>
      <c r="Z89" s="177" t="n">
        <v>108.5</v>
      </c>
      <c r="AA89" s="177" t="n">
        <v>285.456730769231</v>
      </c>
      <c r="AB89" s="177" t="n">
        <v>6450.1622630784</v>
      </c>
      <c r="AC89" s="215" t="n">
        <v>0.347</v>
      </c>
      <c r="AD89" s="215" t="s">
        <v>88</v>
      </c>
      <c r="AE89" s="177" t="n">
        <v>7382.772</v>
      </c>
      <c r="AF89" s="177" t="n">
        <v>932.609736921604</v>
      </c>
      <c r="AG89" s="181" t="n">
        <v>0.126322435112666</v>
      </c>
      <c r="AH89" s="180" t="n">
        <v>5769.25981466211</v>
      </c>
      <c r="AI89" s="181" t="n">
        <v>0.781449002442728</v>
      </c>
      <c r="AJ89" s="181"/>
      <c r="AK89" s="181" t="s">
        <v>1037</v>
      </c>
      <c r="AL89" s="182" t="n">
        <v>0.303166115015905</v>
      </c>
      <c r="AN89" s="144" t="e">
        <v>#NAME?</v>
      </c>
      <c r="AO89" s="144" t="e">
        <f aca="false">_xlfn.xlookup(AN89,A:A,F:F)</f>
        <v>#NAME?</v>
      </c>
      <c r="AP89" s="144" t="e">
        <f aca="false">_xlfn.xlookup(AN89,A:A,J:J)</f>
        <v>#NAME?</v>
      </c>
      <c r="AQ89" s="144" t="e">
        <f aca="false">_xlfn.xlookup(AN89,A:A,N:N)+_xlfn.xlookup(AN89,A:A,O:O)</f>
        <v>#NAME?</v>
      </c>
      <c r="AR89" s="150" t="e">
        <f aca="false">_xlfn.xlookup(AN89,A:A,AH:AH)</f>
        <v>#NAME?</v>
      </c>
      <c r="AS89" s="150" t="e">
        <f aca="false">_xlfn.xlookup(AN89,A:A,S:S)</f>
        <v>#NAME?</v>
      </c>
      <c r="AT89" s="150" t="e">
        <f aca="false">_xlfn.xlookup(AN89,A:A,AE:AE)</f>
        <v>#NAME?</v>
      </c>
      <c r="AU89" s="150" t="e">
        <f aca="false">_xlfn.xlookup(AN89,A:A,AF:AF)</f>
        <v>#NAME?</v>
      </c>
      <c r="AW89" s="194" t="s">
        <v>109</v>
      </c>
      <c r="AX89" s="195" t="e">
        <f aca="false">#VALUE!</f>
        <v>#VALUE!</v>
      </c>
      <c r="AY89" s="196" t="e">
        <f aca="false">#VALUE!</f>
        <v>#VALUE!</v>
      </c>
      <c r="AZ89" s="196" t="e">
        <f aca="false">#VALUE!</f>
        <v>#VALUE!</v>
      </c>
      <c r="BA89" s="196" t="e">
        <f aca="false">#VALUE!</f>
        <v>#VALUE!</v>
      </c>
      <c r="BB89" s="197" t="e">
        <f aca="false">#VALUE!</f>
        <v>#VALUE!</v>
      </c>
      <c r="BC89" s="246"/>
      <c r="BD89" s="246"/>
      <c r="BE89" s="246"/>
      <c r="BF89" s="246"/>
      <c r="BG89" s="144" t="e">
        <v>#NAME?</v>
      </c>
      <c r="BH89" s="152" t="e">
        <f aca="false">_xlfn.xlookup(BG89,A:A,F:F)</f>
        <v>#NAME?</v>
      </c>
      <c r="BI89" s="144" t="e">
        <f aca="false">_xlfn.xlookup(BG89,A:A,J:J)</f>
        <v>#NAME?</v>
      </c>
      <c r="BJ89" s="153" t="e">
        <f aca="false">_xlfn.xlookup(BG89,A:A,N:N)+_xlfn.xlookup(BG89,A:A,O:O)</f>
        <v>#NAME?</v>
      </c>
      <c r="BK89" s="153" t="e">
        <f aca="false">_xlfn.xlookup(BG89,A37:A1032,AB37:AB1032)</f>
        <v>#NAME?</v>
      </c>
      <c r="BM89" s="194" t="s">
        <v>1038</v>
      </c>
      <c r="BN89" s="195" t="e">
        <f aca="false">#VALUE!</f>
        <v>#VALUE!</v>
      </c>
      <c r="BO89" s="197" t="e">
        <f aca="false">#VALUE!</f>
        <v>#VALUE!</v>
      </c>
      <c r="BQ89" s="144" t="str">
        <f aca="false">IF(VALUE(MONTH(C89))&lt;10,YEAR(C89)&amp;"-0"&amp;MONTH(C89),YEAR(C89)&amp;"-"&amp;MONTH(C89))</f>
        <v>2024-10</v>
      </c>
      <c r="BR89" s="144" t="str">
        <f aca="false">J89</f>
        <v>S15-3</v>
      </c>
      <c r="BS89" s="144" t="str">
        <f aca="false">IF(ISNUMBER(FIND("-", BR89)), LEFT(BR89, FIND("-", BR89) - 1), BR89)</f>
        <v>S15</v>
      </c>
      <c r="BT89" s="189" t="n">
        <f aca="false">L89-M89+O89</f>
        <v>21458.69</v>
      </c>
    </row>
    <row r="90" customFormat="false" ht="16.4" hidden="false" customHeight="false" outlineLevel="0" collapsed="false">
      <c r="A90" s="140" t="s">
        <v>1039</v>
      </c>
      <c r="B90" s="173"/>
      <c r="C90" s="174" t="n">
        <v>45576</v>
      </c>
      <c r="D90" s="173" t="n">
        <v>226</v>
      </c>
      <c r="E90" s="138" t="s">
        <v>120</v>
      </c>
      <c r="F90" s="138" t="s">
        <v>617</v>
      </c>
      <c r="G90" s="140" t="n">
        <v>14258</v>
      </c>
      <c r="H90" s="173" t="n">
        <v>40126</v>
      </c>
      <c r="I90" s="173" t="n">
        <v>30015</v>
      </c>
      <c r="J90" s="140" t="s">
        <v>762</v>
      </c>
      <c r="K90" s="140"/>
      <c r="L90" s="175" t="n">
        <v>0</v>
      </c>
      <c r="M90" s="175" t="n">
        <v>0</v>
      </c>
      <c r="N90" s="175" t="n">
        <v>0</v>
      </c>
      <c r="O90" s="175" t="n">
        <v>1440</v>
      </c>
      <c r="P90" s="175" t="n">
        <v>0</v>
      </c>
      <c r="Q90" s="176" t="n">
        <v>0</v>
      </c>
      <c r="R90" s="138" t="n">
        <v>0</v>
      </c>
      <c r="S90" s="177" t="n">
        <v>0</v>
      </c>
      <c r="T90" s="215"/>
      <c r="U90" s="178" t="n">
        <v>0.268854241086576</v>
      </c>
      <c r="V90" s="177" t="n">
        <v>0</v>
      </c>
      <c r="W90" s="177" t="n">
        <v>0</v>
      </c>
      <c r="X90" s="179" t="n">
        <v>0</v>
      </c>
      <c r="Y90" s="177" t="n">
        <v>0</v>
      </c>
      <c r="Z90" s="177" t="n">
        <v>0</v>
      </c>
      <c r="AA90" s="177" t="n">
        <v>0</v>
      </c>
      <c r="AB90" s="177" t="n">
        <v>387.15010716467</v>
      </c>
      <c r="AC90" s="215" t="n">
        <v>0</v>
      </c>
      <c r="AD90" s="215" t="s">
        <v>88</v>
      </c>
      <c r="AE90" s="177" t="n">
        <v>0</v>
      </c>
      <c r="AF90" s="177" t="n">
        <v>-387.15010716467</v>
      </c>
      <c r="AG90" s="181"/>
      <c r="AH90" s="180" t="n">
        <v>387.15010716467</v>
      </c>
      <c r="AI90" s="181"/>
      <c r="AJ90" s="181" t="s">
        <v>895</v>
      </c>
      <c r="AK90" s="181" t="s">
        <v>1039</v>
      </c>
      <c r="AL90" s="182" t="n">
        <v>0.268854241086576</v>
      </c>
      <c r="AN90" s="144" t="e">
        <v>#NAME?</v>
      </c>
      <c r="AO90" s="144" t="e">
        <f aca="false">_xlfn.xlookup(AN90,A:A,F:F)</f>
        <v>#NAME?</v>
      </c>
      <c r="AP90" s="144" t="e">
        <f aca="false">_xlfn.xlookup(AN90,A:A,J:J)</f>
        <v>#NAME?</v>
      </c>
      <c r="AQ90" s="144" t="e">
        <f aca="false">_xlfn.xlookup(AN90,A:A,N:N)+_xlfn.xlookup(AN90,A:A,O:O)</f>
        <v>#NAME?</v>
      </c>
      <c r="AR90" s="150" t="e">
        <f aca="false">_xlfn.xlookup(AN90,A:A,AH:AH)</f>
        <v>#NAME?</v>
      </c>
      <c r="AS90" s="150" t="e">
        <f aca="false">_xlfn.xlookup(AN90,A:A,S:S)</f>
        <v>#NAME?</v>
      </c>
      <c r="AT90" s="150" t="e">
        <f aca="false">_xlfn.xlookup(AN90,A:A,AE:AE)</f>
        <v>#NAME?</v>
      </c>
      <c r="AU90" s="150" t="e">
        <f aca="false">_xlfn.xlookup(AN90,A:A,AF:AF)</f>
        <v>#NAME?</v>
      </c>
      <c r="AW90" s="205" t="s">
        <v>908</v>
      </c>
      <c r="AX90" s="206" t="e">
        <f aca="false">#VALUE!</f>
        <v>#VALUE!</v>
      </c>
      <c r="AY90" s="207" t="e">
        <f aca="false">#VALUE!</f>
        <v>#VALUE!</v>
      </c>
      <c r="AZ90" s="207" t="e">
        <f aca="false">#VALUE!</f>
        <v>#VALUE!</v>
      </c>
      <c r="BA90" s="207" t="e">
        <f aca="false">#VALUE!</f>
        <v>#VALUE!</v>
      </c>
      <c r="BB90" s="208" t="e">
        <f aca="false">#VALUE!</f>
        <v>#VALUE!</v>
      </c>
      <c r="BC90" s="246"/>
      <c r="BD90" s="246"/>
      <c r="BE90" s="246"/>
      <c r="BF90" s="246"/>
      <c r="BG90" s="144" t="e">
        <v>#NAME?</v>
      </c>
      <c r="BH90" s="152" t="e">
        <f aca="false">_xlfn.xlookup(BG90,A:A,F:F)</f>
        <v>#NAME?</v>
      </c>
      <c r="BI90" s="144" t="e">
        <f aca="false">_xlfn.xlookup(BG90,A:A,J:J)</f>
        <v>#NAME?</v>
      </c>
      <c r="BJ90" s="153" t="e">
        <f aca="false">_xlfn.xlookup(BG90,A:A,N:N)+_xlfn.xlookup(BG90,A:A,O:O)</f>
        <v>#NAME?</v>
      </c>
      <c r="BK90" s="153" t="e">
        <f aca="false">_xlfn.xlookup(BG90,A38:A1033,AB38:AB1033)</f>
        <v>#NAME?</v>
      </c>
      <c r="BM90" s="205" t="s">
        <v>762</v>
      </c>
      <c r="BN90" s="206" t="e">
        <f aca="false">#VALUE!</f>
        <v>#VALUE!</v>
      </c>
      <c r="BO90" s="208" t="e">
        <f aca="false">#VALUE!</f>
        <v>#VALUE!</v>
      </c>
      <c r="BQ90" s="144" t="str">
        <f aca="false">IF(VALUE(MONTH(C90))&lt;10,YEAR(C90)&amp;"-0"&amp;MONTH(C90),YEAR(C90)&amp;"-"&amp;MONTH(C90))</f>
        <v>2024-10</v>
      </c>
      <c r="BR90" s="144" t="str">
        <f aca="false">J90</f>
        <v>S15-3</v>
      </c>
      <c r="BS90" s="144" t="str">
        <f aca="false">IF(ISNUMBER(FIND("-", BR90)), LEFT(BR90, FIND("-", BR90) - 1), BR90)</f>
        <v>S15</v>
      </c>
      <c r="BT90" s="189" t="n">
        <f aca="false">L90-M90+O90</f>
        <v>1440</v>
      </c>
    </row>
    <row r="91" customFormat="false" ht="16.4" hidden="false" customHeight="false" outlineLevel="0" collapsed="false">
      <c r="A91" s="140" t="s">
        <v>1040</v>
      </c>
      <c r="B91" s="173"/>
      <c r="C91" s="174" t="n">
        <v>45576</v>
      </c>
      <c r="D91" s="173" t="n">
        <v>227</v>
      </c>
      <c r="E91" s="138" t="s">
        <v>94</v>
      </c>
      <c r="F91" s="138" t="s">
        <v>522</v>
      </c>
      <c r="G91" s="140" t="n">
        <v>104618</v>
      </c>
      <c r="H91" s="173" t="n">
        <v>40127</v>
      </c>
      <c r="I91" s="173" t="n">
        <v>30011</v>
      </c>
      <c r="J91" s="140" t="s">
        <v>760</v>
      </c>
      <c r="K91" s="140"/>
      <c r="L91" s="175" t="n">
        <v>7115.30784</v>
      </c>
      <c r="M91" s="175" t="n">
        <v>3542.112</v>
      </c>
      <c r="N91" s="175" t="n">
        <v>3486</v>
      </c>
      <c r="O91" s="175"/>
      <c r="P91" s="175" t="n">
        <v>60</v>
      </c>
      <c r="Q91" s="176" t="n">
        <v>1</v>
      </c>
      <c r="R91" s="138" t="n">
        <v>2.5</v>
      </c>
      <c r="S91" s="177" t="n">
        <v>-9.4</v>
      </c>
      <c r="T91" s="215" t="n">
        <v>1.376</v>
      </c>
      <c r="U91" s="178" t="n">
        <v>0.28357864079936</v>
      </c>
      <c r="V91" s="177" t="n">
        <v>988.555141826569</v>
      </c>
      <c r="W91" s="177" t="n">
        <v>24.7268777905583</v>
      </c>
      <c r="X91" s="179" t="n">
        <v>0.0122546827151753</v>
      </c>
      <c r="Y91" s="177" t="n">
        <v>14.5819058823529</v>
      </c>
      <c r="Z91" s="177" t="n">
        <v>21.7</v>
      </c>
      <c r="AA91" s="177" t="n">
        <v>150.240384615385</v>
      </c>
      <c r="AB91" s="177" t="n">
        <v>1190.40431011486</v>
      </c>
      <c r="AC91" s="215" t="n">
        <v>0.27</v>
      </c>
      <c r="AD91" s="215" t="s">
        <v>77</v>
      </c>
      <c r="AE91" s="177" t="n">
        <v>1295.11872</v>
      </c>
      <c r="AF91" s="177" t="n">
        <v>104.714409885135</v>
      </c>
      <c r="AG91" s="181" t="n">
        <v>0.0808531359079849</v>
      </c>
      <c r="AH91" s="180" t="n">
        <v>1013.28201961713</v>
      </c>
      <c r="AI91" s="181" t="n">
        <v>0.782385432292359</v>
      </c>
      <c r="AJ91" s="181"/>
      <c r="AK91" s="181" t="s">
        <v>1040</v>
      </c>
      <c r="AL91" s="182" t="n">
        <v>0.341481442947465</v>
      </c>
      <c r="AN91" s="144" t="e">
        <v>#NAME?</v>
      </c>
      <c r="AO91" s="144" t="e">
        <f aca="false">_xlfn.xlookup(AN91,A:A,F:F)</f>
        <v>#NAME?</v>
      </c>
      <c r="AP91" s="144" t="e">
        <f aca="false">_xlfn.xlookup(AN91,A:A,J:J)</f>
        <v>#NAME?</v>
      </c>
      <c r="AQ91" s="144" t="e">
        <f aca="false">_xlfn.xlookup(AN91,A:A,N:N)+_xlfn.xlookup(AN91,A:A,O:O)</f>
        <v>#NAME?</v>
      </c>
      <c r="AR91" s="150" t="e">
        <f aca="false">_xlfn.xlookup(AN91,A:A,AH:AH)</f>
        <v>#NAME?</v>
      </c>
      <c r="AS91" s="150" t="e">
        <f aca="false">_xlfn.xlookup(AN91,A:A,S:S)</f>
        <v>#NAME?</v>
      </c>
      <c r="AT91" s="150" t="e">
        <f aca="false">_xlfn.xlookup(AN91,A:A,AE:AE)</f>
        <v>#NAME?</v>
      </c>
      <c r="AU91" s="150" t="e">
        <f aca="false">_xlfn.xlookup(AN91,A:A,AF:AF)</f>
        <v>#NAME?</v>
      </c>
      <c r="AW91" s="216" t="s">
        <v>1041</v>
      </c>
      <c r="AX91" s="217" t="e">
        <f aca="false">#VALUE!</f>
        <v>#VALUE!</v>
      </c>
      <c r="AY91" s="225" t="e">
        <f aca="false">#VALUE!</f>
        <v>#VALUE!</v>
      </c>
      <c r="AZ91" s="225" t="e">
        <f aca="false">#VALUE!</f>
        <v>#VALUE!</v>
      </c>
      <c r="BA91" s="225" t="e">
        <f aca="false">#VALUE!</f>
        <v>#VALUE!</v>
      </c>
      <c r="BB91" s="218" t="e">
        <f aca="false">#VALUE!</f>
        <v>#VALUE!</v>
      </c>
      <c r="BC91" s="246"/>
      <c r="BD91" s="246"/>
      <c r="BE91" s="246"/>
      <c r="BF91" s="246"/>
      <c r="BG91" s="144" t="e">
        <v>#NAME?</v>
      </c>
      <c r="BH91" s="152" t="e">
        <f aca="false">_xlfn.xlookup(BG91,A:A,F:F)</f>
        <v>#NAME?</v>
      </c>
      <c r="BI91" s="144" t="e">
        <f aca="false">_xlfn.xlookup(BG91,A:A,J:J)</f>
        <v>#NAME?</v>
      </c>
      <c r="BJ91" s="153" t="e">
        <f aca="false">_xlfn.xlookup(BG91,A:A,N:N)+_xlfn.xlookup(BG91,A:A,O:O)</f>
        <v>#NAME?</v>
      </c>
      <c r="BK91" s="153" t="e">
        <f aca="false">_xlfn.xlookup(BG91,A39:A1034,AB39:AB1034)</f>
        <v>#NAME?</v>
      </c>
      <c r="BM91" s="216" t="s">
        <v>790</v>
      </c>
      <c r="BN91" s="217" t="e">
        <f aca="false">#VALUE!</f>
        <v>#VALUE!</v>
      </c>
      <c r="BO91" s="218" t="e">
        <f aca="false">#VALUE!</f>
        <v>#VALUE!</v>
      </c>
      <c r="BQ91" s="144" t="str">
        <f aca="false">IF(VALUE(MONTH(C91))&lt;10,YEAR(C91)&amp;"-0"&amp;MONTH(C91),YEAR(C91)&amp;"-"&amp;MONTH(C91))</f>
        <v>2024-10</v>
      </c>
      <c r="BR91" s="144" t="str">
        <f aca="false">J91</f>
        <v>S21-1</v>
      </c>
      <c r="BS91" s="144" t="str">
        <f aca="false">IF(ISNUMBER(FIND("-", BR91)), LEFT(BR91, FIND("-", BR91) - 1), BR91)</f>
        <v>S21</v>
      </c>
      <c r="BT91" s="189" t="n">
        <f aca="false">L91-M91+O91</f>
        <v>3573.19584</v>
      </c>
    </row>
    <row r="92" customFormat="false" ht="16.4" hidden="false" customHeight="false" outlineLevel="0" collapsed="false">
      <c r="A92" s="140" t="s">
        <v>1042</v>
      </c>
      <c r="B92" s="249" t="s">
        <v>893</v>
      </c>
      <c r="C92" s="174" t="n">
        <v>45581</v>
      </c>
      <c r="D92" s="173" t="n">
        <v>228</v>
      </c>
      <c r="E92" s="138" t="s">
        <v>68</v>
      </c>
      <c r="F92" s="138" t="s">
        <v>68</v>
      </c>
      <c r="G92" s="140" t="s">
        <v>178</v>
      </c>
      <c r="H92" s="173" t="n">
        <v>40128</v>
      </c>
      <c r="I92" s="173" t="n">
        <v>30011</v>
      </c>
      <c r="J92" s="140" t="s">
        <v>760</v>
      </c>
      <c r="K92" s="140"/>
      <c r="L92" s="175" t="n">
        <v>378</v>
      </c>
      <c r="M92" s="175" t="n">
        <v>0</v>
      </c>
      <c r="N92" s="175" t="n">
        <v>343.2</v>
      </c>
      <c r="O92" s="175"/>
      <c r="P92" s="175" t="n">
        <v>13</v>
      </c>
      <c r="Q92" s="176" t="n">
        <v>1</v>
      </c>
      <c r="R92" s="138" t="n">
        <v>0.5</v>
      </c>
      <c r="S92" s="177" t="n">
        <v>23.8333333333333</v>
      </c>
      <c r="T92" s="215"/>
      <c r="U92" s="178" t="n">
        <v>0.28357864079936</v>
      </c>
      <c r="V92" s="177" t="n">
        <v>97.3241895223403</v>
      </c>
      <c r="W92" s="177" t="n">
        <v>9.86853669981773</v>
      </c>
      <c r="X92" s="179" t="n">
        <v>0.0920634920634921</v>
      </c>
      <c r="Y92" s="177" t="n">
        <v>3.15941294117647</v>
      </c>
      <c r="Z92" s="177" t="n">
        <v>21.7</v>
      </c>
      <c r="AA92" s="177" t="n">
        <v>30.0480769230769</v>
      </c>
      <c r="AB92" s="177" t="n">
        <v>185.933549419745</v>
      </c>
      <c r="AC92" s="215" t="n">
        <v>0</v>
      </c>
      <c r="AD92" s="215" t="s">
        <v>88</v>
      </c>
      <c r="AE92" s="177" t="n">
        <v>0</v>
      </c>
      <c r="AF92" s="177" t="n">
        <v>-185.933549419745</v>
      </c>
      <c r="AG92" s="181"/>
      <c r="AH92" s="180" t="n">
        <v>107.192726222158</v>
      </c>
      <c r="AI92" s="181"/>
      <c r="AJ92" s="181" t="s">
        <v>895</v>
      </c>
      <c r="AK92" s="181" t="s">
        <v>1042</v>
      </c>
      <c r="AL92" s="182" t="n">
        <v>0.541764421386203</v>
      </c>
      <c r="AN92" s="144" t="e">
        <v>#NAME?</v>
      </c>
      <c r="AO92" s="144" t="e">
        <f aca="false">_xlfn.xlookup(AN92,A:A,F:F)</f>
        <v>#NAME?</v>
      </c>
      <c r="AP92" s="144" t="e">
        <f aca="false">_xlfn.xlookup(AN92,A:A,J:J)</f>
        <v>#NAME?</v>
      </c>
      <c r="AQ92" s="144" t="e">
        <f aca="false">_xlfn.xlookup(AN92,A:A,N:N)+_xlfn.xlookup(AN92,A:A,O:O)</f>
        <v>#NAME?</v>
      </c>
      <c r="AR92" s="150" t="e">
        <f aca="false">_xlfn.xlookup(AN92,A:A,AH:AH)</f>
        <v>#NAME?</v>
      </c>
      <c r="AS92" s="150" t="e">
        <f aca="false">_xlfn.xlookup(AN92,A:A,S:S)</f>
        <v>#NAME?</v>
      </c>
      <c r="AT92" s="150" t="e">
        <f aca="false">_xlfn.xlookup(AN92,A:A,AE:AE)</f>
        <v>#NAME?</v>
      </c>
      <c r="AU92" s="150" t="e">
        <f aca="false">_xlfn.xlookup(AN92,A:A,AF:AF)</f>
        <v>#NAME?</v>
      </c>
      <c r="AW92" s="194" t="s">
        <v>912</v>
      </c>
      <c r="AX92" s="195" t="e">
        <f aca="false">#VALUE!</f>
        <v>#VALUE!</v>
      </c>
      <c r="AY92" s="196" t="e">
        <f aca="false">#VALUE!</f>
        <v>#VALUE!</v>
      </c>
      <c r="AZ92" s="196" t="e">
        <f aca="false">#VALUE!</f>
        <v>#VALUE!</v>
      </c>
      <c r="BA92" s="196" t="e">
        <f aca="false">#VALUE!</f>
        <v>#VALUE!</v>
      </c>
      <c r="BB92" s="197" t="e">
        <f aca="false">#VALUE!</f>
        <v>#VALUE!</v>
      </c>
      <c r="BC92" s="246"/>
      <c r="BD92" s="246"/>
      <c r="BE92" s="246"/>
      <c r="BF92" s="246"/>
      <c r="BG92" s="144" t="e">
        <v>#NAME?</v>
      </c>
      <c r="BH92" s="152" t="e">
        <f aca="false">_xlfn.xlookup(BG92,A:A,F:F)</f>
        <v>#NAME?</v>
      </c>
      <c r="BI92" s="144" t="e">
        <f aca="false">_xlfn.xlookup(BG92,A:A,J:J)</f>
        <v>#NAME?</v>
      </c>
      <c r="BJ92" s="153" t="e">
        <f aca="false">_xlfn.xlookup(BG92,A:A,N:N)+_xlfn.xlookup(BG92,A:A,O:O)</f>
        <v>#NAME?</v>
      </c>
      <c r="BK92" s="153" t="e">
        <f aca="false">_xlfn.xlookup(BG92,A40:A1035,AB40:AB1035)</f>
        <v>#NAME?</v>
      </c>
      <c r="BM92" s="194" t="s">
        <v>527</v>
      </c>
      <c r="BN92" s="195" t="e">
        <f aca="false">#VALUE!</f>
        <v>#VALUE!</v>
      </c>
      <c r="BO92" s="197" t="e">
        <f aca="false">#VALUE!</f>
        <v>#VALUE!</v>
      </c>
      <c r="BQ92" s="144" t="str">
        <f aca="false">IF(VALUE(MONTH(C92))&lt;10,YEAR(C92)&amp;"-0"&amp;MONTH(C92),YEAR(C92)&amp;"-"&amp;MONTH(C92))</f>
        <v>2024-10</v>
      </c>
      <c r="BR92" s="144" t="str">
        <f aca="false">J92</f>
        <v>S21-1</v>
      </c>
      <c r="BS92" s="144" t="str">
        <f aca="false">IF(ISNUMBER(FIND("-", BR92)), LEFT(BR92, FIND("-", BR92) - 1), BR92)</f>
        <v>S21</v>
      </c>
      <c r="BT92" s="189" t="n">
        <f aca="false">L92-M92+O92</f>
        <v>378</v>
      </c>
    </row>
    <row r="93" customFormat="false" ht="16.4" hidden="false" customHeight="false" outlineLevel="0" collapsed="false">
      <c r="A93" s="140" t="s">
        <v>1043</v>
      </c>
      <c r="B93" s="249" t="s">
        <v>893</v>
      </c>
      <c r="C93" s="174" t="n">
        <v>45581</v>
      </c>
      <c r="D93" s="173" t="n">
        <v>228</v>
      </c>
      <c r="E93" s="138" t="s">
        <v>68</v>
      </c>
      <c r="F93" s="138" t="s">
        <v>68</v>
      </c>
      <c r="G93" s="140" t="s">
        <v>178</v>
      </c>
      <c r="H93" s="173" t="n">
        <v>40129</v>
      </c>
      <c r="I93" s="173" t="n">
        <v>30015</v>
      </c>
      <c r="J93" s="140" t="s">
        <v>762</v>
      </c>
      <c r="K93" s="140"/>
      <c r="L93" s="175" t="n">
        <v>1714.71</v>
      </c>
      <c r="M93" s="175" t="n">
        <v>1325.85</v>
      </c>
      <c r="N93" s="175" t="n">
        <v>351</v>
      </c>
      <c r="O93" s="175"/>
      <c r="P93" s="175" t="n">
        <v>13</v>
      </c>
      <c r="Q93" s="176" t="n">
        <v>1</v>
      </c>
      <c r="R93" s="138" t="n">
        <v>0.75</v>
      </c>
      <c r="S93" s="177" t="n">
        <v>23.8333333333333</v>
      </c>
      <c r="T93" s="215"/>
      <c r="U93" s="178" t="n">
        <v>0.268854241086576</v>
      </c>
      <c r="V93" s="177" t="n">
        <v>94.3678386213883</v>
      </c>
      <c r="W93" s="177" t="n">
        <v>10.1788215675378</v>
      </c>
      <c r="X93" s="179" t="n">
        <v>0.0220795353150096</v>
      </c>
      <c r="Y93" s="177" t="n">
        <v>3.15941294117647</v>
      </c>
      <c r="Z93" s="177" t="n">
        <v>21.7</v>
      </c>
      <c r="AA93" s="177" t="n">
        <v>45.0721153846154</v>
      </c>
      <c r="AB93" s="177" t="n">
        <v>198.311521848051</v>
      </c>
      <c r="AC93" s="215" t="n">
        <v>0</v>
      </c>
      <c r="AD93" s="215" t="s">
        <v>88</v>
      </c>
      <c r="AE93" s="177" t="n">
        <v>0</v>
      </c>
      <c r="AF93" s="177" t="n">
        <v>-198.311521848051</v>
      </c>
      <c r="AG93" s="181"/>
      <c r="AH93" s="180" t="n">
        <v>104.546660188926</v>
      </c>
      <c r="AI93" s="181"/>
      <c r="AJ93" s="181" t="s">
        <v>895</v>
      </c>
      <c r="AK93" s="181" t="s">
        <v>1043</v>
      </c>
      <c r="AL93" s="182" t="n">
        <v>0.564990090735189</v>
      </c>
      <c r="AN93" s="144" t="e">
        <v>#NAME?</v>
      </c>
      <c r="AO93" s="144" t="e">
        <f aca="false">_xlfn.xlookup(AN93,A:A,F:F)</f>
        <v>#NAME?</v>
      </c>
      <c r="AP93" s="144" t="e">
        <f aca="false">_xlfn.xlookup(AN93,A:A,J:J)</f>
        <v>#NAME?</v>
      </c>
      <c r="AQ93" s="144" t="e">
        <f aca="false">_xlfn.xlookup(AN93,A:A,N:N)+_xlfn.xlookup(AN93,A:A,O:O)</f>
        <v>#NAME?</v>
      </c>
      <c r="AR93" s="150" t="e">
        <f aca="false">_xlfn.xlookup(AN93,A:A,AH:AH)</f>
        <v>#NAME?</v>
      </c>
      <c r="AS93" s="150" t="e">
        <f aca="false">_xlfn.xlookup(AN93,A:A,S:S)</f>
        <v>#NAME?</v>
      </c>
      <c r="AT93" s="150" t="e">
        <f aca="false">_xlfn.xlookup(AN93,A:A,AE:AE)</f>
        <v>#NAME?</v>
      </c>
      <c r="AU93" s="150" t="e">
        <f aca="false">_xlfn.xlookup(AN93,A:A,AF:AF)</f>
        <v>#NAME?</v>
      </c>
      <c r="AW93" s="216" t="s">
        <v>912</v>
      </c>
      <c r="AX93" s="217" t="e">
        <f aca="false">#VALUE!</f>
        <v>#VALUE!</v>
      </c>
      <c r="AY93" s="225" t="e">
        <f aca="false">#VALUE!</f>
        <v>#VALUE!</v>
      </c>
      <c r="AZ93" s="225" t="e">
        <f aca="false">#VALUE!</f>
        <v>#VALUE!</v>
      </c>
      <c r="BA93" s="225" t="e">
        <f aca="false">#VALUE!</f>
        <v>#VALUE!</v>
      </c>
      <c r="BB93" s="218" t="e">
        <f aca="false">#VALUE!</f>
        <v>#VALUE!</v>
      </c>
      <c r="BC93" s="246"/>
      <c r="BD93" s="246"/>
      <c r="BE93" s="246"/>
      <c r="BF93" s="246"/>
      <c r="BG93" s="144" t="e">
        <v>#NAME?</v>
      </c>
      <c r="BH93" s="152" t="e">
        <f aca="false">_xlfn.xlookup(BG93,A:A,F:F)</f>
        <v>#NAME?</v>
      </c>
      <c r="BI93" s="144" t="e">
        <f aca="false">_xlfn.xlookup(BG93,A:A,J:J)</f>
        <v>#NAME?</v>
      </c>
      <c r="BJ93" s="153" t="e">
        <f aca="false">_xlfn.xlookup(BG93,A:A,N:N)+_xlfn.xlookup(BG93,A:A,O:O)</f>
        <v>#NAME?</v>
      </c>
      <c r="BK93" s="153" t="e">
        <f aca="false">_xlfn.xlookup(BG93,A41:A1036,AB41:AB1036)</f>
        <v>#NAME?</v>
      </c>
      <c r="BM93" s="205" t="s">
        <v>762</v>
      </c>
      <c r="BN93" s="206" t="e">
        <f aca="false">#VALUE!</f>
        <v>#VALUE!</v>
      </c>
      <c r="BO93" s="208" t="e">
        <f aca="false">#VALUE!</f>
        <v>#VALUE!</v>
      </c>
      <c r="BQ93" s="144" t="str">
        <f aca="false">IF(VALUE(MONTH(C93))&lt;10,YEAR(C93)&amp;"-0"&amp;MONTH(C93),YEAR(C93)&amp;"-"&amp;MONTH(C93))</f>
        <v>2024-10</v>
      </c>
      <c r="BR93" s="144" t="str">
        <f aca="false">J93</f>
        <v>S15-3</v>
      </c>
      <c r="BS93" s="144" t="str">
        <f aca="false">IF(ISNUMBER(FIND("-", BR93)), LEFT(BR93, FIND("-", BR93) - 1), BR93)</f>
        <v>S15</v>
      </c>
      <c r="BT93" s="189" t="n">
        <f aca="false">L93-M93+O93</f>
        <v>388.86</v>
      </c>
    </row>
    <row r="94" customFormat="false" ht="16.4" hidden="false" customHeight="false" outlineLevel="0" collapsed="false">
      <c r="A94" s="140" t="s">
        <v>1044</v>
      </c>
      <c r="B94" s="249" t="s">
        <v>893</v>
      </c>
      <c r="C94" s="174" t="n">
        <v>45581</v>
      </c>
      <c r="D94" s="173" t="n">
        <v>228</v>
      </c>
      <c r="E94" s="138" t="s">
        <v>68</v>
      </c>
      <c r="F94" s="138" t="s">
        <v>68</v>
      </c>
      <c r="G94" s="140" t="s">
        <v>178</v>
      </c>
      <c r="H94" s="173" t="n">
        <v>40130</v>
      </c>
      <c r="I94" s="173" t="n">
        <v>30016</v>
      </c>
      <c r="J94" s="140" t="s">
        <v>764</v>
      </c>
      <c r="K94" s="140"/>
      <c r="L94" s="175" t="n">
        <v>4843.296</v>
      </c>
      <c r="M94" s="175" t="n">
        <v>4298.688</v>
      </c>
      <c r="N94" s="175" t="n">
        <v>468</v>
      </c>
      <c r="O94" s="175"/>
      <c r="P94" s="175" t="n">
        <v>26</v>
      </c>
      <c r="Q94" s="176" t="n">
        <v>1</v>
      </c>
      <c r="R94" s="138" t="n">
        <v>0.75</v>
      </c>
      <c r="S94" s="177" t="n">
        <v>23.8333333333333</v>
      </c>
      <c r="T94" s="215"/>
      <c r="U94" s="178" t="n">
        <v>0.326284886247867</v>
      </c>
      <c r="V94" s="177" t="n">
        <v>152.701326764002</v>
      </c>
      <c r="W94" s="177" t="n">
        <v>24.9960325656766</v>
      </c>
      <c r="X94" s="179" t="n">
        <v>0.015817327704109</v>
      </c>
      <c r="Y94" s="177" t="n">
        <v>6.31882588235294</v>
      </c>
      <c r="Z94" s="177" t="n">
        <v>21.7</v>
      </c>
      <c r="AA94" s="177" t="n">
        <v>45.0721153846154</v>
      </c>
      <c r="AB94" s="177" t="n">
        <v>274.62163392998</v>
      </c>
      <c r="AC94" s="215" t="n">
        <v>0</v>
      </c>
      <c r="AD94" s="215" t="s">
        <v>88</v>
      </c>
      <c r="AE94" s="177" t="n">
        <v>0</v>
      </c>
      <c r="AF94" s="177" t="n">
        <v>-274.62163392998</v>
      </c>
      <c r="AG94" s="181"/>
      <c r="AH94" s="180" t="n">
        <v>177.697359329678</v>
      </c>
      <c r="AI94" s="181"/>
      <c r="AJ94" s="181" t="s">
        <v>895</v>
      </c>
      <c r="AK94" s="181" t="s">
        <v>1044</v>
      </c>
      <c r="AL94" s="182" t="n">
        <v>0.586798363098248</v>
      </c>
      <c r="AN94" s="144" t="e">
        <v>#NAME?</v>
      </c>
      <c r="AO94" s="144" t="e">
        <f aca="false">_xlfn.xlookup(AN94,A:A,F:F)</f>
        <v>#NAME?</v>
      </c>
      <c r="AP94" s="144" t="e">
        <f aca="false">_xlfn.xlookup(AN94,A:A,J:J)</f>
        <v>#NAME?</v>
      </c>
      <c r="AQ94" s="144" t="e">
        <f aca="false">_xlfn.xlookup(AN94,A:A,N:N)+_xlfn.xlookup(AN94,A:A,O:O)</f>
        <v>#NAME?</v>
      </c>
      <c r="AR94" s="150" t="e">
        <f aca="false">_xlfn.xlookup(AN94,A:A,AH:AH)</f>
        <v>#NAME?</v>
      </c>
      <c r="AS94" s="150" t="e">
        <f aca="false">_xlfn.xlookup(AN94,A:A,S:S)</f>
        <v>#NAME?</v>
      </c>
      <c r="AT94" s="150" t="e">
        <f aca="false">_xlfn.xlookup(AN94,A:A,AE:AE)</f>
        <v>#NAME?</v>
      </c>
      <c r="AU94" s="150" t="e">
        <f aca="false">_xlfn.xlookup(AN94,A:A,AF:AF)</f>
        <v>#NAME?</v>
      </c>
      <c r="AW94" s="230" t="s">
        <v>913</v>
      </c>
      <c r="AX94" s="250" t="e">
        <f aca="false">#VALUE!</f>
        <v>#VALUE!</v>
      </c>
      <c r="AY94" s="251" t="e">
        <f aca="false">#VALUE!</f>
        <v>#VALUE!</v>
      </c>
      <c r="AZ94" s="251" t="e">
        <f aca="false">#VALUE!</f>
        <v>#VALUE!</v>
      </c>
      <c r="BA94" s="251" t="e">
        <f aca="false">#VALUE!</f>
        <v>#VALUE!</v>
      </c>
      <c r="BB94" s="252" t="e">
        <f aca="false">#VALUE!</f>
        <v>#VALUE!</v>
      </c>
      <c r="BC94" s="246"/>
      <c r="BD94" s="246"/>
      <c r="BE94" s="246"/>
      <c r="BF94" s="246"/>
      <c r="BG94" s="144" t="e">
        <v>#NAME?</v>
      </c>
      <c r="BH94" s="152" t="e">
        <f aca="false">_xlfn.xlookup(BG94,A:A,F:F)</f>
        <v>#NAME?</v>
      </c>
      <c r="BI94" s="144" t="e">
        <f aca="false">_xlfn.xlookup(BG94,A:A,J:J)</f>
        <v>#NAME?</v>
      </c>
      <c r="BJ94" s="153" t="e">
        <f aca="false">_xlfn.xlookup(BG94,A:A,N:N)+_xlfn.xlookup(BG94,A:A,O:O)</f>
        <v>#NAME?</v>
      </c>
      <c r="BK94" s="153" t="e">
        <f aca="false">_xlfn.xlookup(BG94,A42:A1037,AB42:AB1037)</f>
        <v>#NAME?</v>
      </c>
      <c r="BM94" s="205" t="s">
        <v>906</v>
      </c>
      <c r="BN94" s="206" t="e">
        <f aca="false">#VALUE!</f>
        <v>#VALUE!</v>
      </c>
      <c r="BO94" s="208" t="e">
        <f aca="false">#VALUE!</f>
        <v>#VALUE!</v>
      </c>
      <c r="BQ94" s="144" t="str">
        <f aca="false">IF(VALUE(MONTH(C94))&lt;10,YEAR(C94)&amp;"-0"&amp;MONTH(C94),YEAR(C94)&amp;"-"&amp;MONTH(C94))</f>
        <v>2024-10</v>
      </c>
      <c r="BR94" s="144" t="str">
        <f aca="false">J94</f>
        <v>B15-3</v>
      </c>
      <c r="BS94" s="144" t="str">
        <f aca="false">IF(ISNUMBER(FIND("-", BR94)), LEFT(BR94, FIND("-", BR94) - 1), BR94)</f>
        <v>B15</v>
      </c>
      <c r="BT94" s="189" t="n">
        <f aca="false">L94-M94+O94</f>
        <v>544.608</v>
      </c>
    </row>
    <row r="95" customFormat="false" ht="16.4" hidden="false" customHeight="false" outlineLevel="0" collapsed="false">
      <c r="A95" s="140" t="s">
        <v>1045</v>
      </c>
      <c r="B95" s="249" t="s">
        <v>893</v>
      </c>
      <c r="C95" s="174" t="n">
        <v>45586</v>
      </c>
      <c r="D95" s="173" t="n">
        <v>229</v>
      </c>
      <c r="E95" s="138" t="s">
        <v>183</v>
      </c>
      <c r="F95" s="138" t="s">
        <v>968</v>
      </c>
      <c r="G95" s="140" t="s">
        <v>184</v>
      </c>
      <c r="H95" s="173" t="n">
        <v>40132</v>
      </c>
      <c r="I95" s="173" t="n">
        <v>30023</v>
      </c>
      <c r="J95" s="140" t="s">
        <v>754</v>
      </c>
      <c r="K95" s="140"/>
      <c r="L95" s="175" t="n">
        <v>5235.472176</v>
      </c>
      <c r="M95" s="175" t="n">
        <v>3455.68176</v>
      </c>
      <c r="N95" s="175" t="n">
        <v>1756.8</v>
      </c>
      <c r="O95" s="175"/>
      <c r="P95" s="175" t="n">
        <v>30.5</v>
      </c>
      <c r="Q95" s="176" t="n">
        <v>1</v>
      </c>
      <c r="R95" s="138" t="n">
        <v>0.5</v>
      </c>
      <c r="S95" s="177" t="n">
        <v>131.25</v>
      </c>
      <c r="T95" s="215" t="n">
        <v>1.3895</v>
      </c>
      <c r="U95" s="178" t="n">
        <v>0.2951148717267</v>
      </c>
      <c r="V95" s="177" t="n">
        <v>518.457806649467</v>
      </c>
      <c r="W95" s="177" t="n">
        <v>6.78481366878337</v>
      </c>
      <c r="X95" s="179" t="n">
        <v>0.00439127842286897</v>
      </c>
      <c r="Y95" s="177" t="n">
        <v>7.41246882352941</v>
      </c>
      <c r="Z95" s="177" t="n">
        <v>21.7</v>
      </c>
      <c r="AA95" s="177" t="n">
        <v>30.0480769230769</v>
      </c>
      <c r="AB95" s="177" t="n">
        <v>715.653166064857</v>
      </c>
      <c r="AC95" s="215" t="n">
        <v>0.025</v>
      </c>
      <c r="AD95" s="215" t="s">
        <v>77</v>
      </c>
      <c r="AE95" s="177" t="n">
        <v>0</v>
      </c>
      <c r="AF95" s="177" t="n">
        <v>-715.653166064857</v>
      </c>
      <c r="AG95" s="181"/>
      <c r="AH95" s="180" t="n">
        <v>525.24262031825</v>
      </c>
      <c r="AI95" s="181"/>
      <c r="AJ95" s="181" t="s">
        <v>895</v>
      </c>
      <c r="AK95" s="181" t="s">
        <v>1045</v>
      </c>
      <c r="AL95" s="182" t="n">
        <v>0.407361774854768</v>
      </c>
      <c r="AN95" s="144" t="e">
        <v>#NAME?</v>
      </c>
      <c r="AO95" s="144" t="e">
        <f aca="false">_xlfn.xlookup(AN95,A:A,F:F)</f>
        <v>#NAME?</v>
      </c>
      <c r="AP95" s="144" t="e">
        <f aca="false">_xlfn.xlookup(AN95,A:A,J:J)</f>
        <v>#NAME?</v>
      </c>
      <c r="AQ95" s="144" t="e">
        <f aca="false">_xlfn.xlookup(AN95,A:A,N:N)+_xlfn.xlookup(AN95,A:A,O:O)</f>
        <v>#NAME?</v>
      </c>
      <c r="AR95" s="150" t="e">
        <f aca="false">_xlfn.xlookup(AN95,A:A,AH:AH)</f>
        <v>#NAME?</v>
      </c>
      <c r="AS95" s="150" t="e">
        <f aca="false">_xlfn.xlookup(AN95,A:A,S:S)</f>
        <v>#NAME?</v>
      </c>
      <c r="AT95" s="150" t="e">
        <f aca="false">_xlfn.xlookup(AN95,A:A,AE:AE)</f>
        <v>#NAME?</v>
      </c>
      <c r="AU95" s="150" t="e">
        <f aca="false">_xlfn.xlookup(AN95,A:A,AF:AF)</f>
        <v>#NAME?</v>
      </c>
      <c r="BB95" s="246"/>
      <c r="BC95" s="246"/>
      <c r="BD95" s="246"/>
      <c r="BE95" s="246"/>
      <c r="BF95" s="246"/>
      <c r="BG95" s="144" t="e">
        <v>#NAME?</v>
      </c>
      <c r="BH95" s="152" t="e">
        <f aca="false">_xlfn.xlookup(BG95,A:A,F:F)</f>
        <v>#NAME?</v>
      </c>
      <c r="BI95" s="144" t="e">
        <f aca="false">_xlfn.xlookup(BG95,A:A,J:J)</f>
        <v>#NAME?</v>
      </c>
      <c r="BJ95" s="153" t="e">
        <f aca="false">_xlfn.xlookup(BG95,A:A,N:N)+_xlfn.xlookup(BG95,A:A,O:O)</f>
        <v>#NAME?</v>
      </c>
      <c r="BK95" s="153" t="e">
        <f aca="false">_xlfn.xlookup(BG95,A43:A1038,AB43:AB1038)</f>
        <v>#NAME?</v>
      </c>
      <c r="BM95" s="216" t="s">
        <v>754</v>
      </c>
      <c r="BN95" s="217" t="e">
        <f aca="false">#VALUE!</f>
        <v>#VALUE!</v>
      </c>
      <c r="BO95" s="218" t="e">
        <f aca="false">#VALUE!</f>
        <v>#VALUE!</v>
      </c>
      <c r="BQ95" s="144" t="str">
        <f aca="false">IF(VALUE(MONTH(C95))&lt;10,YEAR(C95)&amp;"-0"&amp;MONTH(C95),YEAR(C95)&amp;"-"&amp;MONTH(C95))</f>
        <v>2024-10</v>
      </c>
      <c r="BR95" s="144" t="str">
        <f aca="false">J95</f>
        <v>T11-1</v>
      </c>
      <c r="BS95" s="144" t="str">
        <f aca="false">IF(ISNUMBER(FIND("-", BR95)), LEFT(BR95, FIND("-", BR95) - 1), BR95)</f>
        <v>T11</v>
      </c>
      <c r="BT95" s="189" t="n">
        <f aca="false">L95-M95+O95</f>
        <v>1779.790416</v>
      </c>
    </row>
    <row r="96" customFormat="false" ht="16.4" hidden="false" customHeight="false" outlineLevel="0" collapsed="false">
      <c r="A96" s="140" t="s">
        <v>1046</v>
      </c>
      <c r="B96" s="249" t="s">
        <v>893</v>
      </c>
      <c r="C96" s="174" t="n">
        <v>45586</v>
      </c>
      <c r="D96" s="173" t="n">
        <v>229</v>
      </c>
      <c r="E96" s="138" t="s">
        <v>183</v>
      </c>
      <c r="F96" s="138" t="s">
        <v>968</v>
      </c>
      <c r="G96" s="140" t="s">
        <v>184</v>
      </c>
      <c r="H96" s="173" t="n">
        <v>40134</v>
      </c>
      <c r="I96" s="173" t="n">
        <v>30025</v>
      </c>
      <c r="J96" s="140" t="s">
        <v>904</v>
      </c>
      <c r="K96" s="140"/>
      <c r="L96" s="175" t="n">
        <v>7589.013168</v>
      </c>
      <c r="M96" s="175" t="n">
        <v>5391.0096</v>
      </c>
      <c r="N96" s="175" t="n">
        <v>2040</v>
      </c>
      <c r="O96" s="175"/>
      <c r="P96" s="175" t="n">
        <v>34</v>
      </c>
      <c r="Q96" s="176" t="n">
        <v>1</v>
      </c>
      <c r="R96" s="138" t="n">
        <v>1.75</v>
      </c>
      <c r="S96" s="177" t="n">
        <v>131.25</v>
      </c>
      <c r="T96" s="215" t="n">
        <v>1.3895</v>
      </c>
      <c r="U96" s="178" t="n">
        <v>0.369342532440358</v>
      </c>
      <c r="V96" s="177" t="n">
        <v>753.458766178331</v>
      </c>
      <c r="W96" s="177" t="n">
        <v>58.357437939732</v>
      </c>
      <c r="X96" s="179" t="n">
        <v>0.0208200413548155</v>
      </c>
      <c r="Y96" s="177" t="n">
        <v>8.26308</v>
      </c>
      <c r="Z96" s="177" t="n">
        <v>21.7</v>
      </c>
      <c r="AA96" s="177" t="n">
        <v>105.168269230769</v>
      </c>
      <c r="AB96" s="177" t="n">
        <v>1078.19755334883</v>
      </c>
      <c r="AC96" s="215" t="n">
        <v>0.025</v>
      </c>
      <c r="AD96" s="215" t="s">
        <v>77</v>
      </c>
      <c r="AE96" s="177" t="n">
        <v>0</v>
      </c>
      <c r="AF96" s="177" t="n">
        <v>-1078.19755334883</v>
      </c>
      <c r="AG96" s="181"/>
      <c r="AH96" s="180" t="n">
        <v>811.816204118063</v>
      </c>
      <c r="AI96" s="181"/>
      <c r="AJ96" s="181" t="s">
        <v>895</v>
      </c>
      <c r="AK96" s="181" t="s">
        <v>1046</v>
      </c>
      <c r="AL96" s="182" t="n">
        <v>0.528528212425898</v>
      </c>
      <c r="AN96" s="144" t="e">
        <v>#NAME?</v>
      </c>
      <c r="AO96" s="144" t="e">
        <f aca="false">_xlfn.xlookup(AN96,A:A,F:F)</f>
        <v>#NAME?</v>
      </c>
      <c r="AP96" s="144" t="e">
        <f aca="false">_xlfn.xlookup(AN96,A:A,J:J)</f>
        <v>#NAME?</v>
      </c>
      <c r="AQ96" s="144" t="e">
        <f aca="false">_xlfn.xlookup(AN96,A:A,N:N)+_xlfn.xlookup(AN96,A:A,O:O)</f>
        <v>#NAME?</v>
      </c>
      <c r="AR96" s="150" t="e">
        <f aca="false">_xlfn.xlookup(AN96,A:A,AH:AH)</f>
        <v>#NAME?</v>
      </c>
      <c r="AS96" s="150" t="e">
        <f aca="false">_xlfn.xlookup(AN96,A:A,S:S)</f>
        <v>#NAME?</v>
      </c>
      <c r="AT96" s="150" t="e">
        <f aca="false">_xlfn.xlookup(AN96,A:A,AE:AE)</f>
        <v>#NAME?</v>
      </c>
      <c r="AU96" s="150" t="e">
        <f aca="false">_xlfn.xlookup(AN96,A:A,AF:AF)</f>
        <v>#NAME?</v>
      </c>
      <c r="BB96" s="246"/>
      <c r="BC96" s="246"/>
      <c r="BD96" s="246"/>
      <c r="BE96" s="246"/>
      <c r="BF96" s="246"/>
      <c r="BG96" s="144" t="e">
        <v>#NAME?</v>
      </c>
      <c r="BH96" s="152" t="e">
        <f aca="false">_xlfn.xlookup(BG96,A:A,F:F)</f>
        <v>#NAME?</v>
      </c>
      <c r="BI96" s="144" t="e">
        <f aca="false">_xlfn.xlookup(BG96,A:A,J:J)</f>
        <v>#NAME?</v>
      </c>
      <c r="BJ96" s="153" t="e">
        <f aca="false">_xlfn.xlookup(BG96,A:A,N:N)+_xlfn.xlookup(BG96,A:A,O:O)</f>
        <v>#NAME?</v>
      </c>
      <c r="BK96" s="153" t="e">
        <f aca="false">_xlfn.xlookup(BG96,A44:A1039,AB44:AB1039)</f>
        <v>#NAME?</v>
      </c>
      <c r="BM96" s="194" t="s">
        <v>109</v>
      </c>
      <c r="BN96" s="195" t="e">
        <f aca="false">#VALUE!</f>
        <v>#VALUE!</v>
      </c>
      <c r="BO96" s="197" t="e">
        <f aca="false">#VALUE!</f>
        <v>#VALUE!</v>
      </c>
      <c r="BQ96" s="144" t="str">
        <f aca="false">IF(VALUE(MONTH(C96))&lt;10,YEAR(C96)&amp;"-0"&amp;MONTH(C96),YEAR(C96)&amp;"-"&amp;MONTH(C96))</f>
        <v>2024-10</v>
      </c>
      <c r="BR96" s="144" t="str">
        <f aca="false">J96</f>
        <v>D11-1</v>
      </c>
      <c r="BS96" s="144" t="str">
        <f aca="false">IF(ISNUMBER(FIND("-", BR96)), LEFT(BR96, FIND("-", BR96) - 1), BR96)</f>
        <v>D11</v>
      </c>
      <c r="BT96" s="189" t="n">
        <f aca="false">L96-M96+O96</f>
        <v>2198.003568</v>
      </c>
    </row>
    <row r="97" customFormat="false" ht="16.4" hidden="false" customHeight="false" outlineLevel="0" collapsed="false">
      <c r="A97" s="140" t="s">
        <v>1047</v>
      </c>
      <c r="B97" s="249" t="s">
        <v>893</v>
      </c>
      <c r="C97" s="174" t="n">
        <v>45580</v>
      </c>
      <c r="D97" s="173" t="n">
        <v>230</v>
      </c>
      <c r="E97" s="138" t="s">
        <v>962</v>
      </c>
      <c r="F97" s="138" t="s">
        <v>500</v>
      </c>
      <c r="G97" s="140" t="n">
        <v>50008700</v>
      </c>
      <c r="H97" s="173" t="n">
        <v>40103</v>
      </c>
      <c r="I97" s="173" t="n">
        <v>30019</v>
      </c>
      <c r="J97" s="140" t="s">
        <v>907</v>
      </c>
      <c r="K97" s="140"/>
      <c r="L97" s="175" t="n">
        <v>43328.718576</v>
      </c>
      <c r="M97" s="175" t="n">
        <v>0</v>
      </c>
      <c r="N97" s="175" t="n">
        <v>42768</v>
      </c>
      <c r="O97" s="175"/>
      <c r="P97" s="175" t="n">
        <v>720</v>
      </c>
      <c r="Q97" s="176" t="n">
        <v>6</v>
      </c>
      <c r="R97" s="138" t="n">
        <v>11.5</v>
      </c>
      <c r="S97" s="177" t="n">
        <v>-96.11</v>
      </c>
      <c r="T97" s="215" t="n">
        <v>1.3802</v>
      </c>
      <c r="U97" s="178" t="n">
        <v>0.378144584023772</v>
      </c>
      <c r="V97" s="177" t="n">
        <v>16172.4875695287</v>
      </c>
      <c r="W97" s="177" t="n">
        <v>212.032692675922</v>
      </c>
      <c r="X97" s="179" t="n">
        <v>0.0129410375941878</v>
      </c>
      <c r="Y97" s="177" t="n">
        <v>174.982870588235</v>
      </c>
      <c r="Z97" s="177" t="n">
        <v>130.2</v>
      </c>
      <c r="AA97" s="177" t="n">
        <v>691.105769230769</v>
      </c>
      <c r="AB97" s="177" t="n">
        <v>17284.6989020236</v>
      </c>
      <c r="AC97" s="215" t="n">
        <v>0.31</v>
      </c>
      <c r="AD97" s="215" t="s">
        <v>77</v>
      </c>
      <c r="AE97" s="177" t="n">
        <v>18298.802016</v>
      </c>
      <c r="AF97" s="177" t="n">
        <v>1014.10311397638</v>
      </c>
      <c r="AG97" s="181" t="n">
        <v>0.0554190986431613</v>
      </c>
      <c r="AH97" s="180" t="n">
        <v>16384.5202622046</v>
      </c>
      <c r="AI97" s="181" t="n">
        <v>0.895387591377753</v>
      </c>
      <c r="AJ97" s="181"/>
      <c r="AK97" s="181" t="s">
        <v>1047</v>
      </c>
      <c r="AL97" s="182" t="n">
        <v>0.40415027361634</v>
      </c>
      <c r="AN97" s="144" t="e">
        <v>#NAME?</v>
      </c>
      <c r="AO97" s="144" t="e">
        <f aca="false">_xlfn.xlookup(AN97,A:A,F:F)</f>
        <v>#NAME?</v>
      </c>
      <c r="AP97" s="144" t="e">
        <f aca="false">_xlfn.xlookup(AN97,A:A,J:J)</f>
        <v>#NAME?</v>
      </c>
      <c r="AQ97" s="144" t="e">
        <f aca="false">_xlfn.xlookup(AN97,A:A,N:N)+_xlfn.xlookup(AN97,A:A,O:O)</f>
        <v>#NAME?</v>
      </c>
      <c r="AR97" s="150" t="e">
        <f aca="false">_xlfn.xlookup(AN97,A:A,AH:AH)</f>
        <v>#NAME?</v>
      </c>
      <c r="AS97" s="150" t="e">
        <f aca="false">_xlfn.xlookup(AN97,A:A,S:S)</f>
        <v>#NAME?</v>
      </c>
      <c r="AT97" s="150" t="e">
        <f aca="false">_xlfn.xlookup(AN97,A:A,AE:AE)</f>
        <v>#NAME?</v>
      </c>
      <c r="AU97" s="150" t="e">
        <f aca="false">_xlfn.xlookup(AN97,A:A,AF:AF)</f>
        <v>#NAME?</v>
      </c>
      <c r="BB97" s="246"/>
      <c r="BC97" s="246"/>
      <c r="BD97" s="246"/>
      <c r="BE97" s="246"/>
      <c r="BF97" s="246"/>
      <c r="BG97" s="144" t="e">
        <v>#NAME?</v>
      </c>
      <c r="BH97" s="152" t="e">
        <f aca="false">_xlfn.xlookup(BG97,A:A,F:F)</f>
        <v>#NAME?</v>
      </c>
      <c r="BI97" s="144" t="e">
        <f aca="false">_xlfn.xlookup(BG97,A:A,J:J)</f>
        <v>#NAME?</v>
      </c>
      <c r="BJ97" s="153" t="e">
        <f aca="false">_xlfn.xlookup(BG97,A:A,N:N)+_xlfn.xlookup(BG97,A:A,O:O)</f>
        <v>#NAME?</v>
      </c>
      <c r="BK97" s="153" t="e">
        <f aca="false">_xlfn.xlookup(BG97,A45:A1040,AB45:AB1040)</f>
        <v>#NAME?</v>
      </c>
      <c r="BM97" s="205" t="s">
        <v>908</v>
      </c>
      <c r="BN97" s="206" t="e">
        <f aca="false">#VALUE!</f>
        <v>#VALUE!</v>
      </c>
      <c r="BO97" s="208" t="e">
        <f aca="false">#VALUE!</f>
        <v>#VALUE!</v>
      </c>
      <c r="BQ97" s="144" t="str">
        <f aca="false">IF(VALUE(MONTH(C97))&lt;10,YEAR(C97)&amp;"-0"&amp;MONTH(C97),YEAR(C97)&amp;"-"&amp;MONTH(C97))</f>
        <v>2024-10</v>
      </c>
      <c r="BR97" s="144" t="str">
        <f aca="false">J97</f>
        <v>D16-1</v>
      </c>
      <c r="BS97" s="144" t="str">
        <f aca="false">IF(ISNUMBER(FIND("-", BR97)), LEFT(BR97, FIND("-", BR97) - 1), BR97)</f>
        <v>D16</v>
      </c>
      <c r="BT97" s="189" t="n">
        <f aca="false">L97-M97+O97</f>
        <v>43328.718576</v>
      </c>
    </row>
    <row r="98" customFormat="false" ht="16.4" hidden="false" customHeight="false" outlineLevel="0" collapsed="false">
      <c r="A98" s="140" t="s">
        <v>1048</v>
      </c>
      <c r="B98" s="249" t="s">
        <v>893</v>
      </c>
      <c r="C98" s="174" t="n">
        <v>45582</v>
      </c>
      <c r="D98" s="173" t="n">
        <v>232</v>
      </c>
      <c r="E98" s="138" t="s">
        <v>96</v>
      </c>
      <c r="F98" s="138" t="s">
        <v>582</v>
      </c>
      <c r="G98" s="140" t="n">
        <v>1931</v>
      </c>
      <c r="H98" s="173" t="n">
        <v>40137</v>
      </c>
      <c r="I98" s="173" t="n">
        <v>30023</v>
      </c>
      <c r="J98" s="140" t="s">
        <v>754</v>
      </c>
      <c r="K98" s="140"/>
      <c r="L98" s="175" t="n">
        <v>28459.341504</v>
      </c>
      <c r="M98" s="175" t="n">
        <v>4657.95</v>
      </c>
      <c r="N98" s="175" t="n">
        <v>22906.17</v>
      </c>
      <c r="O98" s="175"/>
      <c r="P98" s="175" t="n">
        <v>231.75</v>
      </c>
      <c r="Q98" s="176" t="n">
        <v>6</v>
      </c>
      <c r="R98" s="138" t="n">
        <v>15</v>
      </c>
      <c r="S98" s="177" t="n">
        <v>64</v>
      </c>
      <c r="T98" s="215"/>
      <c r="U98" s="178" t="n">
        <v>0.2951148717267</v>
      </c>
      <c r="V98" s="177" t="n">
        <v>6759.95142129999</v>
      </c>
      <c r="W98" s="177" t="n">
        <v>264.193179319944</v>
      </c>
      <c r="X98" s="179" t="n">
        <v>0.0314561566322319</v>
      </c>
      <c r="Y98" s="177" t="n">
        <v>56.3226114705882</v>
      </c>
      <c r="Z98" s="177" t="n">
        <v>130.2</v>
      </c>
      <c r="AA98" s="177" t="n">
        <v>901.442307692308</v>
      </c>
      <c r="AB98" s="177" t="n">
        <v>8176.10951978283</v>
      </c>
      <c r="AC98" s="215" t="n">
        <v>0.438</v>
      </c>
      <c r="AD98" s="215" t="s">
        <v>88</v>
      </c>
      <c r="AE98" s="177" t="n">
        <v>10032.90246</v>
      </c>
      <c r="AF98" s="177" t="n">
        <v>1856.79294021717</v>
      </c>
      <c r="AG98" s="181" t="n">
        <v>0.18507036698702</v>
      </c>
      <c r="AH98" s="180" t="n">
        <v>7024.14460061993</v>
      </c>
      <c r="AI98" s="181" t="n">
        <v>0.70011092289837</v>
      </c>
      <c r="AJ98" s="181"/>
      <c r="AK98" s="181" t="s">
        <v>1048</v>
      </c>
      <c r="AL98" s="182" t="n">
        <v>0.356939179259685</v>
      </c>
      <c r="AN98" s="144" t="e">
        <v>#NAME?</v>
      </c>
      <c r="AO98" s="144" t="e">
        <f aca="false">_xlfn.xlookup(AN98,A:A,F:F)</f>
        <v>#NAME?</v>
      </c>
      <c r="AP98" s="144" t="e">
        <f aca="false">_xlfn.xlookup(AN98,A:A,J:J)</f>
        <v>#NAME?</v>
      </c>
      <c r="AQ98" s="144" t="e">
        <f aca="false">_xlfn.xlookup(AN98,A:A,N:N)+_xlfn.xlookup(AN98,A:A,O:O)</f>
        <v>#NAME?</v>
      </c>
      <c r="AR98" s="150" t="e">
        <f aca="false">_xlfn.xlookup(AN98,A:A,AH:AH)</f>
        <v>#NAME?</v>
      </c>
      <c r="AS98" s="150" t="e">
        <f aca="false">_xlfn.xlookup(AN98,A:A,S:S)</f>
        <v>#NAME?</v>
      </c>
      <c r="AT98" s="150" t="e">
        <f aca="false">_xlfn.xlookup(AN98,A:A,AE:AE)</f>
        <v>#NAME?</v>
      </c>
      <c r="AU98" s="150" t="e">
        <f aca="false">_xlfn.xlookup(AN98,A:A,AF:AF)</f>
        <v>#NAME?</v>
      </c>
      <c r="BB98" s="246"/>
      <c r="BC98" s="246"/>
      <c r="BD98" s="246"/>
      <c r="BE98" s="246"/>
      <c r="BF98" s="246"/>
      <c r="BG98" s="144" t="e">
        <v>#NAME?</v>
      </c>
      <c r="BH98" s="152" t="e">
        <f aca="false">_xlfn.xlookup(BG98,A:A,F:F)</f>
        <v>#NAME?</v>
      </c>
      <c r="BI98" s="144" t="e">
        <f aca="false">_xlfn.xlookup(BG98,A:A,J:J)</f>
        <v>#NAME?</v>
      </c>
      <c r="BJ98" s="153" t="e">
        <f aca="false">_xlfn.xlookup(BG98,A:A,N:N)+_xlfn.xlookup(BG98,A:A,O:O)</f>
        <v>#NAME?</v>
      </c>
      <c r="BK98" s="153" t="e">
        <f aca="false">_xlfn.xlookup(BG98,A46:A1041,AB46:AB1041)</f>
        <v>#NAME?</v>
      </c>
      <c r="BM98" s="216" t="s">
        <v>754</v>
      </c>
      <c r="BN98" s="217" t="e">
        <f aca="false">#VALUE!</f>
        <v>#VALUE!</v>
      </c>
      <c r="BO98" s="218" t="e">
        <f aca="false">#VALUE!</f>
        <v>#VALUE!</v>
      </c>
      <c r="BQ98" s="144" t="str">
        <f aca="false">IF(VALUE(MONTH(C98))&lt;10,YEAR(C98)&amp;"-0"&amp;MONTH(C98),YEAR(C98)&amp;"-"&amp;MONTH(C98))</f>
        <v>2024-10</v>
      </c>
      <c r="BR98" s="144" t="str">
        <f aca="false">J98</f>
        <v>T11-1</v>
      </c>
      <c r="BS98" s="144" t="str">
        <f aca="false">IF(ISNUMBER(FIND("-", BR98)), LEFT(BR98, FIND("-", BR98) - 1), BR98)</f>
        <v>T11</v>
      </c>
      <c r="BT98" s="189" t="n">
        <f aca="false">L98-M98+O98</f>
        <v>23801.391504</v>
      </c>
    </row>
    <row r="99" customFormat="false" ht="16.4" hidden="false" customHeight="false" outlineLevel="0" collapsed="false">
      <c r="A99" s="140" t="s">
        <v>1049</v>
      </c>
      <c r="B99" s="249" t="s">
        <v>893</v>
      </c>
      <c r="C99" s="174" t="n">
        <v>45586</v>
      </c>
      <c r="D99" s="173" t="n">
        <v>229</v>
      </c>
      <c r="E99" s="138" t="s">
        <v>183</v>
      </c>
      <c r="F99" s="138" t="s">
        <v>968</v>
      </c>
      <c r="G99" s="140" t="s">
        <v>184</v>
      </c>
      <c r="H99" s="173" t="n">
        <v>40139</v>
      </c>
      <c r="I99" s="173" t="n">
        <v>30025</v>
      </c>
      <c r="J99" s="140" t="s">
        <v>904</v>
      </c>
      <c r="K99" s="140"/>
      <c r="L99" s="175" t="n">
        <v>5008.5096</v>
      </c>
      <c r="M99" s="175" t="n">
        <v>3019.2</v>
      </c>
      <c r="N99" s="175" t="n">
        <v>1865.7</v>
      </c>
      <c r="O99" s="175"/>
      <c r="P99" s="175" t="n">
        <v>30.5</v>
      </c>
      <c r="Q99" s="176" t="n">
        <v>1</v>
      </c>
      <c r="R99" s="138" t="n">
        <v>2.25</v>
      </c>
      <c r="S99" s="177" t="n">
        <v>131.25</v>
      </c>
      <c r="T99" s="215" t="n">
        <v>1.3895</v>
      </c>
      <c r="U99" s="178" t="n">
        <v>0.369342532440358</v>
      </c>
      <c r="V99" s="177" t="n">
        <v>689.082362773976</v>
      </c>
      <c r="W99" s="177" t="n">
        <v>45.65428269794</v>
      </c>
      <c r="X99" s="179" t="n">
        <v>0.0246799167560746</v>
      </c>
      <c r="Y99" s="177" t="n">
        <v>7.41246882352941</v>
      </c>
      <c r="Z99" s="177" t="n">
        <v>21.7</v>
      </c>
      <c r="AA99" s="177" t="n">
        <v>135.216346153846</v>
      </c>
      <c r="AB99" s="177" t="n">
        <v>1030.31546044929</v>
      </c>
      <c r="AC99" s="215" t="n">
        <v>0.025</v>
      </c>
      <c r="AD99" s="215" t="s">
        <v>77</v>
      </c>
      <c r="AE99" s="177" t="n">
        <v>0</v>
      </c>
      <c r="AF99" s="177" t="n">
        <v>-1030.31546044929</v>
      </c>
      <c r="AG99" s="181"/>
      <c r="AH99" s="180" t="n">
        <v>734.736645471916</v>
      </c>
      <c r="AI99" s="181"/>
      <c r="AJ99" s="181" t="s">
        <v>895</v>
      </c>
      <c r="AK99" s="181" t="s">
        <v>1049</v>
      </c>
      <c r="AL99" s="182" t="n">
        <v>0.552240692742291</v>
      </c>
      <c r="AN99" s="144" t="e">
        <v>#NAME?</v>
      </c>
      <c r="AO99" s="144" t="e">
        <f aca="false">_xlfn.xlookup(AN99,A:A,F:F)</f>
        <v>#NAME?</v>
      </c>
      <c r="AP99" s="144" t="e">
        <f aca="false">_xlfn.xlookup(AN99,A:A,J:J)</f>
        <v>#NAME?</v>
      </c>
      <c r="AQ99" s="144" t="e">
        <f aca="false">_xlfn.xlookup(AN99,A:A,N:N)+_xlfn.xlookup(AN99,A:A,O:O)</f>
        <v>#NAME?</v>
      </c>
      <c r="AR99" s="150" t="e">
        <f aca="false">_xlfn.xlookup(AN99,A:A,AH:AH)</f>
        <v>#NAME?</v>
      </c>
      <c r="AS99" s="150" t="e">
        <f aca="false">_xlfn.xlookup(AN99,A:A,S:S)</f>
        <v>#NAME?</v>
      </c>
      <c r="AT99" s="150" t="e">
        <f aca="false">_xlfn.xlookup(AN99,A:A,AE:AE)</f>
        <v>#NAME?</v>
      </c>
      <c r="AU99" s="150" t="e">
        <f aca="false">_xlfn.xlookup(AN99,A:A,AF:AF)</f>
        <v>#NAME?</v>
      </c>
      <c r="BB99" s="246"/>
      <c r="BC99" s="246"/>
      <c r="BD99" s="246"/>
      <c r="BE99" s="246"/>
      <c r="BF99" s="246"/>
      <c r="BG99" s="144" t="e">
        <v>#NAME?</v>
      </c>
      <c r="BH99" s="152" t="e">
        <f aca="false">_xlfn.xlookup(BG99,A:A,F:F)</f>
        <v>#NAME?</v>
      </c>
      <c r="BI99" s="144" t="e">
        <f aca="false">_xlfn.xlookup(BG99,A:A,J:J)</f>
        <v>#NAME?</v>
      </c>
      <c r="BJ99" s="153" t="e">
        <f aca="false">_xlfn.xlookup(BG99,A:A,N:N)+_xlfn.xlookup(BG99,A:A,O:O)</f>
        <v>#NAME?</v>
      </c>
      <c r="BK99" s="153" t="e">
        <f aca="false">_xlfn.xlookup(BG99,A47:A1042,AB47:AB1042)</f>
        <v>#NAME?</v>
      </c>
      <c r="BM99" s="194" t="s">
        <v>912</v>
      </c>
      <c r="BN99" s="195" t="e">
        <f aca="false">#VALUE!</f>
        <v>#VALUE!</v>
      </c>
      <c r="BO99" s="197" t="e">
        <f aca="false">#VALUE!</f>
        <v>#VALUE!</v>
      </c>
      <c r="BQ99" s="144" t="str">
        <f aca="false">IF(VALUE(MONTH(C99))&lt;10,YEAR(C99)&amp;"-0"&amp;MONTH(C99),YEAR(C99)&amp;"-"&amp;MONTH(C99))</f>
        <v>2024-10</v>
      </c>
      <c r="BR99" s="144" t="str">
        <f aca="false">J99</f>
        <v>D11-1</v>
      </c>
      <c r="BS99" s="144" t="str">
        <f aca="false">IF(ISNUMBER(FIND("-", BR99)), LEFT(BR99, FIND("-", BR99) - 1), BR99)</f>
        <v>D11</v>
      </c>
      <c r="BT99" s="189" t="n">
        <f aca="false">L99-M99+O99</f>
        <v>1989.3096</v>
      </c>
    </row>
    <row r="100" customFormat="false" ht="16.4" hidden="false" customHeight="false" outlineLevel="0" collapsed="false">
      <c r="A100" s="140" t="s">
        <v>1050</v>
      </c>
      <c r="B100" s="249" t="s">
        <v>893</v>
      </c>
      <c r="C100" s="174" t="n">
        <v>45586</v>
      </c>
      <c r="D100" s="173" t="n">
        <v>233</v>
      </c>
      <c r="E100" s="138" t="s">
        <v>183</v>
      </c>
      <c r="F100" s="138" t="s">
        <v>968</v>
      </c>
      <c r="G100" s="140" t="s">
        <v>191</v>
      </c>
      <c r="H100" s="173" t="n">
        <v>40140</v>
      </c>
      <c r="I100" s="173" t="n">
        <v>30011</v>
      </c>
      <c r="J100" s="140" t="s">
        <v>760</v>
      </c>
      <c r="K100" s="140"/>
      <c r="L100" s="175" t="n">
        <v>2820</v>
      </c>
      <c r="M100" s="175" t="n">
        <v>2004.75</v>
      </c>
      <c r="N100" s="175" t="n">
        <v>772.2</v>
      </c>
      <c r="O100" s="175"/>
      <c r="P100" s="175" t="n">
        <v>13</v>
      </c>
      <c r="Q100" s="176" t="n">
        <v>1</v>
      </c>
      <c r="R100" s="138" t="n">
        <v>1</v>
      </c>
      <c r="S100" s="177" t="n">
        <v>131.25</v>
      </c>
      <c r="T100" s="215" t="n">
        <v>1.3895</v>
      </c>
      <c r="U100" s="178" t="n">
        <v>0.28357864079936</v>
      </c>
      <c r="V100" s="177" t="n">
        <v>218.979426425266</v>
      </c>
      <c r="W100" s="177" t="n">
        <v>12.2080604864125</v>
      </c>
      <c r="X100" s="179" t="n">
        <v>0.0152659574468086</v>
      </c>
      <c r="Y100" s="177" t="n">
        <v>3.15941294117647</v>
      </c>
      <c r="Z100" s="177" t="n">
        <v>21.7</v>
      </c>
      <c r="AA100" s="177" t="n">
        <v>60.0961538461539</v>
      </c>
      <c r="AB100" s="177" t="n">
        <v>447.393053699009</v>
      </c>
      <c r="AC100" s="215" t="n">
        <v>0.025</v>
      </c>
      <c r="AD100" s="215" t="s">
        <v>77</v>
      </c>
      <c r="AE100" s="177" t="n">
        <v>0</v>
      </c>
      <c r="AF100" s="177" t="n">
        <v>-447.393053699009</v>
      </c>
      <c r="AG100" s="181"/>
      <c r="AH100" s="180" t="n">
        <v>231.187486911678</v>
      </c>
      <c r="AI100" s="181"/>
      <c r="AJ100" s="181" t="s">
        <v>895</v>
      </c>
      <c r="AK100" s="181" t="s">
        <v>1050</v>
      </c>
      <c r="AL100" s="182" t="n">
        <v>0.5793745839148</v>
      </c>
      <c r="AN100" s="144" t="e">
        <v>#NAME?</v>
      </c>
      <c r="AO100" s="144" t="e">
        <f aca="false">_xlfn.xlookup(AN100,A:A,F:F)</f>
        <v>#NAME?</v>
      </c>
      <c r="AP100" s="144" t="e">
        <f aca="false">_xlfn.xlookup(AN100,A:A,J:J)</f>
        <v>#NAME?</v>
      </c>
      <c r="AQ100" s="144" t="e">
        <f aca="false">_xlfn.xlookup(AN100,A:A,N:N)+_xlfn.xlookup(AN100,A:A,O:O)</f>
        <v>#NAME?</v>
      </c>
      <c r="AR100" s="150" t="e">
        <f aca="false">_xlfn.xlookup(AN100,A:A,AH:AH)</f>
        <v>#NAME?</v>
      </c>
      <c r="AS100" s="150" t="e">
        <f aca="false">_xlfn.xlookup(AN100,A:A,S:S)</f>
        <v>#NAME?</v>
      </c>
      <c r="AT100" s="150" t="e">
        <f aca="false">_xlfn.xlookup(AN100,A:A,AE:AE)</f>
        <v>#NAME?</v>
      </c>
      <c r="AU100" s="150" t="e">
        <f aca="false">_xlfn.xlookup(AN100,A:A,AF:AF)</f>
        <v>#NAME?</v>
      </c>
      <c r="BB100" s="246"/>
      <c r="BC100" s="246"/>
      <c r="BD100" s="246"/>
      <c r="BE100" s="246"/>
      <c r="BF100" s="246"/>
      <c r="BG100" s="144" t="e">
        <v>#NAME?</v>
      </c>
      <c r="BH100" s="152" t="e">
        <f aca="false">_xlfn.xlookup(BG100,A:A,F:F)</f>
        <v>#NAME?</v>
      </c>
      <c r="BI100" s="144" t="e">
        <f aca="false">_xlfn.xlookup(BG100,A:A,J:J)</f>
        <v>#NAME?</v>
      </c>
      <c r="BJ100" s="153" t="e">
        <f aca="false">_xlfn.xlookup(BG100,A:A,N:N)+_xlfn.xlookup(BG100,A:A,O:O)</f>
        <v>#NAME?</v>
      </c>
      <c r="BK100" s="153" t="e">
        <f aca="false">_xlfn.xlookup(BG100,A48:A1043,AB48:AB1043)</f>
        <v>#NAME?</v>
      </c>
      <c r="BM100" s="216" t="s">
        <v>912</v>
      </c>
      <c r="BN100" s="217" t="e">
        <f aca="false">#VALUE!</f>
        <v>#VALUE!</v>
      </c>
      <c r="BO100" s="218" t="e">
        <f aca="false">#VALUE!</f>
        <v>#VALUE!</v>
      </c>
      <c r="BQ100" s="144" t="str">
        <f aca="false">IF(VALUE(MONTH(C100))&lt;10,YEAR(C100)&amp;"-0"&amp;MONTH(C100),YEAR(C100)&amp;"-"&amp;MONTH(C100))</f>
        <v>2024-10</v>
      </c>
      <c r="BR100" s="144" t="str">
        <f aca="false">J100</f>
        <v>S21-1</v>
      </c>
      <c r="BS100" s="144" t="str">
        <f aca="false">IF(ISNUMBER(FIND("-", BR100)), LEFT(BR100, FIND("-", BR100) - 1), BR100)</f>
        <v>S21</v>
      </c>
      <c r="BT100" s="189" t="n">
        <f aca="false">L100-M100+O100</f>
        <v>815.25</v>
      </c>
    </row>
    <row r="101" customFormat="false" ht="16.4" hidden="false" customHeight="false" outlineLevel="0" collapsed="false">
      <c r="A101" s="140" t="s">
        <v>1051</v>
      </c>
      <c r="B101" s="249" t="s">
        <v>893</v>
      </c>
      <c r="C101" s="174" t="n">
        <v>45586</v>
      </c>
      <c r="D101" s="173" t="n">
        <v>234</v>
      </c>
      <c r="E101" s="138" t="s">
        <v>194</v>
      </c>
      <c r="F101" s="138" t="s">
        <v>194</v>
      </c>
      <c r="G101" s="140" t="s">
        <v>112</v>
      </c>
      <c r="H101" s="173" t="n">
        <v>40141</v>
      </c>
      <c r="I101" s="173" t="n">
        <v>30025</v>
      </c>
      <c r="J101" s="140" t="s">
        <v>904</v>
      </c>
      <c r="K101" s="140"/>
      <c r="L101" s="175" t="n">
        <v>1560</v>
      </c>
      <c r="M101" s="175" t="n">
        <v>1177.5</v>
      </c>
      <c r="N101" s="175" t="n">
        <v>382.5</v>
      </c>
      <c r="O101" s="175"/>
      <c r="P101" s="175" t="n">
        <v>12.75</v>
      </c>
      <c r="Q101" s="176" t="n">
        <v>1</v>
      </c>
      <c r="R101" s="138" t="n">
        <v>1.25</v>
      </c>
      <c r="S101" s="177" t="n">
        <v>34.31</v>
      </c>
      <c r="T101" s="215"/>
      <c r="U101" s="178" t="n">
        <v>0.369342532440358</v>
      </c>
      <c r="V101" s="177" t="n">
        <v>141.273518658437</v>
      </c>
      <c r="W101" s="177" t="n">
        <v>0</v>
      </c>
      <c r="X101" s="179" t="n">
        <v>0</v>
      </c>
      <c r="Y101" s="177" t="n">
        <v>3.098655</v>
      </c>
      <c r="Z101" s="177" t="n">
        <v>21.7</v>
      </c>
      <c r="AA101" s="177" t="n">
        <v>75.1201923076923</v>
      </c>
      <c r="AB101" s="177" t="n">
        <v>275.502365966129</v>
      </c>
      <c r="AC101" s="215" t="n">
        <v>0</v>
      </c>
      <c r="AD101" s="215" t="s">
        <v>88</v>
      </c>
      <c r="AE101" s="177" t="n">
        <v>0</v>
      </c>
      <c r="AF101" s="177" t="n">
        <v>-275.502365966129</v>
      </c>
      <c r="AG101" s="181"/>
      <c r="AH101" s="180" t="n">
        <v>141.273518658437</v>
      </c>
      <c r="AI101" s="181"/>
      <c r="AJ101" s="181" t="s">
        <v>895</v>
      </c>
      <c r="AK101" s="181" t="s">
        <v>1051</v>
      </c>
      <c r="AL101" s="182" t="n">
        <v>0.720267623440861</v>
      </c>
      <c r="AN101" s="144" t="e">
        <v>#NAME?</v>
      </c>
      <c r="AO101" s="144" t="e">
        <f aca="false">_xlfn.xlookup(AN101,A:A,F:F)</f>
        <v>#NAME?</v>
      </c>
      <c r="AP101" s="144" t="e">
        <f aca="false">_xlfn.xlookup(AN101,A:A,J:J)</f>
        <v>#NAME?</v>
      </c>
      <c r="AQ101" s="144" t="e">
        <f aca="false">_xlfn.xlookup(AN101,A:A,N:N)+_xlfn.xlookup(AN101,A:A,O:O)</f>
        <v>#NAME?</v>
      </c>
      <c r="AR101" s="150" t="e">
        <f aca="false">_xlfn.xlookup(AN101,A:A,AH:AH)</f>
        <v>#NAME?</v>
      </c>
      <c r="AS101" s="150" t="e">
        <f aca="false">_xlfn.xlookup(AN101,A:A,S:S)</f>
        <v>#NAME?</v>
      </c>
      <c r="AT101" s="150" t="e">
        <f aca="false">_xlfn.xlookup(AN101,A:A,AE:AE)</f>
        <v>#NAME?</v>
      </c>
      <c r="AU101" s="150" t="e">
        <f aca="false">_xlfn.xlookup(AN101,A:A,AF:AF)</f>
        <v>#NAME?</v>
      </c>
      <c r="BB101" s="246"/>
      <c r="BC101" s="246"/>
      <c r="BD101" s="246"/>
      <c r="BE101" s="246"/>
      <c r="BF101" s="246"/>
      <c r="BG101" s="144" t="e">
        <v>#NAME?</v>
      </c>
      <c r="BH101" s="152" t="e">
        <f aca="false">_xlfn.xlookup(BG101,A:A,F:F)</f>
        <v>#NAME?</v>
      </c>
      <c r="BI101" s="144" t="e">
        <f aca="false">_xlfn.xlookup(BG101,A:A,J:J)</f>
        <v>#NAME?</v>
      </c>
      <c r="BJ101" s="153" t="e">
        <f aca="false">_xlfn.xlookup(BG101,A:A,N:N)+_xlfn.xlookup(BG101,A:A,O:O)</f>
        <v>#NAME?</v>
      </c>
      <c r="BK101" s="153" t="e">
        <f aca="false">_xlfn.xlookup(BG101,A49:A1044,AB49:AB1044)</f>
        <v>#NAME?</v>
      </c>
      <c r="BM101" s="230" t="s">
        <v>913</v>
      </c>
      <c r="BN101" s="250" t="e">
        <f aca="false">#VALUE!</f>
        <v>#VALUE!</v>
      </c>
      <c r="BO101" s="252" t="e">
        <f aca="false">#VALUE!</f>
        <v>#VALUE!</v>
      </c>
      <c r="BQ101" s="144" t="str">
        <f aca="false">IF(VALUE(MONTH(C101))&lt;10,YEAR(C101)&amp;"-0"&amp;MONTH(C101),YEAR(C101)&amp;"-"&amp;MONTH(C101))</f>
        <v>2024-10</v>
      </c>
      <c r="BR101" s="144" t="str">
        <f aca="false">J101</f>
        <v>D11-1</v>
      </c>
      <c r="BS101" s="144" t="str">
        <f aca="false">IF(ISNUMBER(FIND("-", BR101)), LEFT(BR101, FIND("-", BR101) - 1), BR101)</f>
        <v>D11</v>
      </c>
      <c r="BT101" s="189" t="n">
        <f aca="false">L101-M101+O101</f>
        <v>382.5</v>
      </c>
    </row>
    <row r="102" customFormat="false" ht="16.4" hidden="false" customHeight="false" outlineLevel="0" collapsed="false">
      <c r="A102" s="140" t="s">
        <v>1052</v>
      </c>
      <c r="B102" s="249" t="s">
        <v>893</v>
      </c>
      <c r="C102" s="174" t="n">
        <v>45586</v>
      </c>
      <c r="D102" s="173" t="n">
        <v>234</v>
      </c>
      <c r="E102" s="138" t="s">
        <v>194</v>
      </c>
      <c r="F102" s="138" t="s">
        <v>194</v>
      </c>
      <c r="G102" s="140" t="s">
        <v>199</v>
      </c>
      <c r="H102" s="173" t="n">
        <v>40142</v>
      </c>
      <c r="I102" s="173" t="n">
        <v>30023</v>
      </c>
      <c r="J102" s="140" t="s">
        <v>754</v>
      </c>
      <c r="K102" s="140"/>
      <c r="L102" s="175" t="n">
        <v>1047.72596210526</v>
      </c>
      <c r="M102" s="175" t="n">
        <v>662.763789473684</v>
      </c>
      <c r="N102" s="175" t="n">
        <v>367.2</v>
      </c>
      <c r="O102" s="175"/>
      <c r="P102" s="175" t="n">
        <v>12.75</v>
      </c>
      <c r="Q102" s="176" t="n">
        <v>0</v>
      </c>
      <c r="R102" s="138" t="n">
        <v>0.745614035087719</v>
      </c>
      <c r="S102" s="177" t="n">
        <v>34.31</v>
      </c>
      <c r="T102" s="215"/>
      <c r="U102" s="178" t="n">
        <v>0.2951148717267</v>
      </c>
      <c r="V102" s="177" t="n">
        <v>108.366180898044</v>
      </c>
      <c r="W102" s="177" t="n">
        <v>5.24188129775587</v>
      </c>
      <c r="X102" s="179" t="n">
        <v>0.0169530710071249</v>
      </c>
      <c r="Y102" s="177" t="n">
        <v>3.098655</v>
      </c>
      <c r="Z102" s="177" t="n">
        <v>0</v>
      </c>
      <c r="AA102" s="177" t="n">
        <v>44.8085357624831</v>
      </c>
      <c r="AB102" s="177" t="n">
        <v>195.825252958283</v>
      </c>
      <c r="AC102" s="215" t="n">
        <v>0</v>
      </c>
      <c r="AD102" s="215" t="s">
        <v>88</v>
      </c>
      <c r="AE102" s="177" t="n">
        <v>0</v>
      </c>
      <c r="AF102" s="177" t="n">
        <v>-195.825252958283</v>
      </c>
      <c r="AG102" s="181"/>
      <c r="AH102" s="180" t="n">
        <v>113.6080621958</v>
      </c>
      <c r="AI102" s="181"/>
      <c r="AJ102" s="181" t="s">
        <v>895</v>
      </c>
      <c r="AK102" s="181" t="s">
        <v>1052</v>
      </c>
      <c r="AL102" s="182" t="n">
        <v>0.533293172544344</v>
      </c>
      <c r="AN102" s="144" t="e">
        <v>#NAME?</v>
      </c>
      <c r="AO102" s="144" t="e">
        <f aca="false">_xlfn.xlookup(AN102,A:A,F:F)</f>
        <v>#NAME?</v>
      </c>
      <c r="AP102" s="144" t="e">
        <f aca="false">_xlfn.xlookup(AN102,A:A,J:J)</f>
        <v>#NAME?</v>
      </c>
      <c r="AQ102" s="144" t="e">
        <f aca="false">_xlfn.xlookup(AN102,A:A,N:N)+_xlfn.xlookup(AN102,A:A,O:O)</f>
        <v>#NAME?</v>
      </c>
      <c r="AR102" s="150" t="e">
        <f aca="false">_xlfn.xlookup(AN102,A:A,AH:AH)</f>
        <v>#NAME?</v>
      </c>
      <c r="AS102" s="150" t="e">
        <f aca="false">_xlfn.xlookup(AN102,A:A,S:S)</f>
        <v>#NAME?</v>
      </c>
      <c r="AT102" s="150" t="e">
        <f aca="false">_xlfn.xlookup(AN102,A:A,AE:AE)</f>
        <v>#NAME?</v>
      </c>
      <c r="AU102" s="150" t="e">
        <f aca="false">_xlfn.xlookup(AN102,A:A,AF:AF)</f>
        <v>#NAME?</v>
      </c>
      <c r="BB102" s="246"/>
      <c r="BC102" s="246"/>
      <c r="BD102" s="246"/>
      <c r="BE102" s="246"/>
      <c r="BF102" s="246"/>
      <c r="BG102" s="144" t="e">
        <v>#NAME?</v>
      </c>
      <c r="BH102" s="152" t="e">
        <f aca="false">_xlfn.xlookup(BG102,A:A,F:F)</f>
        <v>#NAME?</v>
      </c>
      <c r="BI102" s="144" t="e">
        <f aca="false">_xlfn.xlookup(BG102,A:A,J:J)</f>
        <v>#NAME?</v>
      </c>
      <c r="BJ102" s="153" t="e">
        <f aca="false">_xlfn.xlookup(BG102,A:A,N:N)+_xlfn.xlookup(BG102,A:A,O:O)</f>
        <v>#NAME?</v>
      </c>
      <c r="BK102" s="153" t="e">
        <f aca="false">_xlfn.xlookup(BG102,A50:A1045,AB50:AB1045)</f>
        <v>#NAME?</v>
      </c>
      <c r="BQ102" s="144" t="str">
        <f aca="false">IF(VALUE(MONTH(C102))&lt;10,YEAR(C102)&amp;"-0"&amp;MONTH(C102),YEAR(C102)&amp;"-"&amp;MONTH(C102))</f>
        <v>2024-10</v>
      </c>
      <c r="BR102" s="144" t="str">
        <f aca="false">J102</f>
        <v>T11-1</v>
      </c>
      <c r="BS102" s="144" t="str">
        <f aca="false">IF(ISNUMBER(FIND("-", BR102)), LEFT(BR102, FIND("-", BR102) - 1), BR102)</f>
        <v>T11</v>
      </c>
      <c r="BT102" s="189" t="n">
        <f aca="false">L102-M102+O102</f>
        <v>384.962172631579</v>
      </c>
    </row>
    <row r="103" customFormat="false" ht="16.4" hidden="false" customHeight="false" outlineLevel="0" collapsed="false">
      <c r="A103" s="140" t="s">
        <v>1053</v>
      </c>
      <c r="B103" s="249" t="s">
        <v>893</v>
      </c>
      <c r="C103" s="174" t="n">
        <v>45586</v>
      </c>
      <c r="D103" s="173" t="n">
        <v>234</v>
      </c>
      <c r="E103" s="138" t="s">
        <v>141</v>
      </c>
      <c r="F103" s="138" t="s">
        <v>141</v>
      </c>
      <c r="G103" s="140" t="s">
        <v>199</v>
      </c>
      <c r="H103" s="173" t="n">
        <v>40142</v>
      </c>
      <c r="I103" s="173" t="n">
        <v>30023</v>
      </c>
      <c r="J103" s="140" t="s">
        <v>754</v>
      </c>
      <c r="K103" s="140"/>
      <c r="L103" s="175" t="n">
        <v>708.755797894737</v>
      </c>
      <c r="M103" s="175" t="n">
        <v>448.340210526316</v>
      </c>
      <c r="N103" s="175" t="n">
        <v>248.4</v>
      </c>
      <c r="O103" s="175"/>
      <c r="P103" s="175" t="n">
        <v>8.625</v>
      </c>
      <c r="Q103" s="176" t="n">
        <v>0</v>
      </c>
      <c r="R103" s="138" t="n">
        <v>0.504385964912281</v>
      </c>
      <c r="S103" s="177" t="n">
        <v>0</v>
      </c>
      <c r="T103" s="215"/>
      <c r="U103" s="178" t="n">
        <v>0.2951148717267</v>
      </c>
      <c r="V103" s="177" t="n">
        <v>73.3065341369123</v>
      </c>
      <c r="W103" s="177" t="n">
        <v>3.54597852495252</v>
      </c>
      <c r="X103" s="179" t="n">
        <v>0.016953071007125</v>
      </c>
      <c r="Y103" s="177" t="n">
        <v>2.09614897058824</v>
      </c>
      <c r="Z103" s="177" t="n">
        <v>0</v>
      </c>
      <c r="AA103" s="177" t="n">
        <v>30.3116565452092</v>
      </c>
      <c r="AB103" s="177" t="n">
        <v>109.260318177662</v>
      </c>
      <c r="AC103" s="215" t="n">
        <v>0</v>
      </c>
      <c r="AD103" s="215" t="s">
        <v>88</v>
      </c>
      <c r="AE103" s="177" t="n">
        <v>0</v>
      </c>
      <c r="AF103" s="177" t="n">
        <v>-109.260318177662</v>
      </c>
      <c r="AG103" s="181"/>
      <c r="AH103" s="180" t="n">
        <v>76.8525126618648</v>
      </c>
      <c r="AI103" s="181"/>
      <c r="AJ103" s="181" t="s">
        <v>895</v>
      </c>
      <c r="AK103" s="181" t="s">
        <v>1053</v>
      </c>
      <c r="AL103" s="182" t="n">
        <v>0.439856353372231</v>
      </c>
      <c r="AN103" s="144" t="e">
        <v>#NAME?</v>
      </c>
      <c r="AO103" s="144" t="e">
        <f aca="false">_xlfn.xlookup(AN103,A:A,F:F)</f>
        <v>#NAME?</v>
      </c>
      <c r="AP103" s="144" t="e">
        <f aca="false">_xlfn.xlookup(AN103,A:A,J:J)</f>
        <v>#NAME?</v>
      </c>
      <c r="AQ103" s="144" t="e">
        <f aca="false">_xlfn.xlookup(AN103,A:A,N:N)+_xlfn.xlookup(AN103,A:A,O:O)</f>
        <v>#NAME?</v>
      </c>
      <c r="AR103" s="150" t="e">
        <f aca="false">_xlfn.xlookup(AN103,A:A,AH:AH)</f>
        <v>#NAME?</v>
      </c>
      <c r="AS103" s="150" t="e">
        <f aca="false">_xlfn.xlookup(AN103,A:A,S:S)</f>
        <v>#NAME?</v>
      </c>
      <c r="AT103" s="150" t="e">
        <f aca="false">_xlfn.xlookup(AN103,A:A,AE:AE)</f>
        <v>#NAME?</v>
      </c>
      <c r="AU103" s="150" t="e">
        <f aca="false">_xlfn.xlookup(AN103,A:A,AF:AF)</f>
        <v>#NAME?</v>
      </c>
      <c r="BB103" s="246"/>
      <c r="BC103" s="246"/>
      <c r="BD103" s="246"/>
      <c r="BE103" s="246"/>
      <c r="BF103" s="246"/>
      <c r="BG103" s="144" t="e">
        <v>#NAME?</v>
      </c>
      <c r="BH103" s="152" t="e">
        <f aca="false">_xlfn.xlookup(BG103,A:A,F:F)</f>
        <v>#NAME?</v>
      </c>
      <c r="BI103" s="144" t="e">
        <f aca="false">_xlfn.xlookup(BG103,A:A,J:J)</f>
        <v>#NAME?</v>
      </c>
      <c r="BJ103" s="153" t="e">
        <f aca="false">_xlfn.xlookup(BG103,A:A,N:N)+_xlfn.xlookup(BG103,A:A,O:O)</f>
        <v>#NAME?</v>
      </c>
      <c r="BK103" s="153" t="e">
        <f aca="false">_xlfn.xlookup(BG103,A51:A1046,AB51:AB1046)</f>
        <v>#NAME?</v>
      </c>
      <c r="BQ103" s="144" t="str">
        <f aca="false">IF(VALUE(MONTH(C103))&lt;10,YEAR(C103)&amp;"-0"&amp;MONTH(C103),YEAR(C103)&amp;"-"&amp;MONTH(C103))</f>
        <v>2024-10</v>
      </c>
      <c r="BR103" s="144" t="str">
        <f aca="false">J103</f>
        <v>T11-1</v>
      </c>
      <c r="BS103" s="144" t="str">
        <f aca="false">IF(ISNUMBER(FIND("-", BR103)), LEFT(BR103, FIND("-", BR103) - 1), BR103)</f>
        <v>T11</v>
      </c>
      <c r="BT103" s="189" t="n">
        <f aca="false">L103-M103+O103</f>
        <v>260.415587368421</v>
      </c>
    </row>
    <row r="104" customFormat="false" ht="16.4" hidden="false" customHeight="false" outlineLevel="0" collapsed="false">
      <c r="A104" s="140" t="s">
        <v>1054</v>
      </c>
      <c r="B104" s="249" t="s">
        <v>893</v>
      </c>
      <c r="C104" s="174" t="n">
        <v>45587</v>
      </c>
      <c r="D104" s="173" t="n">
        <v>236</v>
      </c>
      <c r="E104" s="138" t="s">
        <v>159</v>
      </c>
      <c r="F104" s="138" t="s">
        <v>726</v>
      </c>
      <c r="G104" s="140" t="s">
        <v>201</v>
      </c>
      <c r="H104" s="173" t="n">
        <v>40144</v>
      </c>
      <c r="I104" s="173" t="n">
        <v>30025</v>
      </c>
      <c r="J104" s="140" t="s">
        <v>904</v>
      </c>
      <c r="K104" s="140"/>
      <c r="L104" s="175" t="n">
        <v>7589.013168</v>
      </c>
      <c r="M104" s="175" t="n">
        <v>0</v>
      </c>
      <c r="N104" s="175" t="n">
        <v>7380</v>
      </c>
      <c r="O104" s="175"/>
      <c r="P104" s="175" t="n">
        <v>120</v>
      </c>
      <c r="Q104" s="176" t="n">
        <v>1</v>
      </c>
      <c r="R104" s="138" t="n">
        <v>5.5</v>
      </c>
      <c r="S104" s="177" t="n">
        <v>122.55</v>
      </c>
      <c r="T104" s="215"/>
      <c r="U104" s="178" t="n">
        <v>0.369342532440358</v>
      </c>
      <c r="V104" s="177" t="n">
        <v>2725.74788940984</v>
      </c>
      <c r="W104" s="177" t="n">
        <v>77.1974527825019</v>
      </c>
      <c r="X104" s="179" t="n">
        <v>0.0275415476786006</v>
      </c>
      <c r="Y104" s="177" t="n">
        <v>29.1638117647059</v>
      </c>
      <c r="Z104" s="177" t="n">
        <v>21.7</v>
      </c>
      <c r="AA104" s="177" t="n">
        <v>330.528846153846</v>
      </c>
      <c r="AB104" s="177" t="n">
        <v>3306.8880001109</v>
      </c>
      <c r="AC104" s="215" t="n">
        <v>0.431</v>
      </c>
      <c r="AD104" s="215" t="s">
        <v>88</v>
      </c>
      <c r="AE104" s="177" t="n">
        <v>3180.78</v>
      </c>
      <c r="AF104" s="177" t="n">
        <v>-126.108000110898</v>
      </c>
      <c r="AG104" s="181" t="n">
        <v>-0.0396468791022637</v>
      </c>
      <c r="AH104" s="180" t="n">
        <v>2802.94534219235</v>
      </c>
      <c r="AI104" s="181" t="n">
        <v>0.881213206255178</v>
      </c>
      <c r="AJ104" s="181"/>
      <c r="AK104" s="181" t="s">
        <v>1054</v>
      </c>
      <c r="AL104" s="182" t="n">
        <v>0.448087804893076</v>
      </c>
      <c r="AN104" s="144" t="e">
        <v>#NAME?</v>
      </c>
      <c r="AO104" s="144" t="e">
        <f aca="false">_xlfn.xlookup(AN104,A:A,F:F)</f>
        <v>#NAME?</v>
      </c>
      <c r="AP104" s="144" t="e">
        <f aca="false">_xlfn.xlookup(AN104,A:A,J:J)</f>
        <v>#NAME?</v>
      </c>
      <c r="AQ104" s="144" t="e">
        <f aca="false">_xlfn.xlookup(AN104,A:A,N:N)+_xlfn.xlookup(AN104,A:A,O:O)</f>
        <v>#NAME?</v>
      </c>
      <c r="AR104" s="150" t="e">
        <f aca="false">_xlfn.xlookup(AN104,A:A,AH:AH)</f>
        <v>#NAME?</v>
      </c>
      <c r="AS104" s="150" t="e">
        <f aca="false">_xlfn.xlookup(AN104,A:A,S:S)</f>
        <v>#NAME?</v>
      </c>
      <c r="AT104" s="150" t="e">
        <f aca="false">_xlfn.xlookup(AN104,A:A,AE:AE)</f>
        <v>#NAME?</v>
      </c>
      <c r="AU104" s="150" t="e">
        <f aca="false">_xlfn.xlookup(AN104,A:A,AF:AF)</f>
        <v>#NAME?</v>
      </c>
      <c r="BB104" s="246"/>
      <c r="BC104" s="246"/>
      <c r="BD104" s="246"/>
      <c r="BE104" s="246"/>
      <c r="BF104" s="246"/>
      <c r="BG104" s="144" t="e">
        <v>#NAME?</v>
      </c>
      <c r="BH104" s="152" t="e">
        <f aca="false">_xlfn.xlookup(BG104,A:A,F:F)</f>
        <v>#NAME?</v>
      </c>
      <c r="BI104" s="144" t="e">
        <f aca="false">_xlfn.xlookup(BG104,A:A,J:J)</f>
        <v>#NAME?</v>
      </c>
      <c r="BJ104" s="153" t="e">
        <f aca="false">_xlfn.xlookup(BG104,A:A,N:N)+_xlfn.xlookup(BG104,A:A,O:O)</f>
        <v>#NAME?</v>
      </c>
      <c r="BK104" s="153" t="e">
        <f aca="false">_xlfn.xlookup(BG104,A52:A1047,AB52:AB1047)</f>
        <v>#NAME?</v>
      </c>
      <c r="BQ104" s="144" t="str">
        <f aca="false">IF(VALUE(MONTH(C104))&lt;10,YEAR(C104)&amp;"-0"&amp;MONTH(C104),YEAR(C104)&amp;"-"&amp;MONTH(C104))</f>
        <v>2024-10</v>
      </c>
      <c r="BR104" s="144" t="str">
        <f aca="false">J104</f>
        <v>D11-1</v>
      </c>
      <c r="BS104" s="144" t="str">
        <f aca="false">IF(ISNUMBER(FIND("-", BR104)), LEFT(BR104, FIND("-", BR104) - 1), BR104)</f>
        <v>D11</v>
      </c>
      <c r="BT104" s="189" t="n">
        <f aca="false">L104-M104+O104</f>
        <v>7589.013168</v>
      </c>
    </row>
    <row r="105" customFormat="false" ht="16.4" hidden="false" customHeight="false" outlineLevel="0" collapsed="false">
      <c r="A105" s="140" t="s">
        <v>1055</v>
      </c>
      <c r="B105" s="249" t="s">
        <v>893</v>
      </c>
      <c r="C105" s="174" t="n">
        <v>45587</v>
      </c>
      <c r="D105" s="173" t="n">
        <v>238</v>
      </c>
      <c r="E105" s="138" t="s">
        <v>962</v>
      </c>
      <c r="F105" s="138" t="s">
        <v>500</v>
      </c>
      <c r="G105" s="140" t="n">
        <v>50008739</v>
      </c>
      <c r="H105" s="173" t="n">
        <v>40103</v>
      </c>
      <c r="I105" s="173" t="n">
        <v>30019</v>
      </c>
      <c r="J105" s="140" t="s">
        <v>907</v>
      </c>
      <c r="K105" s="140"/>
      <c r="L105" s="175" t="n">
        <v>42569.744976</v>
      </c>
      <c r="M105" s="175" t="n">
        <v>0</v>
      </c>
      <c r="N105" s="175" t="n">
        <v>41817.6</v>
      </c>
      <c r="O105" s="175"/>
      <c r="P105" s="175" t="n">
        <v>720</v>
      </c>
      <c r="Q105" s="176" t="n">
        <v>6</v>
      </c>
      <c r="R105" s="138" t="n">
        <v>10.25</v>
      </c>
      <c r="S105" s="177" t="n">
        <v>-89.55</v>
      </c>
      <c r="T105" s="215" t="n">
        <v>1.3895</v>
      </c>
      <c r="U105" s="178" t="n">
        <v>0.378144584023772</v>
      </c>
      <c r="V105" s="177" t="n">
        <v>15813.0989568725</v>
      </c>
      <c r="W105" s="177" t="n">
        <v>284.419549075094</v>
      </c>
      <c r="X105" s="179" t="n">
        <v>0.0176685337538211</v>
      </c>
      <c r="Y105" s="177" t="n">
        <v>174.982870588235</v>
      </c>
      <c r="Z105" s="177" t="n">
        <v>130.2</v>
      </c>
      <c r="AA105" s="177" t="n">
        <v>615.985576923077</v>
      </c>
      <c r="AB105" s="177" t="n">
        <v>16929.1369534589</v>
      </c>
      <c r="AC105" s="215" t="n">
        <v>0.31</v>
      </c>
      <c r="AD105" s="215" t="s">
        <v>77</v>
      </c>
      <c r="AE105" s="177" t="n">
        <v>18012.722112</v>
      </c>
      <c r="AF105" s="177" t="n">
        <v>1083.58515854109</v>
      </c>
      <c r="AG105" s="181" t="n">
        <v>0.0601566577113413</v>
      </c>
      <c r="AH105" s="180" t="n">
        <v>16097.5185059476</v>
      </c>
      <c r="AI105" s="181" t="n">
        <v>0.893674948508948</v>
      </c>
      <c r="AJ105" s="181"/>
      <c r="AK105" s="181" t="s">
        <v>1055</v>
      </c>
      <c r="AL105" s="182" t="n">
        <v>0.404832820474128</v>
      </c>
      <c r="AN105" s="144" t="e">
        <v>#NAME?</v>
      </c>
      <c r="AO105" s="144" t="e">
        <f aca="false">_xlfn.xlookup(AN105,A:A,F:F)</f>
        <v>#NAME?</v>
      </c>
      <c r="AP105" s="144" t="e">
        <f aca="false">_xlfn.xlookup(AN105,A:A,J:J)</f>
        <v>#NAME?</v>
      </c>
      <c r="AQ105" s="144" t="e">
        <f aca="false">_xlfn.xlookup(AN105,A:A,N:N)+_xlfn.xlookup(AN105,A:A,O:O)</f>
        <v>#NAME?</v>
      </c>
      <c r="AR105" s="150" t="e">
        <f aca="false">_xlfn.xlookup(AN105,A:A,AH:AH)</f>
        <v>#NAME?</v>
      </c>
      <c r="AS105" s="150" t="e">
        <f aca="false">_xlfn.xlookup(AN105,A:A,S:S)</f>
        <v>#NAME?</v>
      </c>
      <c r="AT105" s="150" t="e">
        <f aca="false">_xlfn.xlookup(AN105,A:A,AE:AE)</f>
        <v>#NAME?</v>
      </c>
      <c r="AU105" s="150" t="e">
        <f aca="false">_xlfn.xlookup(AN105,A:A,AF:AF)</f>
        <v>#NAME?</v>
      </c>
      <c r="BB105" s="246"/>
      <c r="BC105" s="246"/>
      <c r="BD105" s="246"/>
      <c r="BE105" s="246"/>
      <c r="BF105" s="246"/>
      <c r="BG105" s="144" t="e">
        <v>#NAME?</v>
      </c>
      <c r="BH105" s="152" t="e">
        <f aca="false">_xlfn.xlookup(BG105,A:A,F:F)</f>
        <v>#NAME?</v>
      </c>
      <c r="BI105" s="144" t="e">
        <f aca="false">_xlfn.xlookup(BG105,A:A,J:J)</f>
        <v>#NAME?</v>
      </c>
      <c r="BJ105" s="153" t="e">
        <f aca="false">_xlfn.xlookup(BG105,A:A,N:N)+_xlfn.xlookup(BG105,A:A,O:O)</f>
        <v>#NAME?</v>
      </c>
      <c r="BK105" s="153" t="e">
        <f aca="false">_xlfn.xlookup(BG105,A53:A1048,AB53:AB1048)</f>
        <v>#NAME?</v>
      </c>
      <c r="BQ105" s="144" t="str">
        <f aca="false">IF(VALUE(MONTH(C105))&lt;10,YEAR(C105)&amp;"-0"&amp;MONTH(C105),YEAR(C105)&amp;"-"&amp;MONTH(C105))</f>
        <v>2024-10</v>
      </c>
      <c r="BR105" s="144" t="str">
        <f aca="false">J105</f>
        <v>D16-1</v>
      </c>
      <c r="BS105" s="144" t="str">
        <f aca="false">IF(ISNUMBER(FIND("-", BR105)), LEFT(BR105, FIND("-", BR105) - 1), BR105)</f>
        <v>D16</v>
      </c>
      <c r="BT105" s="189" t="n">
        <f aca="false">L105-M105+O105</f>
        <v>42569.744976</v>
      </c>
    </row>
    <row r="106" customFormat="false" ht="16.4" hidden="false" customHeight="false" outlineLevel="0" collapsed="false">
      <c r="A106" s="140" t="s">
        <v>1056</v>
      </c>
      <c r="B106" s="249" t="s">
        <v>893</v>
      </c>
      <c r="C106" s="174" t="n">
        <v>45590</v>
      </c>
      <c r="D106" s="173" t="n">
        <v>239</v>
      </c>
      <c r="E106" s="138" t="s">
        <v>141</v>
      </c>
      <c r="F106" s="138" t="s">
        <v>141</v>
      </c>
      <c r="G106" s="140" t="s">
        <v>208</v>
      </c>
      <c r="H106" s="173" t="n">
        <v>40149</v>
      </c>
      <c r="I106" s="173" t="n">
        <v>30013</v>
      </c>
      <c r="J106" s="140" t="s">
        <v>904</v>
      </c>
      <c r="K106" s="140"/>
      <c r="L106" s="175"/>
      <c r="M106" s="175"/>
      <c r="N106" s="175"/>
      <c r="O106" s="175" t="n">
        <v>225.6</v>
      </c>
      <c r="P106" s="175" t="n">
        <v>9.4</v>
      </c>
      <c r="Q106" s="176" t="n">
        <v>0</v>
      </c>
      <c r="R106" s="138" t="n">
        <v>0</v>
      </c>
      <c r="S106" s="177" t="n">
        <v>0</v>
      </c>
      <c r="T106" s="215"/>
      <c r="U106" s="178" t="n">
        <v>0.358173933722525</v>
      </c>
      <c r="V106" s="177" t="n">
        <v>80.8040394478016</v>
      </c>
      <c r="W106" s="177" t="n">
        <v>0</v>
      </c>
      <c r="X106" s="179" t="n">
        <v>0</v>
      </c>
      <c r="Y106" s="177" t="n">
        <v>2.28449858823529</v>
      </c>
      <c r="Z106" s="177" t="n">
        <v>0</v>
      </c>
      <c r="AA106" s="177" t="n">
        <v>0</v>
      </c>
      <c r="AB106" s="177" t="n">
        <v>83.0885380360369</v>
      </c>
      <c r="AC106" s="215" t="n">
        <v>0</v>
      </c>
      <c r="AD106" s="215" t="s">
        <v>88</v>
      </c>
      <c r="AE106" s="177" t="n">
        <v>0</v>
      </c>
      <c r="AF106" s="177" t="n">
        <v>-83.0885380360369</v>
      </c>
      <c r="AG106" s="181"/>
      <c r="AH106" s="180" t="n">
        <v>80.8040394478016</v>
      </c>
      <c r="AI106" s="181"/>
      <c r="AJ106" s="181" t="s">
        <v>895</v>
      </c>
      <c r="AK106" s="181" t="s">
        <v>1056</v>
      </c>
      <c r="AL106" s="182" t="n">
        <v>0.368300257251937</v>
      </c>
      <c r="AN106" s="144" t="e">
        <v>#NAME?</v>
      </c>
      <c r="AO106" s="144" t="e">
        <f aca="false">_xlfn.xlookup(AN106,A:A,F:F)</f>
        <v>#NAME?</v>
      </c>
      <c r="AP106" s="144" t="e">
        <f aca="false">_xlfn.xlookup(AN106,A:A,J:J)</f>
        <v>#NAME?</v>
      </c>
      <c r="AQ106" s="144" t="e">
        <f aca="false">_xlfn.xlookup(AN106,A:A,N:N)+_xlfn.xlookup(AN106,A:A,O:O)</f>
        <v>#NAME?</v>
      </c>
      <c r="AR106" s="150" t="e">
        <f aca="false">_xlfn.xlookup(AN106,A:A,AH:AH)</f>
        <v>#NAME?</v>
      </c>
      <c r="AS106" s="150" t="e">
        <f aca="false">_xlfn.xlookup(AN106,A:A,S:S)</f>
        <v>#NAME?</v>
      </c>
      <c r="AT106" s="150" t="e">
        <f aca="false">_xlfn.xlookup(AN106,A:A,AE:AE)</f>
        <v>#NAME?</v>
      </c>
      <c r="AU106" s="150" t="e">
        <f aca="false">_xlfn.xlookup(AN106,A:A,AF:AF)</f>
        <v>#NAME?</v>
      </c>
      <c r="BB106" s="246"/>
      <c r="BC106" s="246"/>
      <c r="BD106" s="246"/>
      <c r="BE106" s="246"/>
      <c r="BF106" s="246"/>
      <c r="BG106" s="144" t="e">
        <v>#NAME?</v>
      </c>
      <c r="BH106" s="152" t="e">
        <f aca="false">_xlfn.xlookup(BG106,A:A,F:F)</f>
        <v>#NAME?</v>
      </c>
      <c r="BI106" s="144" t="e">
        <f aca="false">_xlfn.xlookup(BG106,A:A,J:J)</f>
        <v>#NAME?</v>
      </c>
      <c r="BJ106" s="153" t="e">
        <f aca="false">_xlfn.xlookup(BG106,A:A,N:N)+_xlfn.xlookup(BG106,A:A,O:O)</f>
        <v>#NAME?</v>
      </c>
      <c r="BK106" s="153" t="e">
        <f aca="false">_xlfn.xlookup(BG106,A54:A1049,AB54:AB1049)</f>
        <v>#NAME?</v>
      </c>
      <c r="BQ106" s="144" t="str">
        <f aca="false">IF(VALUE(MONTH(C106))&lt;10,YEAR(C106)&amp;"-0"&amp;MONTH(C106),YEAR(C106)&amp;"-"&amp;MONTH(C106))</f>
        <v>2024-10</v>
      </c>
      <c r="BR106" s="144" t="str">
        <f aca="false">J106</f>
        <v>D11-1</v>
      </c>
      <c r="BS106" s="144" t="str">
        <f aca="false">IF(ISNUMBER(FIND("-", BR106)), LEFT(BR106, FIND("-", BR106) - 1), BR106)</f>
        <v>D11</v>
      </c>
      <c r="BT106" s="189" t="n">
        <f aca="false">L106-M106+O106</f>
        <v>225.6</v>
      </c>
    </row>
    <row r="107" customFormat="false" ht="16.4" hidden="false" customHeight="false" outlineLevel="0" collapsed="false">
      <c r="A107" s="140" t="s">
        <v>1057</v>
      </c>
      <c r="B107" s="249" t="s">
        <v>893</v>
      </c>
      <c r="C107" s="174" t="n">
        <v>45593</v>
      </c>
      <c r="D107" s="173" t="n">
        <v>240</v>
      </c>
      <c r="E107" s="138" t="s">
        <v>94</v>
      </c>
      <c r="F107" s="138" t="s">
        <v>522</v>
      </c>
      <c r="G107" s="140" t="n">
        <v>104997</v>
      </c>
      <c r="H107" s="173" t="n">
        <v>40117</v>
      </c>
      <c r="I107" s="173" t="n">
        <v>30015</v>
      </c>
      <c r="J107" s="140" t="s">
        <v>762</v>
      </c>
      <c r="K107" s="140"/>
      <c r="L107" s="175" t="n">
        <v>3036.096</v>
      </c>
      <c r="M107" s="175" t="n">
        <v>0</v>
      </c>
      <c r="N107" s="175" t="n">
        <v>2988</v>
      </c>
      <c r="O107" s="175"/>
      <c r="P107" s="175" t="n">
        <v>60</v>
      </c>
      <c r="Q107" s="176" t="n">
        <v>1</v>
      </c>
      <c r="R107" s="138" t="n">
        <v>1.5</v>
      </c>
      <c r="S107" s="177" t="n">
        <v>-10.65</v>
      </c>
      <c r="T107" s="215" t="n">
        <v>1.3911</v>
      </c>
      <c r="U107" s="178" t="n">
        <v>0.268854241086576</v>
      </c>
      <c r="V107" s="177" t="n">
        <v>803.33647236669</v>
      </c>
      <c r="W107" s="177" t="n">
        <v>12.9308135793</v>
      </c>
      <c r="X107" s="179" t="n">
        <v>0.015841396319484</v>
      </c>
      <c r="Y107" s="177" t="n">
        <v>14.5819058823529</v>
      </c>
      <c r="Z107" s="177" t="n">
        <v>21.7</v>
      </c>
      <c r="AA107" s="177" t="n">
        <v>90.1442307692308</v>
      </c>
      <c r="AB107" s="177" t="n">
        <v>932.043422597574</v>
      </c>
      <c r="AC107" s="215" t="n">
        <v>0.28</v>
      </c>
      <c r="AD107" s="215" t="s">
        <v>77</v>
      </c>
      <c r="AE107" s="177" t="n">
        <v>1163.849904</v>
      </c>
      <c r="AF107" s="177" t="n">
        <v>231.806481402426</v>
      </c>
      <c r="AG107" s="181"/>
      <c r="AH107" s="180" t="n">
        <v>816.26728594599</v>
      </c>
      <c r="AI107" s="181"/>
      <c r="AJ107" s="181"/>
      <c r="AK107" s="181" t="s">
        <v>1057</v>
      </c>
      <c r="AL107" s="182" t="n">
        <v>0.311928856291022</v>
      </c>
      <c r="AN107" s="144" t="e">
        <v>#NAME?</v>
      </c>
      <c r="AO107" s="144" t="e">
        <f aca="false">_xlfn.xlookup(AN107,A:A,F:F)</f>
        <v>#NAME?</v>
      </c>
      <c r="AP107" s="144" t="e">
        <f aca="false">_xlfn.xlookup(AN107,A:A,J:J)</f>
        <v>#NAME?</v>
      </c>
      <c r="AQ107" s="144" t="e">
        <f aca="false">_xlfn.xlookup(AN107,A:A,N:N)+_xlfn.xlookup(AN107,A:A,O:O)</f>
        <v>#NAME?</v>
      </c>
      <c r="AR107" s="150" t="e">
        <f aca="false">_xlfn.xlookup(AN107,A:A,AH:AH)</f>
        <v>#NAME?</v>
      </c>
      <c r="AS107" s="150" t="e">
        <f aca="false">_xlfn.xlookup(AN107,A:A,S:S)</f>
        <v>#NAME?</v>
      </c>
      <c r="AT107" s="150" t="e">
        <f aca="false">_xlfn.xlookup(AN107,A:A,AE:AE)</f>
        <v>#NAME?</v>
      </c>
      <c r="AU107" s="150" t="e">
        <f aca="false">_xlfn.xlookup(AN107,A:A,AF:AF)</f>
        <v>#NAME?</v>
      </c>
      <c r="BB107" s="246"/>
      <c r="BC107" s="246"/>
      <c r="BD107" s="246"/>
      <c r="BE107" s="246"/>
      <c r="BF107" s="246"/>
      <c r="BG107" s="144" t="e">
        <v>#NAME?</v>
      </c>
      <c r="BH107" s="152" t="e">
        <f aca="false">_xlfn.xlookup(BG107,A:A,F:F)</f>
        <v>#NAME?</v>
      </c>
      <c r="BI107" s="144" t="e">
        <f aca="false">_xlfn.xlookup(BG107,A:A,J:J)</f>
        <v>#NAME?</v>
      </c>
      <c r="BJ107" s="153" t="e">
        <f aca="false">_xlfn.xlookup(BG107,A:A,N:N)+_xlfn.xlookup(BG107,A:A,O:O)</f>
        <v>#NAME?</v>
      </c>
      <c r="BK107" s="153" t="e">
        <f aca="false">_xlfn.xlookup(BG107,A55:A1050,AB55:AB1050)</f>
        <v>#NAME?</v>
      </c>
      <c r="BQ107" s="144" t="str">
        <f aca="false">IF(VALUE(MONTH(C107))&lt;10,YEAR(C107)&amp;"-0"&amp;MONTH(C107),YEAR(C107)&amp;"-"&amp;MONTH(C107))</f>
        <v>2024-10</v>
      </c>
      <c r="BR107" s="144" t="str">
        <f aca="false">J107</f>
        <v>S15-3</v>
      </c>
      <c r="BS107" s="144" t="str">
        <f aca="false">IF(ISNUMBER(FIND("-", BR107)), LEFT(BR107, FIND("-", BR107) - 1), BR107)</f>
        <v>S15</v>
      </c>
      <c r="BT107" s="189" t="n">
        <f aca="false">L107-M107+O107</f>
        <v>3036.096</v>
      </c>
    </row>
    <row r="108" customFormat="false" ht="16.4" hidden="false" customHeight="false" outlineLevel="0" collapsed="false">
      <c r="A108" s="140" t="s">
        <v>1058</v>
      </c>
      <c r="B108" s="249" t="s">
        <v>893</v>
      </c>
      <c r="C108" s="174" t="n">
        <v>45594</v>
      </c>
      <c r="D108" s="173" t="n">
        <v>222</v>
      </c>
      <c r="E108" s="138" t="s">
        <v>94</v>
      </c>
      <c r="F108" s="138" t="s">
        <v>522</v>
      </c>
      <c r="G108" s="140" t="n">
        <v>104106</v>
      </c>
      <c r="H108" s="173" t="n">
        <v>40150</v>
      </c>
      <c r="I108" s="173" t="n">
        <v>30027</v>
      </c>
      <c r="J108" s="140" t="s">
        <v>768</v>
      </c>
      <c r="K108" s="140"/>
      <c r="L108" s="175" t="n">
        <v>17889.369168</v>
      </c>
      <c r="M108" s="175" t="n">
        <v>7083.7536</v>
      </c>
      <c r="N108" s="175" t="n">
        <v>10728</v>
      </c>
      <c r="O108" s="175"/>
      <c r="P108" s="175" t="n">
        <v>180</v>
      </c>
      <c r="Q108" s="176" t="n">
        <v>2</v>
      </c>
      <c r="R108" s="138" t="n">
        <v>2.5</v>
      </c>
      <c r="S108" s="177" t="n">
        <v>-22.525</v>
      </c>
      <c r="T108" s="215" t="n">
        <v>1.3911</v>
      </c>
      <c r="U108" s="178" t="n">
        <v>0.307208514182256</v>
      </c>
      <c r="V108" s="177" t="n">
        <v>3295.73294014724</v>
      </c>
      <c r="W108" s="177" t="n">
        <v>23.8441633226933</v>
      </c>
      <c r="X108" s="179" t="n">
        <v>0.00433864197619899</v>
      </c>
      <c r="Y108" s="177" t="n">
        <v>43.7457176470588</v>
      </c>
      <c r="Z108" s="177" t="n">
        <v>43.4</v>
      </c>
      <c r="AA108" s="177" t="n">
        <v>150.240384615385</v>
      </c>
      <c r="AB108" s="177" t="n">
        <v>3534.43820573238</v>
      </c>
      <c r="AC108" s="215" t="n">
        <v>0.33</v>
      </c>
      <c r="AD108" s="215" t="s">
        <v>77</v>
      </c>
      <c r="AE108" s="177" t="n">
        <v>4924.827864</v>
      </c>
      <c r="AF108" s="177" t="n">
        <v>1390.38965826762</v>
      </c>
      <c r="AG108" s="181"/>
      <c r="AH108" s="180" t="n">
        <v>3319.57710346993</v>
      </c>
      <c r="AI108" s="181"/>
      <c r="AJ108" s="181"/>
      <c r="AK108" s="181" t="s">
        <v>1058</v>
      </c>
      <c r="AL108" s="182" t="n">
        <v>0.32945919143665</v>
      </c>
      <c r="AN108" s="144" t="e">
        <v>#NAME?</v>
      </c>
      <c r="AO108" s="144" t="e">
        <f aca="false">_xlfn.xlookup(AN108,A:A,F:F)</f>
        <v>#NAME?</v>
      </c>
      <c r="AP108" s="144" t="e">
        <f aca="false">_xlfn.xlookup(AN108,A:A,J:J)</f>
        <v>#NAME?</v>
      </c>
      <c r="AQ108" s="144" t="e">
        <f aca="false">_xlfn.xlookup(AN108,A:A,N:N)+_xlfn.xlookup(AN108,A:A,O:O)</f>
        <v>#NAME?</v>
      </c>
      <c r="AR108" s="150" t="e">
        <f aca="false">_xlfn.xlookup(AN108,A:A,AH:AH)</f>
        <v>#NAME?</v>
      </c>
      <c r="AS108" s="150" t="e">
        <f aca="false">_xlfn.xlookup(AN108,A:A,S:S)</f>
        <v>#NAME?</v>
      </c>
      <c r="AT108" s="150" t="e">
        <f aca="false">_xlfn.xlookup(AN108,A:A,AE:AE)</f>
        <v>#NAME?</v>
      </c>
      <c r="AU108" s="150" t="e">
        <f aca="false">_xlfn.xlookup(AN108,A:A,AF:AF)</f>
        <v>#NAME?</v>
      </c>
      <c r="BB108" s="246"/>
      <c r="BC108" s="246"/>
      <c r="BD108" s="246"/>
      <c r="BE108" s="246"/>
      <c r="BF108" s="246"/>
      <c r="BG108" s="144" t="e">
        <v>#NAME?</v>
      </c>
      <c r="BH108" s="152" t="e">
        <f aca="false">_xlfn.xlookup(BG108,A:A,F:F)</f>
        <v>#NAME?</v>
      </c>
      <c r="BI108" s="144" t="e">
        <f aca="false">_xlfn.xlookup(BG108,A:A,J:J)</f>
        <v>#NAME?</v>
      </c>
      <c r="BJ108" s="153" t="e">
        <f aca="false">_xlfn.xlookup(BG108,A:A,N:N)+_xlfn.xlookup(BG108,A:A,O:O)</f>
        <v>#NAME?</v>
      </c>
      <c r="BK108" s="153" t="e">
        <f aca="false">_xlfn.xlookup(BG108,A56:A1051,AB56:AB1051)</f>
        <v>#NAME?</v>
      </c>
      <c r="BQ108" s="144" t="str">
        <f aca="false">IF(VALUE(MONTH(C108))&lt;10,YEAR(C108)&amp;"-0"&amp;MONTH(C108),YEAR(C108)&amp;"-"&amp;MONTH(C108))</f>
        <v>2024-10</v>
      </c>
      <c r="BR108" s="144" t="str">
        <f aca="false">J108</f>
        <v>B25-3</v>
      </c>
      <c r="BS108" s="144" t="str">
        <f aca="false">IF(ISNUMBER(FIND("-", BR108)), LEFT(BR108, FIND("-", BR108) - 1), BR108)</f>
        <v>B25</v>
      </c>
      <c r="BT108" s="189" t="n">
        <f aca="false">L108-M108+O108</f>
        <v>10805.615568</v>
      </c>
    </row>
    <row r="109" customFormat="false" ht="16.4" hidden="false" customHeight="false" outlineLevel="0" collapsed="false">
      <c r="A109" s="140" t="s">
        <v>1059</v>
      </c>
      <c r="B109" s="249" t="s">
        <v>893</v>
      </c>
      <c r="C109" s="174" t="n">
        <v>45594</v>
      </c>
      <c r="D109" s="173" t="n">
        <v>241</v>
      </c>
      <c r="E109" s="138" t="s">
        <v>962</v>
      </c>
      <c r="F109" s="138" t="s">
        <v>500</v>
      </c>
      <c r="G109" s="140" t="n">
        <v>50008774</v>
      </c>
      <c r="H109" s="173" t="n">
        <v>40103</v>
      </c>
      <c r="I109" s="173" t="n">
        <v>30019</v>
      </c>
      <c r="J109" s="140" t="s">
        <v>907</v>
      </c>
      <c r="K109" s="140"/>
      <c r="L109" s="175" t="n">
        <v>49710.772224</v>
      </c>
      <c r="M109" s="175" t="n">
        <v>7424.5332</v>
      </c>
      <c r="N109" s="175" t="n">
        <v>41378.4</v>
      </c>
      <c r="O109" s="175"/>
      <c r="P109" s="175" t="n">
        <v>710</v>
      </c>
      <c r="Q109" s="176" t="n">
        <v>6</v>
      </c>
      <c r="R109" s="138" t="n">
        <v>14</v>
      </c>
      <c r="S109" s="177" t="n">
        <v>-95.95</v>
      </c>
      <c r="T109" s="215" t="n">
        <v>1.3911</v>
      </c>
      <c r="U109" s="178" t="n">
        <v>0.378144584023772</v>
      </c>
      <c r="V109" s="177" t="n">
        <v>15647.0178555693</v>
      </c>
      <c r="W109" s="177" t="n">
        <v>343.29441009103</v>
      </c>
      <c r="X109" s="179" t="n">
        <v>0.0182624204651101</v>
      </c>
      <c r="Y109" s="177" t="n">
        <v>172.552552941176</v>
      </c>
      <c r="Z109" s="177" t="n">
        <v>130.2</v>
      </c>
      <c r="AA109" s="177" t="n">
        <v>841.346153846154</v>
      </c>
      <c r="AB109" s="177" t="n">
        <v>17038.4609724476</v>
      </c>
      <c r="AC109" s="215" t="n">
        <v>0.31</v>
      </c>
      <c r="AD109" s="215" t="s">
        <v>77</v>
      </c>
      <c r="AE109" s="177" t="n">
        <v>17844.0625944</v>
      </c>
      <c r="AF109" s="177" t="n">
        <v>805.601621952381</v>
      </c>
      <c r="AG109" s="181" t="n">
        <v>0.0451467605928038</v>
      </c>
      <c r="AH109" s="180" t="n">
        <v>15990.3122656603</v>
      </c>
      <c r="AI109" s="181" t="n">
        <v>0.896113885560933</v>
      </c>
      <c r="AJ109" s="181"/>
      <c r="AK109" s="181" t="s">
        <v>1059</v>
      </c>
      <c r="AL109" s="182" t="n">
        <v>0.411771865815199</v>
      </c>
      <c r="AN109" s="144" t="e">
        <v>#NAME?</v>
      </c>
      <c r="AO109" s="144" t="e">
        <f aca="false">_xlfn.xlookup(AN109,A:A,F:F)</f>
        <v>#NAME?</v>
      </c>
      <c r="AP109" s="144" t="e">
        <f aca="false">_xlfn.xlookup(AN109,A:A,J:J)</f>
        <v>#NAME?</v>
      </c>
      <c r="AQ109" s="144" t="e">
        <f aca="false">_xlfn.xlookup(AN109,A:A,N:N)+_xlfn.xlookup(AN109,A:A,O:O)</f>
        <v>#NAME?</v>
      </c>
      <c r="AR109" s="150" t="e">
        <f aca="false">_xlfn.xlookup(AN109,A:A,AH:AH)</f>
        <v>#NAME?</v>
      </c>
      <c r="AS109" s="150" t="e">
        <f aca="false">_xlfn.xlookup(AN109,A:A,S:S)</f>
        <v>#NAME?</v>
      </c>
      <c r="AT109" s="150" t="e">
        <f aca="false">_xlfn.xlookup(AN109,A:A,AE:AE)</f>
        <v>#NAME?</v>
      </c>
      <c r="AU109" s="150" t="e">
        <f aca="false">_xlfn.xlookup(AN109,A:A,AF:AF)</f>
        <v>#NAME?</v>
      </c>
      <c r="BB109" s="246"/>
      <c r="BC109" s="246"/>
      <c r="BD109" s="246"/>
      <c r="BE109" s="246"/>
      <c r="BF109" s="246"/>
      <c r="BG109" s="144" t="e">
        <v>#NAME?</v>
      </c>
      <c r="BH109" s="152" t="e">
        <f aca="false">_xlfn.xlookup(BG109,A:A,F:F)</f>
        <v>#NAME?</v>
      </c>
      <c r="BI109" s="144" t="e">
        <f aca="false">_xlfn.xlookup(BG109,A:A,J:J)</f>
        <v>#NAME?</v>
      </c>
      <c r="BJ109" s="153" t="e">
        <f aca="false">_xlfn.xlookup(BG109,A:A,N:N)+_xlfn.xlookup(BG109,A:A,O:O)</f>
        <v>#NAME?</v>
      </c>
      <c r="BK109" s="153" t="e">
        <f aca="false">_xlfn.xlookup(BG109,A57:A1052,AB57:AB1052)</f>
        <v>#NAME?</v>
      </c>
      <c r="BQ109" s="144" t="str">
        <f aca="false">IF(VALUE(MONTH(C109))&lt;10,YEAR(C109)&amp;"-0"&amp;MONTH(C109),YEAR(C109)&amp;"-"&amp;MONTH(C109))</f>
        <v>2024-10</v>
      </c>
      <c r="BR109" s="144" t="str">
        <f aca="false">J109</f>
        <v>D16-1</v>
      </c>
      <c r="BS109" s="144" t="str">
        <f aca="false">IF(ISNUMBER(FIND("-", BR109)), LEFT(BR109, FIND("-", BR109) - 1), BR109)</f>
        <v>D16</v>
      </c>
      <c r="BT109" s="189" t="n">
        <f aca="false">L109-M109+O109</f>
        <v>42286.239024</v>
      </c>
    </row>
    <row r="110" customFormat="false" ht="16.4" hidden="false" customHeight="false" outlineLevel="0" collapsed="false">
      <c r="A110" s="140" t="s">
        <v>1060</v>
      </c>
      <c r="B110" s="249" t="s">
        <v>893</v>
      </c>
      <c r="C110" s="174" t="n">
        <v>45595</v>
      </c>
      <c r="D110" s="173" t="n">
        <v>242</v>
      </c>
      <c r="E110" s="138" t="s">
        <v>85</v>
      </c>
      <c r="F110" s="138" t="s">
        <v>85</v>
      </c>
      <c r="G110" s="140" t="n">
        <v>301024</v>
      </c>
      <c r="H110" s="173" t="n">
        <v>40155</v>
      </c>
      <c r="I110" s="173" t="n">
        <v>30027</v>
      </c>
      <c r="J110" s="140" t="s">
        <v>768</v>
      </c>
      <c r="K110" s="140"/>
      <c r="L110" s="175" t="n">
        <v>7083.7536</v>
      </c>
      <c r="M110" s="175" t="n">
        <v>3469.5936</v>
      </c>
      <c r="N110" s="175" t="n">
        <v>3575.88</v>
      </c>
      <c r="O110" s="175"/>
      <c r="P110" s="175" t="n">
        <v>60.2</v>
      </c>
      <c r="Q110" s="176" t="n">
        <v>1</v>
      </c>
      <c r="R110" s="138" t="n">
        <v>1</v>
      </c>
      <c r="S110" s="177" t="n">
        <v>59.35</v>
      </c>
      <c r="T110" s="215"/>
      <c r="U110" s="178" t="n">
        <v>0.307208514182256</v>
      </c>
      <c r="V110" s="177" t="n">
        <v>1098.54078169405</v>
      </c>
      <c r="W110" s="177" t="n">
        <v>11.7599419228967</v>
      </c>
      <c r="X110" s="179" t="n">
        <v>0.0054039146703239</v>
      </c>
      <c r="Y110" s="177" t="n">
        <v>14.6305122352941</v>
      </c>
      <c r="Z110" s="177" t="n">
        <v>21.7</v>
      </c>
      <c r="AA110" s="177" t="n">
        <v>60.0961538461539</v>
      </c>
      <c r="AB110" s="177" t="n">
        <v>1266.07738969839</v>
      </c>
      <c r="AC110" s="215" t="n">
        <v>0.466</v>
      </c>
      <c r="AD110" s="215" t="s">
        <v>88</v>
      </c>
      <c r="AE110" s="177" t="n">
        <v>1666.36008</v>
      </c>
      <c r="AF110" s="177" t="n">
        <v>400.28269030161</v>
      </c>
      <c r="AG110" s="181" t="n">
        <v>0.24021380199027</v>
      </c>
      <c r="AH110" s="180" t="n">
        <v>1110.30072361694</v>
      </c>
      <c r="AI110" s="181" t="n">
        <v>0.666303001939978</v>
      </c>
      <c r="AJ110" s="181" t="s">
        <v>895</v>
      </c>
      <c r="AK110" s="181" t="s">
        <v>1060</v>
      </c>
      <c r="AL110" s="182" t="n">
        <v>0.354060368272534</v>
      </c>
      <c r="AN110" s="144" t="e">
        <v>#NAME?</v>
      </c>
      <c r="AO110" s="144" t="e">
        <f aca="false">_xlfn.xlookup(AN110,A:A,F:F)</f>
        <v>#NAME?</v>
      </c>
      <c r="AP110" s="144" t="e">
        <f aca="false">_xlfn.xlookup(AN110,A:A,J:J)</f>
        <v>#NAME?</v>
      </c>
      <c r="AQ110" s="144" t="e">
        <f aca="false">_xlfn.xlookup(AN110,A:A,N:N)+_xlfn.xlookup(AN110,A:A,O:O)</f>
        <v>#NAME?</v>
      </c>
      <c r="AR110" s="150" t="e">
        <f aca="false">_xlfn.xlookup(AN110,A:A,AH:AH)</f>
        <v>#NAME?</v>
      </c>
      <c r="AS110" s="150" t="e">
        <f aca="false">_xlfn.xlookup(AN110,A:A,S:S)</f>
        <v>#NAME?</v>
      </c>
      <c r="AT110" s="150" t="e">
        <f aca="false">_xlfn.xlookup(AN110,A:A,AE:AE)</f>
        <v>#NAME?</v>
      </c>
      <c r="AU110" s="150" t="e">
        <f aca="false">_xlfn.xlookup(AN110,A:A,AF:AF)</f>
        <v>#NAME?</v>
      </c>
      <c r="BB110" s="246"/>
      <c r="BC110" s="246"/>
      <c r="BD110" s="246"/>
      <c r="BE110" s="246"/>
      <c r="BF110" s="246"/>
      <c r="BG110" s="144" t="e">
        <v>#NAME?</v>
      </c>
      <c r="BH110" s="152" t="e">
        <f aca="false">_xlfn.xlookup(BG110,A:A,F:F)</f>
        <v>#NAME?</v>
      </c>
      <c r="BI110" s="144" t="e">
        <f aca="false">_xlfn.xlookup(BG110,A:A,J:J)</f>
        <v>#NAME?</v>
      </c>
      <c r="BJ110" s="153" t="e">
        <f aca="false">_xlfn.xlookup(BG110,A:A,N:N)+_xlfn.xlookup(BG110,A:A,O:O)</f>
        <v>#NAME?</v>
      </c>
      <c r="BK110" s="153" t="e">
        <f aca="false">_xlfn.xlookup(BG110,A58:A1053,AB58:AB1053)</f>
        <v>#NAME?</v>
      </c>
      <c r="BQ110" s="144" t="str">
        <f aca="false">IF(VALUE(MONTH(C110))&lt;10,YEAR(C110)&amp;"-0"&amp;MONTH(C110),YEAR(C110)&amp;"-"&amp;MONTH(C110))</f>
        <v>2024-10</v>
      </c>
      <c r="BR110" s="144" t="str">
        <f aca="false">J110</f>
        <v>B25-3</v>
      </c>
      <c r="BS110" s="144" t="str">
        <f aca="false">IF(ISNUMBER(FIND("-", BR110)), LEFT(BR110, FIND("-", BR110) - 1), BR110)</f>
        <v>B25</v>
      </c>
      <c r="BT110" s="189" t="n">
        <f aca="false">L110-M110+O110</f>
        <v>3614.16</v>
      </c>
    </row>
    <row r="111" customFormat="false" ht="16.4" hidden="false" customHeight="false" outlineLevel="0" collapsed="false">
      <c r="A111" s="140" t="s">
        <v>1061</v>
      </c>
      <c r="B111" s="249" t="s">
        <v>893</v>
      </c>
      <c r="C111" s="174" t="n">
        <v>45595</v>
      </c>
      <c r="D111" s="173" t="n">
        <v>243</v>
      </c>
      <c r="E111" s="138" t="s">
        <v>1062</v>
      </c>
      <c r="F111" s="138" t="s">
        <v>575</v>
      </c>
      <c r="G111" s="140" t="n">
        <v>2842</v>
      </c>
      <c r="H111" s="173" t="n">
        <v>40151</v>
      </c>
      <c r="I111" s="173" t="n">
        <v>30011</v>
      </c>
      <c r="J111" s="140" t="s">
        <v>760</v>
      </c>
      <c r="K111" s="140"/>
      <c r="L111" s="175" t="n">
        <v>3542.112</v>
      </c>
      <c r="M111" s="175" t="n">
        <v>745.68</v>
      </c>
      <c r="N111" s="175" t="n">
        <v>2695.92</v>
      </c>
      <c r="O111" s="175"/>
      <c r="P111" s="175" t="n">
        <v>47</v>
      </c>
      <c r="Q111" s="176" t="n">
        <v>0.25</v>
      </c>
      <c r="R111" s="138" t="n">
        <v>1.5</v>
      </c>
      <c r="S111" s="177" t="n">
        <v>30.0075</v>
      </c>
      <c r="T111" s="215"/>
      <c r="U111" s="178" t="n">
        <v>0.28357864079936</v>
      </c>
      <c r="V111" s="177" t="n">
        <v>764.50532930381</v>
      </c>
      <c r="W111" s="177" t="n">
        <v>28.5030563440253</v>
      </c>
      <c r="X111" s="179" t="n">
        <v>0.028376290755346</v>
      </c>
      <c r="Y111" s="177" t="n">
        <v>11.4224929411765</v>
      </c>
      <c r="Z111" s="177" t="n">
        <v>5.425</v>
      </c>
      <c r="AA111" s="177" t="n">
        <v>90.1442307692308</v>
      </c>
      <c r="AB111" s="177" t="n">
        <v>930.007609358243</v>
      </c>
      <c r="AC111" s="215" t="n">
        <v>0</v>
      </c>
      <c r="AD111" s="215" t="s">
        <v>88</v>
      </c>
      <c r="AE111" s="177" t="n">
        <v>0</v>
      </c>
      <c r="AF111" s="177" t="n">
        <v>-930.007609358243</v>
      </c>
      <c r="AG111" s="181"/>
      <c r="AH111" s="180" t="n">
        <v>793.008385647836</v>
      </c>
      <c r="AI111" s="181"/>
      <c r="AJ111" s="181" t="s">
        <v>895</v>
      </c>
      <c r="AK111" s="181" t="s">
        <v>1061</v>
      </c>
      <c r="AL111" s="182" t="n">
        <v>0.344968548531946</v>
      </c>
      <c r="AN111" s="144" t="e">
        <v>#NAME?</v>
      </c>
      <c r="AO111" s="144" t="e">
        <f aca="false">_xlfn.xlookup(AN111,A:A,F:F)</f>
        <v>#NAME?</v>
      </c>
      <c r="AP111" s="144" t="e">
        <f aca="false">_xlfn.xlookup(AN111,A:A,J:J)</f>
        <v>#NAME?</v>
      </c>
      <c r="AQ111" s="144" t="e">
        <f aca="false">_xlfn.xlookup(AN111,A:A,N:N)+_xlfn.xlookup(AN111,A:A,O:O)</f>
        <v>#NAME?</v>
      </c>
      <c r="AR111" s="150" t="e">
        <f aca="false">_xlfn.xlookup(AN111,A:A,AH:AH)</f>
        <v>#NAME?</v>
      </c>
      <c r="AS111" s="150" t="e">
        <f aca="false">_xlfn.xlookup(AN111,A:A,S:S)</f>
        <v>#NAME?</v>
      </c>
      <c r="AT111" s="150" t="e">
        <f aca="false">_xlfn.xlookup(AN111,A:A,AE:AE)</f>
        <v>#NAME?</v>
      </c>
      <c r="AU111" s="150" t="e">
        <f aca="false">_xlfn.xlookup(AN111,A:A,AF:AF)</f>
        <v>#NAME?</v>
      </c>
      <c r="BB111" s="246"/>
      <c r="BC111" s="246"/>
      <c r="BD111" s="246"/>
      <c r="BE111" s="246"/>
      <c r="BF111" s="246"/>
      <c r="BG111" s="144" t="e">
        <v>#NAME?</v>
      </c>
      <c r="BH111" s="152" t="e">
        <f aca="false">_xlfn.xlookup(BG111,A:A,F:F)</f>
        <v>#NAME?</v>
      </c>
      <c r="BI111" s="144" t="e">
        <f aca="false">_xlfn.xlookup(BG111,A:A,J:J)</f>
        <v>#NAME?</v>
      </c>
      <c r="BJ111" s="153" t="e">
        <f aca="false">_xlfn.xlookup(BG111,A:A,N:N)+_xlfn.xlookup(BG111,A:A,O:O)</f>
        <v>#NAME?</v>
      </c>
      <c r="BK111" s="153" t="e">
        <f aca="false">_xlfn.xlookup(BG111,A59:A1054,AB59:AB1054)</f>
        <v>#NAME?</v>
      </c>
      <c r="BQ111" s="144" t="str">
        <f aca="false">IF(VALUE(MONTH(C111))&lt;10,YEAR(C111)&amp;"-0"&amp;MONTH(C111),YEAR(C111)&amp;"-"&amp;MONTH(C111))</f>
        <v>2024-10</v>
      </c>
      <c r="BR111" s="144" t="str">
        <f aca="false">J111</f>
        <v>S21-1</v>
      </c>
      <c r="BS111" s="144" t="str">
        <f aca="false">IF(ISNUMBER(FIND("-", BR111)), LEFT(BR111, FIND("-", BR111) - 1), BR111)</f>
        <v>S21</v>
      </c>
      <c r="BT111" s="189" t="n">
        <f aca="false">L111-M111+O111</f>
        <v>2796.432</v>
      </c>
    </row>
    <row r="112" customFormat="false" ht="16.4" hidden="false" customHeight="false" outlineLevel="0" collapsed="false">
      <c r="A112" s="140" t="s">
        <v>1063</v>
      </c>
      <c r="B112" s="249" t="s">
        <v>893</v>
      </c>
      <c r="C112" s="174" t="n">
        <v>45595</v>
      </c>
      <c r="D112" s="173" t="n">
        <v>243</v>
      </c>
      <c r="E112" s="138" t="s">
        <v>1062</v>
      </c>
      <c r="F112" s="138" t="s">
        <v>575</v>
      </c>
      <c r="G112" s="140" t="n">
        <v>2842</v>
      </c>
      <c r="H112" s="173" t="n">
        <v>40152</v>
      </c>
      <c r="I112" s="173" t="n">
        <v>30030</v>
      </c>
      <c r="J112" s="140" t="s">
        <v>790</v>
      </c>
      <c r="K112" s="140"/>
      <c r="L112" s="175" t="n">
        <v>14228.94792</v>
      </c>
      <c r="M112" s="175" t="n">
        <v>13023.00072</v>
      </c>
      <c r="N112" s="175" t="n">
        <v>1128</v>
      </c>
      <c r="O112" s="175"/>
      <c r="P112" s="175" t="n">
        <v>47</v>
      </c>
      <c r="Q112" s="176" t="n">
        <v>0.25</v>
      </c>
      <c r="R112" s="138" t="n">
        <v>0.5</v>
      </c>
      <c r="S112" s="177" t="n">
        <v>30.0075</v>
      </c>
      <c r="T112" s="215"/>
      <c r="U112" s="178" t="n">
        <v>0.27644690127903</v>
      </c>
      <c r="V112" s="177" t="n">
        <v>311.832104642746</v>
      </c>
      <c r="W112" s="177" t="n">
        <v>21.548261903377</v>
      </c>
      <c r="X112" s="179" t="n">
        <v>0.00547807191636699</v>
      </c>
      <c r="Y112" s="177" t="n">
        <v>11.4224929411765</v>
      </c>
      <c r="Z112" s="177" t="n">
        <v>5.425</v>
      </c>
      <c r="AA112" s="177" t="n">
        <v>30.0480769230769</v>
      </c>
      <c r="AB112" s="177" t="n">
        <v>410.283436410376</v>
      </c>
      <c r="AC112" s="215" t="n">
        <v>0</v>
      </c>
      <c r="AD112" s="215" t="s">
        <v>88</v>
      </c>
      <c r="AE112" s="177" t="n">
        <v>0</v>
      </c>
      <c r="AF112" s="177" t="n">
        <v>-410.283436410376</v>
      </c>
      <c r="AG112" s="181"/>
      <c r="AH112" s="180" t="n">
        <v>333.380366546123</v>
      </c>
      <c r="AI112" s="181"/>
      <c r="AJ112" s="181" t="s">
        <v>895</v>
      </c>
      <c r="AK112" s="181" t="s">
        <v>1063</v>
      </c>
      <c r="AL112" s="182" t="n">
        <v>0.363726450718419</v>
      </c>
      <c r="AN112" s="144" t="e">
        <v>#NAME?</v>
      </c>
      <c r="AO112" s="144" t="e">
        <f aca="false">_xlfn.xlookup(AN112,A:A,F:F)</f>
        <v>#NAME?</v>
      </c>
      <c r="AP112" s="144" t="e">
        <f aca="false">_xlfn.xlookup(AN112,A:A,J:J)</f>
        <v>#NAME?</v>
      </c>
      <c r="AQ112" s="144" t="e">
        <f aca="false">_xlfn.xlookup(AN112,A:A,N:N)+_xlfn.xlookup(AN112,A:A,O:O)</f>
        <v>#NAME?</v>
      </c>
      <c r="AR112" s="150" t="e">
        <f aca="false">_xlfn.xlookup(AN112,A:A,AH:AH)</f>
        <v>#NAME?</v>
      </c>
      <c r="AS112" s="150" t="e">
        <f aca="false">_xlfn.xlookup(AN112,A:A,S:S)</f>
        <v>#NAME?</v>
      </c>
      <c r="AT112" s="150" t="e">
        <f aca="false">_xlfn.xlookup(AN112,A:A,AE:AE)</f>
        <v>#NAME?</v>
      </c>
      <c r="AU112" s="150" t="e">
        <f aca="false">_xlfn.xlookup(AN112,A:A,AF:AF)</f>
        <v>#NAME?</v>
      </c>
      <c r="BB112" s="246"/>
      <c r="BC112" s="246"/>
      <c r="BD112" s="246"/>
      <c r="BE112" s="246"/>
      <c r="BF112" s="246"/>
      <c r="BG112" s="144" t="e">
        <v>#NAME?</v>
      </c>
      <c r="BH112" s="152" t="e">
        <f aca="false">_xlfn.xlookup(BG112,A:A,F:F)</f>
        <v>#NAME?</v>
      </c>
      <c r="BI112" s="144" t="e">
        <f aca="false">_xlfn.xlookup(BG112,A:A,J:J)</f>
        <v>#NAME?</v>
      </c>
      <c r="BJ112" s="153" t="e">
        <f aca="false">_xlfn.xlookup(BG112,A:A,N:N)+_xlfn.xlookup(BG112,A:A,O:O)</f>
        <v>#NAME?</v>
      </c>
      <c r="BK112" s="153" t="e">
        <f aca="false">_xlfn.xlookup(BG112,A60:A1055,AB60:AB1055)</f>
        <v>#NAME?</v>
      </c>
      <c r="BQ112" s="144" t="str">
        <f aca="false">IF(VALUE(MONTH(C112))&lt;10,YEAR(C112)&amp;"-0"&amp;MONTH(C112),YEAR(C112)&amp;"-"&amp;MONTH(C112))</f>
        <v>2024-10</v>
      </c>
      <c r="BR112" s="144" t="str">
        <f aca="false">J112</f>
        <v>S35-3</v>
      </c>
      <c r="BS112" s="144" t="str">
        <f aca="false">IF(ISNUMBER(FIND("-", BR112)), LEFT(BR112, FIND("-", BR112) - 1), BR112)</f>
        <v>S35</v>
      </c>
      <c r="BT112" s="189" t="n">
        <f aca="false">L112-M112+O112</f>
        <v>1205.9472</v>
      </c>
    </row>
    <row r="113" customFormat="false" ht="16.4" hidden="false" customHeight="false" outlineLevel="0" collapsed="false">
      <c r="A113" s="140" t="s">
        <v>1064</v>
      </c>
      <c r="B113" s="249" t="s">
        <v>893</v>
      </c>
      <c r="C113" s="174" t="n">
        <v>45595</v>
      </c>
      <c r="D113" s="173" t="n">
        <v>243</v>
      </c>
      <c r="E113" s="138" t="s">
        <v>1062</v>
      </c>
      <c r="F113" s="138" t="s">
        <v>575</v>
      </c>
      <c r="G113" s="140" t="n">
        <v>2842</v>
      </c>
      <c r="H113" s="173" t="n">
        <v>40153</v>
      </c>
      <c r="I113" s="173" t="n">
        <v>30016</v>
      </c>
      <c r="J113" s="140" t="s">
        <v>764</v>
      </c>
      <c r="K113" s="140"/>
      <c r="L113" s="175" t="n">
        <v>612</v>
      </c>
      <c r="M113" s="175" t="n">
        <v>139.2</v>
      </c>
      <c r="N113" s="175" t="n">
        <v>449.28</v>
      </c>
      <c r="O113" s="175"/>
      <c r="P113" s="175" t="n">
        <v>13</v>
      </c>
      <c r="Q113" s="176" t="n">
        <v>0.25</v>
      </c>
      <c r="R113" s="138" t="n">
        <v>2</v>
      </c>
      <c r="S113" s="177" t="n">
        <v>30.0075</v>
      </c>
      <c r="T113" s="215"/>
      <c r="U113" s="178" t="n">
        <v>0.326284886247867</v>
      </c>
      <c r="V113" s="177" t="n">
        <v>146.593273693442</v>
      </c>
      <c r="W113" s="177" t="n">
        <v>7.67422052454982</v>
      </c>
      <c r="X113" s="179" t="n">
        <v>0.0384313725490196</v>
      </c>
      <c r="Y113" s="177" t="n">
        <v>3.15941294117647</v>
      </c>
      <c r="Z113" s="177" t="n">
        <v>5.425</v>
      </c>
      <c r="AA113" s="177" t="n">
        <v>120.192307692308</v>
      </c>
      <c r="AB113" s="177" t="n">
        <v>313.051714851476</v>
      </c>
      <c r="AC113" s="215" t="n">
        <v>0</v>
      </c>
      <c r="AD113" s="215" t="s">
        <v>88</v>
      </c>
      <c r="AE113" s="177" t="n">
        <v>0</v>
      </c>
      <c r="AF113" s="177" t="n">
        <v>-313.051714851476</v>
      </c>
      <c r="AG113" s="181"/>
      <c r="AH113" s="180" t="n">
        <v>154.267494217991</v>
      </c>
      <c r="AI113" s="181"/>
      <c r="AJ113" s="181" t="s">
        <v>895</v>
      </c>
      <c r="AK113" s="181" t="s">
        <v>1064</v>
      </c>
      <c r="AL113" s="182" t="n">
        <v>0.696785333982095</v>
      </c>
      <c r="AN113" s="144" t="e">
        <v>#NAME?</v>
      </c>
      <c r="AO113" s="144" t="e">
        <f aca="false">_xlfn.xlookup(AN113,A:A,F:F)</f>
        <v>#NAME?</v>
      </c>
      <c r="AP113" s="144" t="e">
        <f aca="false">_xlfn.xlookup(AN113,A:A,J:J)</f>
        <v>#NAME?</v>
      </c>
      <c r="AQ113" s="144" t="e">
        <f aca="false">_xlfn.xlookup(AN113,A:A,N:N)+_xlfn.xlookup(AN113,A:A,O:O)</f>
        <v>#NAME?</v>
      </c>
      <c r="AR113" s="150" t="e">
        <f aca="false">_xlfn.xlookup(AN113,A:A,AH:AH)</f>
        <v>#NAME?</v>
      </c>
      <c r="AS113" s="150" t="e">
        <f aca="false">_xlfn.xlookup(AN113,A:A,S:S)</f>
        <v>#NAME?</v>
      </c>
      <c r="AT113" s="150" t="e">
        <f aca="false">_xlfn.xlookup(AN113,A:A,AE:AE)</f>
        <v>#NAME?</v>
      </c>
      <c r="AU113" s="150" t="e">
        <f aca="false">_xlfn.xlookup(AN113,A:A,AF:AF)</f>
        <v>#NAME?</v>
      </c>
      <c r="BB113" s="246"/>
      <c r="BC113" s="246"/>
      <c r="BD113" s="246"/>
      <c r="BE113" s="246"/>
      <c r="BF113" s="246"/>
      <c r="BG113" s="144" t="e">
        <v>#NAME?</v>
      </c>
      <c r="BH113" s="152" t="e">
        <f aca="false">_xlfn.xlookup(BG113,A:A,F:F)</f>
        <v>#NAME?</v>
      </c>
      <c r="BI113" s="144" t="e">
        <f aca="false">_xlfn.xlookup(BG113,A:A,J:J)</f>
        <v>#NAME?</v>
      </c>
      <c r="BJ113" s="153" t="e">
        <f aca="false">_xlfn.xlookup(BG113,A:A,N:N)+_xlfn.xlookup(BG113,A:A,O:O)</f>
        <v>#NAME?</v>
      </c>
      <c r="BK113" s="153" t="e">
        <f aca="false">_xlfn.xlookup(BG113,A61:A1056,AB61:AB1056)</f>
        <v>#NAME?</v>
      </c>
      <c r="BQ113" s="144" t="str">
        <f aca="false">IF(VALUE(MONTH(C113))&lt;10,YEAR(C113)&amp;"-0"&amp;MONTH(C113),YEAR(C113)&amp;"-"&amp;MONTH(C113))</f>
        <v>2024-10</v>
      </c>
      <c r="BR113" s="144" t="str">
        <f aca="false">J113</f>
        <v>B15-3</v>
      </c>
      <c r="BS113" s="144" t="str">
        <f aca="false">IF(ISNUMBER(FIND("-", BR113)), LEFT(BR113, FIND("-", BR113) - 1), BR113)</f>
        <v>B15</v>
      </c>
      <c r="BT113" s="189" t="n">
        <f aca="false">L113-M113+O113</f>
        <v>472.8</v>
      </c>
    </row>
    <row r="114" customFormat="false" ht="16.4" hidden="false" customHeight="false" outlineLevel="0" collapsed="false">
      <c r="A114" s="140" t="s">
        <v>1065</v>
      </c>
      <c r="B114" s="249" t="s">
        <v>893</v>
      </c>
      <c r="C114" s="174" t="n">
        <v>45595</v>
      </c>
      <c r="D114" s="173" t="n">
        <v>243</v>
      </c>
      <c r="E114" s="138" t="s">
        <v>1062</v>
      </c>
      <c r="F114" s="138" t="s">
        <v>575</v>
      </c>
      <c r="G114" s="140" t="n">
        <v>2842</v>
      </c>
      <c r="H114" s="173" t="n">
        <v>40154</v>
      </c>
      <c r="I114" s="173" t="n">
        <v>30027</v>
      </c>
      <c r="J114" s="140" t="s">
        <v>768</v>
      </c>
      <c r="K114" s="140"/>
      <c r="L114" s="175" t="n">
        <v>3469.5936</v>
      </c>
      <c r="M114" s="175" t="n">
        <v>3115.788</v>
      </c>
      <c r="N114" s="175" t="n">
        <v>312</v>
      </c>
      <c r="O114" s="175"/>
      <c r="P114" s="175" t="n">
        <v>13</v>
      </c>
      <c r="Q114" s="176" t="n">
        <v>0.25</v>
      </c>
      <c r="R114" s="138" t="n">
        <v>0.5</v>
      </c>
      <c r="S114" s="177" t="n">
        <v>30.0075</v>
      </c>
      <c r="T114" s="215"/>
      <c r="U114" s="178" t="n">
        <v>0.307208514182256</v>
      </c>
      <c r="V114" s="177" t="n">
        <v>95.8490564248639</v>
      </c>
      <c r="W114" s="177" t="n">
        <v>12.8430362604978</v>
      </c>
      <c r="X114" s="179" t="n">
        <v>0.0120491345153508</v>
      </c>
      <c r="Y114" s="177" t="n">
        <v>3.15941294117647</v>
      </c>
      <c r="Z114" s="177" t="n">
        <v>5.425</v>
      </c>
      <c r="AA114" s="177" t="n">
        <v>30.0480769230769</v>
      </c>
      <c r="AB114" s="177" t="n">
        <v>177.332082549615</v>
      </c>
      <c r="AC114" s="215" t="n">
        <v>0</v>
      </c>
      <c r="AD114" s="215" t="s">
        <v>88</v>
      </c>
      <c r="AE114" s="177" t="n">
        <v>0</v>
      </c>
      <c r="AF114" s="177" t="n">
        <v>-177.332082549615</v>
      </c>
      <c r="AG114" s="181"/>
      <c r="AH114" s="180" t="n">
        <v>108.692092685362</v>
      </c>
      <c r="AI114" s="181"/>
      <c r="AJ114" s="181" t="s">
        <v>895</v>
      </c>
      <c r="AK114" s="181" t="s">
        <v>1065</v>
      </c>
      <c r="AL114" s="182" t="n">
        <v>0.568372059453894</v>
      </c>
      <c r="AN114" s="144" t="e">
        <v>#NAME?</v>
      </c>
      <c r="AO114" s="144" t="e">
        <f aca="false">_xlfn.xlookup(AN114,A:A,F:F)</f>
        <v>#NAME?</v>
      </c>
      <c r="AP114" s="144" t="e">
        <f aca="false">_xlfn.xlookup(AN114,A:A,J:J)</f>
        <v>#NAME?</v>
      </c>
      <c r="AQ114" s="144" t="e">
        <f aca="false">_xlfn.xlookup(AN114,A:A,N:N)+_xlfn.xlookup(AN114,A:A,O:O)</f>
        <v>#NAME?</v>
      </c>
      <c r="AR114" s="150" t="e">
        <f aca="false">_xlfn.xlookup(AN114,A:A,AH:AH)</f>
        <v>#NAME?</v>
      </c>
      <c r="AS114" s="150" t="e">
        <f aca="false">_xlfn.xlookup(AN114,A:A,S:S)</f>
        <v>#NAME?</v>
      </c>
      <c r="AT114" s="150" t="e">
        <f aca="false">_xlfn.xlookup(AN114,A:A,AE:AE)</f>
        <v>#NAME?</v>
      </c>
      <c r="AU114" s="150" t="e">
        <f aca="false">_xlfn.xlookup(AN114,A:A,AF:AF)</f>
        <v>#NAME?</v>
      </c>
      <c r="BB114" s="246"/>
      <c r="BC114" s="246"/>
      <c r="BD114" s="246"/>
      <c r="BE114" s="246"/>
      <c r="BF114" s="246"/>
      <c r="BG114" s="144" t="e">
        <v>#NAME?</v>
      </c>
      <c r="BH114" s="152" t="e">
        <f aca="false">_xlfn.xlookup(BG114,A:A,F:F)</f>
        <v>#NAME?</v>
      </c>
      <c r="BI114" s="144" t="e">
        <f aca="false">_xlfn.xlookup(BG114,A:A,J:J)</f>
        <v>#NAME?</v>
      </c>
      <c r="BJ114" s="153" t="e">
        <f aca="false">_xlfn.xlookup(BG114,A:A,N:N)+_xlfn.xlookup(BG114,A:A,O:O)</f>
        <v>#NAME?</v>
      </c>
      <c r="BK114" s="153" t="e">
        <f aca="false">_xlfn.xlookup(BG114,A62:A1057,AB62:AB1057)</f>
        <v>#NAME?</v>
      </c>
      <c r="BQ114" s="144" t="str">
        <f aca="false">IF(VALUE(MONTH(C114))&lt;10,YEAR(C114)&amp;"-0"&amp;MONTH(C114),YEAR(C114)&amp;"-"&amp;MONTH(C114))</f>
        <v>2024-10</v>
      </c>
      <c r="BR114" s="144" t="str">
        <f aca="false">J114</f>
        <v>B25-3</v>
      </c>
      <c r="BS114" s="144" t="str">
        <f aca="false">IF(ISNUMBER(FIND("-", BR114)), LEFT(BR114, FIND("-", BR114) - 1), BR114)</f>
        <v>B25</v>
      </c>
      <c r="BT114" s="189" t="n">
        <f aca="false">L114-M114+O114</f>
        <v>353.8056</v>
      </c>
    </row>
    <row r="115" customFormat="false" ht="16.4" hidden="false" customHeight="false" outlineLevel="0" collapsed="false">
      <c r="A115" s="140" t="s">
        <v>1066</v>
      </c>
      <c r="B115" s="249" t="s">
        <v>893</v>
      </c>
      <c r="C115" s="174" t="n">
        <v>45596</v>
      </c>
      <c r="D115" s="173" t="n">
        <v>244</v>
      </c>
      <c r="E115" s="138" t="s">
        <v>94</v>
      </c>
      <c r="F115" s="138" t="s">
        <v>522</v>
      </c>
      <c r="G115" s="140" t="n">
        <v>105111</v>
      </c>
      <c r="H115" s="173" t="n">
        <v>40150</v>
      </c>
      <c r="I115" s="173" t="n">
        <v>30027</v>
      </c>
      <c r="J115" s="140" t="s">
        <v>768</v>
      </c>
      <c r="K115" s="140"/>
      <c r="L115" s="175" t="n">
        <v>14347.492368</v>
      </c>
      <c r="M115" s="175" t="n">
        <v>3541.8768</v>
      </c>
      <c r="N115" s="175" t="n">
        <v>10692</v>
      </c>
      <c r="O115" s="175"/>
      <c r="P115" s="175" t="n">
        <v>180</v>
      </c>
      <c r="Q115" s="176" t="n">
        <v>2</v>
      </c>
      <c r="R115" s="138" t="n">
        <v>1.5</v>
      </c>
      <c r="S115" s="177" t="n">
        <v>-22.525</v>
      </c>
      <c r="T115" s="215" t="n">
        <v>1.3935</v>
      </c>
      <c r="U115" s="178" t="n">
        <v>0.307208514182256</v>
      </c>
      <c r="V115" s="177" t="n">
        <v>3284.67343363668</v>
      </c>
      <c r="W115" s="177" t="n">
        <v>34.9036698332534</v>
      </c>
      <c r="X115" s="179" t="n">
        <v>0.00791884498599937</v>
      </c>
      <c r="Y115" s="177" t="n">
        <v>43.7457176470588</v>
      </c>
      <c r="Z115" s="177" t="n">
        <v>43.4</v>
      </c>
      <c r="AA115" s="177" t="n">
        <v>90.1442307692308</v>
      </c>
      <c r="AB115" s="177" t="n">
        <v>3474.34205188622</v>
      </c>
      <c r="AC115" s="215" t="n">
        <v>0.33</v>
      </c>
      <c r="AD115" s="215" t="s">
        <v>77</v>
      </c>
      <c r="AE115" s="177" t="n">
        <v>4916.76966</v>
      </c>
      <c r="AF115" s="177" t="n">
        <v>1442.42760811378</v>
      </c>
      <c r="AG115" s="181" t="n">
        <v>0.293368961301672</v>
      </c>
      <c r="AH115" s="180" t="n">
        <v>3319.57710346993</v>
      </c>
      <c r="AI115" s="181" t="n">
        <v>0.675154081444184</v>
      </c>
      <c r="AJ115" s="181"/>
      <c r="AK115" s="181" t="s">
        <v>1066</v>
      </c>
      <c r="AL115" s="182" t="n">
        <v>0.32494781630062</v>
      </c>
      <c r="AN115" s="144" t="e">
        <v>#NAME?</v>
      </c>
      <c r="AO115" s="144" t="e">
        <f aca="false">_xlfn.xlookup(AN115,A:A,F:F)</f>
        <v>#NAME?</v>
      </c>
      <c r="AP115" s="144" t="e">
        <f aca="false">_xlfn.xlookup(AN115,A:A,J:J)</f>
        <v>#NAME?</v>
      </c>
      <c r="AQ115" s="144" t="e">
        <f aca="false">_xlfn.xlookup(AN115,A:A,N:N)+_xlfn.xlookup(AN115,A:A,O:O)</f>
        <v>#NAME?</v>
      </c>
      <c r="AR115" s="150" t="e">
        <f aca="false">_xlfn.xlookup(AN115,A:A,AH:AH)</f>
        <v>#NAME?</v>
      </c>
      <c r="AS115" s="150" t="e">
        <f aca="false">_xlfn.xlookup(AN115,A:A,S:S)</f>
        <v>#NAME?</v>
      </c>
      <c r="AT115" s="150" t="e">
        <f aca="false">_xlfn.xlookup(AN115,A:A,AE:AE)</f>
        <v>#NAME?</v>
      </c>
      <c r="AU115" s="150" t="e">
        <f aca="false">_xlfn.xlookup(AN115,A:A,AF:AF)</f>
        <v>#NAME?</v>
      </c>
      <c r="BB115" s="246"/>
      <c r="BC115" s="246"/>
      <c r="BD115" s="246"/>
      <c r="BE115" s="246"/>
      <c r="BF115" s="246"/>
      <c r="BG115" s="144" t="e">
        <v>#NAME?</v>
      </c>
      <c r="BH115" s="152" t="e">
        <f aca="false">_xlfn.xlookup(BG115,A:A,F:F)</f>
        <v>#NAME?</v>
      </c>
      <c r="BI115" s="144" t="e">
        <f aca="false">_xlfn.xlookup(BG115,A:A,J:J)</f>
        <v>#NAME?</v>
      </c>
      <c r="BJ115" s="153" t="e">
        <f aca="false">_xlfn.xlookup(BG115,A:A,N:N)+_xlfn.xlookup(BG115,A:A,O:O)</f>
        <v>#NAME?</v>
      </c>
      <c r="BK115" s="153" t="e">
        <f aca="false">_xlfn.xlookup(BG115,A63:A1058,AB63:AB1058)</f>
        <v>#NAME?</v>
      </c>
      <c r="BQ115" s="144" t="str">
        <f aca="false">IF(VALUE(MONTH(C115))&lt;10,YEAR(C115)&amp;"-0"&amp;MONTH(C115),YEAR(C115)&amp;"-"&amp;MONTH(C115))</f>
        <v>2024-10</v>
      </c>
      <c r="BR115" s="144" t="str">
        <f aca="false">J115</f>
        <v>B25-3</v>
      </c>
      <c r="BS115" s="144" t="str">
        <f aca="false">IF(ISNUMBER(FIND("-", BR115)), LEFT(BR115, FIND("-", BR115) - 1), BR115)</f>
        <v>B25</v>
      </c>
      <c r="BT115" s="189" t="n">
        <f aca="false">L115-M115+O115</f>
        <v>10805.615568</v>
      </c>
    </row>
    <row r="116" customFormat="false" ht="16.4" hidden="false" customHeight="false" outlineLevel="0" collapsed="false">
      <c r="A116" s="140" t="s">
        <v>1067</v>
      </c>
      <c r="B116" s="249" t="s">
        <v>893</v>
      </c>
      <c r="C116" s="174" t="n">
        <v>45600</v>
      </c>
      <c r="D116" s="173" t="n">
        <v>245</v>
      </c>
      <c r="E116" s="138" t="s">
        <v>131</v>
      </c>
      <c r="F116" s="138" t="s">
        <v>131</v>
      </c>
      <c r="G116" s="140" t="s">
        <v>1068</v>
      </c>
      <c r="H116" s="173" t="n">
        <v>40136</v>
      </c>
      <c r="I116" s="173" t="n">
        <v>30026</v>
      </c>
      <c r="J116" s="140" t="s">
        <v>905</v>
      </c>
      <c r="K116" s="140"/>
      <c r="L116" s="175" t="n">
        <v>14110.403472</v>
      </c>
      <c r="M116" s="175" t="n">
        <v>1985.28</v>
      </c>
      <c r="N116" s="175" t="n">
        <v>11590.2</v>
      </c>
      <c r="O116" s="175"/>
      <c r="P116" s="175" t="n">
        <v>102.75</v>
      </c>
      <c r="Q116" s="176" t="n">
        <v>0</v>
      </c>
      <c r="R116" s="138" t="n">
        <v>2</v>
      </c>
      <c r="S116" s="177" t="n">
        <v>0</v>
      </c>
      <c r="T116" s="215"/>
      <c r="U116" s="178" t="n">
        <v>0.31697056471568</v>
      </c>
      <c r="V116" s="177" t="n">
        <v>3673.75223916767</v>
      </c>
      <c r="W116" s="177" t="n">
        <v>169.554994999512</v>
      </c>
      <c r="X116" s="179" t="n">
        <v>0.0379098636733865</v>
      </c>
      <c r="Y116" s="177" t="n">
        <v>24.9715138235294</v>
      </c>
      <c r="Z116" s="177" t="n">
        <v>0</v>
      </c>
      <c r="AA116" s="177" t="n">
        <v>120.192307692308</v>
      </c>
      <c r="AB116" s="177" t="n">
        <v>3988.47105568302</v>
      </c>
      <c r="AC116" s="215" t="n">
        <v>0</v>
      </c>
      <c r="AD116" s="215" t="s">
        <v>88</v>
      </c>
      <c r="AE116" s="177" t="n">
        <v>0</v>
      </c>
      <c r="AF116" s="177" t="n">
        <v>-3988.47105568302</v>
      </c>
      <c r="AG116" s="181"/>
      <c r="AH116" s="180" t="n">
        <v>3843.30723416718</v>
      </c>
      <c r="AI116" s="181"/>
      <c r="AJ116" s="181" t="s">
        <v>895</v>
      </c>
      <c r="AK116" s="181" t="s">
        <v>1067</v>
      </c>
      <c r="AL116" s="182" t="n">
        <v>4.26189434869084</v>
      </c>
      <c r="AN116" s="144" t="e">
        <v>#NAME?</v>
      </c>
      <c r="AO116" s="144" t="e">
        <f aca="false">_xlfn.xlookup(AN116,A:A,F:F)</f>
        <v>#NAME?</v>
      </c>
      <c r="AP116" s="144" t="e">
        <f aca="false">_xlfn.xlookup(AN116,A:A,J:J)</f>
        <v>#NAME?</v>
      </c>
      <c r="AQ116" s="144" t="e">
        <f aca="false">_xlfn.xlookup(AN116,A:A,N:N)+_xlfn.xlookup(AN116,A:A,O:O)</f>
        <v>#NAME?</v>
      </c>
      <c r="AR116" s="150" t="e">
        <f aca="false">_xlfn.xlookup(AN116,A:A,AH:AH)</f>
        <v>#NAME?</v>
      </c>
      <c r="AS116" s="150" t="e">
        <f aca="false">_xlfn.xlookup(AN116,A:A,S:S)</f>
        <v>#NAME?</v>
      </c>
      <c r="AT116" s="150" t="e">
        <f aca="false">_xlfn.xlookup(AN116,A:A,AE:AE)</f>
        <v>#NAME?</v>
      </c>
      <c r="AU116" s="150" t="e">
        <f aca="false">_xlfn.xlookup(AN116,A:A,AF:AF)</f>
        <v>#NAME?</v>
      </c>
      <c r="BB116" s="246"/>
      <c r="BC116" s="246"/>
      <c r="BD116" s="246"/>
      <c r="BE116" s="246"/>
      <c r="BF116" s="246"/>
      <c r="BG116" s="144" t="e">
        <v>#NAME?</v>
      </c>
      <c r="BH116" s="152" t="e">
        <f aca="false">_xlfn.xlookup(BG116,A:A,F:F)</f>
        <v>#NAME?</v>
      </c>
      <c r="BI116" s="144" t="e">
        <f aca="false">_xlfn.xlookup(BG116,A:A,J:J)</f>
        <v>#NAME?</v>
      </c>
      <c r="BJ116" s="153" t="e">
        <f aca="false">_xlfn.xlookup(BG116,A:A,N:N)+_xlfn.xlookup(BG116,A:A,O:O)</f>
        <v>#NAME?</v>
      </c>
      <c r="BK116" s="153" t="e">
        <f aca="false">_xlfn.xlookup(BG116,A64:A1059,AB64:AB1059)</f>
        <v>#NAME?</v>
      </c>
      <c r="BT116" s="189"/>
    </row>
    <row r="117" customFormat="false" ht="16.4" hidden="false" customHeight="false" outlineLevel="0" collapsed="false">
      <c r="A117" s="140" t="s">
        <v>1069</v>
      </c>
      <c r="B117" s="249" t="s">
        <v>893</v>
      </c>
      <c r="C117" s="174" t="n">
        <v>45601</v>
      </c>
      <c r="D117" s="173" t="n">
        <v>246</v>
      </c>
      <c r="E117" s="138" t="s">
        <v>96</v>
      </c>
      <c r="F117" s="138" t="s">
        <v>582</v>
      </c>
      <c r="G117" s="140" t="n">
        <v>1942</v>
      </c>
      <c r="H117" s="173" t="n">
        <v>40156</v>
      </c>
      <c r="I117" s="173" t="n">
        <v>30026</v>
      </c>
      <c r="J117" s="140" t="s">
        <v>905</v>
      </c>
      <c r="K117" s="140"/>
      <c r="L117" s="175" t="n">
        <v>13825.607664</v>
      </c>
      <c r="M117" s="175" t="n">
        <v>6505.488</v>
      </c>
      <c r="N117" s="175" t="n">
        <v>7224</v>
      </c>
      <c r="O117" s="175"/>
      <c r="P117" s="175" t="n">
        <v>60.2</v>
      </c>
      <c r="Q117" s="176" t="n">
        <v>2</v>
      </c>
      <c r="R117" s="138" t="n">
        <v>2</v>
      </c>
      <c r="S117" s="177" t="n">
        <v>0</v>
      </c>
      <c r="T117" s="215"/>
      <c r="U117" s="178" t="n">
        <v>0.31697056471568</v>
      </c>
      <c r="V117" s="177" t="n">
        <v>2289.79535950607</v>
      </c>
      <c r="W117" s="177" t="n">
        <v>30.4671041783619</v>
      </c>
      <c r="X117" s="179" t="n">
        <v>0.00695229217666028</v>
      </c>
      <c r="Y117" s="177" t="n">
        <v>14.6305122352941</v>
      </c>
      <c r="Z117" s="177" t="n">
        <v>43.4</v>
      </c>
      <c r="AA117" s="177" t="n">
        <v>120.192307692308</v>
      </c>
      <c r="AB117" s="177" t="n">
        <v>2498.48528361203</v>
      </c>
      <c r="AC117" s="215" t="n">
        <v>0.466</v>
      </c>
      <c r="AD117" s="215" t="s">
        <v>88</v>
      </c>
      <c r="AE117" s="177" t="n">
        <v>3366.384</v>
      </c>
      <c r="AF117" s="177" t="n">
        <v>867.898716387965</v>
      </c>
      <c r="AG117" s="181" t="n">
        <v>0.25781334404749</v>
      </c>
      <c r="AH117" s="180" t="n">
        <v>2320.26246368443</v>
      </c>
      <c r="AI117" s="181" t="n">
        <v>0.689244739662627</v>
      </c>
      <c r="AJ117" s="181"/>
      <c r="AK117" s="181" t="s">
        <v>1069</v>
      </c>
      <c r="AL117" s="182" t="n">
        <v>0.34585898167387</v>
      </c>
      <c r="AN117" s="144" t="e">
        <v>#NAME?</v>
      </c>
      <c r="AO117" s="144" t="e">
        <f aca="false">_xlfn.xlookup(AN117,A:A,F:F)</f>
        <v>#NAME?</v>
      </c>
      <c r="AP117" s="144" t="e">
        <f aca="false">_xlfn.xlookup(AN117,A:A,J:J)</f>
        <v>#NAME?</v>
      </c>
      <c r="AQ117" s="144" t="e">
        <f aca="false">_xlfn.xlookup(AN117,A:A,N:N)+_xlfn.xlookup(AN117,A:A,O:O)</f>
        <v>#NAME?</v>
      </c>
      <c r="AR117" s="150" t="e">
        <f aca="false">_xlfn.xlookup(AN117,A:A,AH:AH)</f>
        <v>#NAME?</v>
      </c>
      <c r="AS117" s="150" t="e">
        <f aca="false">_xlfn.xlookup(AN117,A:A,S:S)</f>
        <v>#NAME?</v>
      </c>
      <c r="AT117" s="150" t="e">
        <f aca="false">_xlfn.xlookup(AN117,A:A,AE:AE)</f>
        <v>#NAME?</v>
      </c>
      <c r="AU117" s="150" t="e">
        <f aca="false">_xlfn.xlookup(AN117,A:A,AF:AF)</f>
        <v>#NAME?</v>
      </c>
      <c r="BB117" s="246"/>
      <c r="BC117" s="246"/>
      <c r="BD117" s="246"/>
      <c r="BE117" s="246"/>
      <c r="BF117" s="246"/>
      <c r="BG117" s="144" t="e">
        <v>#NAME?</v>
      </c>
      <c r="BH117" s="152" t="e">
        <f aca="false">_xlfn.xlookup(BG117,A:A,F:F)</f>
        <v>#NAME?</v>
      </c>
      <c r="BI117" s="144" t="e">
        <f aca="false">_xlfn.xlookup(BG117,A:A,J:J)</f>
        <v>#NAME?</v>
      </c>
      <c r="BJ117" s="153" t="e">
        <f aca="false">_xlfn.xlookup(BG117,A:A,N:N)+_xlfn.xlookup(BG117,A:A,O:O)</f>
        <v>#NAME?</v>
      </c>
      <c r="BK117" s="153" t="e">
        <f aca="false">_xlfn.xlookup(BG117,A65:A1060,AB65:AB1060)</f>
        <v>#NAME?</v>
      </c>
      <c r="BQ117" s="144" t="str">
        <f aca="false">IF(VALUE(MONTH(C117))&lt;10,YEAR(C117)&amp;"-0"&amp;MONTH(C117),YEAR(C117)&amp;"-"&amp;MONTH(C117))</f>
        <v>2024-11</v>
      </c>
      <c r="BR117" s="144" t="str">
        <f aca="false">J117</f>
        <v>D11-2</v>
      </c>
      <c r="BS117" s="144" t="str">
        <f aca="false">IF(ISNUMBER(FIND("-", BR117)), LEFT(BR117, FIND("-", BR117) - 1), BR117)</f>
        <v>D11</v>
      </c>
      <c r="BT117" s="189" t="n">
        <f aca="false">L117-M117+O117</f>
        <v>7320.119664</v>
      </c>
    </row>
    <row r="118" customFormat="false" ht="16.4" hidden="false" customHeight="false" outlineLevel="0" collapsed="false">
      <c r="A118" s="140" t="s">
        <v>1070</v>
      </c>
      <c r="B118" s="249" t="s">
        <v>893</v>
      </c>
      <c r="C118" s="174" t="n">
        <v>45601</v>
      </c>
      <c r="D118" s="173" t="n">
        <v>247</v>
      </c>
      <c r="E118" s="138" t="s">
        <v>96</v>
      </c>
      <c r="F118" s="138" t="s">
        <v>582</v>
      </c>
      <c r="G118" s="140" t="n">
        <v>1944</v>
      </c>
      <c r="H118" s="173" t="n">
        <v>40157</v>
      </c>
      <c r="I118" s="173" t="n">
        <v>30026</v>
      </c>
      <c r="J118" s="140" t="s">
        <v>905</v>
      </c>
      <c r="K118" s="140"/>
      <c r="L118" s="175" t="n">
        <v>6505.488</v>
      </c>
      <c r="M118" s="175" t="n">
        <v>2963.6112</v>
      </c>
      <c r="N118" s="175" t="n">
        <v>3295.575</v>
      </c>
      <c r="O118" s="175"/>
      <c r="P118" s="175" t="n">
        <v>60</v>
      </c>
      <c r="Q118" s="176" t="n">
        <v>1</v>
      </c>
      <c r="R118" s="138" t="n">
        <v>5.5</v>
      </c>
      <c r="S118" s="177" t="n">
        <v>0</v>
      </c>
      <c r="T118" s="215"/>
      <c r="U118" s="178" t="n">
        <v>0.31697056471568</v>
      </c>
      <c r="V118" s="177" t="n">
        <v>1044.60026881288</v>
      </c>
      <c r="W118" s="177" t="n">
        <v>78.0704206364888</v>
      </c>
      <c r="X118" s="179" t="n">
        <v>0.037860618603862</v>
      </c>
      <c r="Y118" s="177" t="n">
        <v>14.5819058823529</v>
      </c>
      <c r="Z118" s="177" t="n">
        <v>21.7</v>
      </c>
      <c r="AA118" s="177" t="n">
        <v>330.528846153846</v>
      </c>
      <c r="AB118" s="177" t="n">
        <v>1489.48144148556</v>
      </c>
      <c r="AC118" s="215" t="n">
        <v>0.466</v>
      </c>
      <c r="AD118" s="215" t="s">
        <v>88</v>
      </c>
      <c r="AE118" s="177" t="n">
        <v>1535.73795</v>
      </c>
      <c r="AF118" s="177" t="n">
        <v>46.2565085144356</v>
      </c>
      <c r="AG118" s="181" t="n">
        <v>0.0301200530431872</v>
      </c>
      <c r="AH118" s="180" t="n">
        <v>1122.67068944936</v>
      </c>
      <c r="AI118" s="181" t="n">
        <v>0.731030114512287</v>
      </c>
      <c r="AJ118" s="181"/>
      <c r="AK118" s="181" t="s">
        <v>1070</v>
      </c>
      <c r="AL118" s="182" t="n">
        <v>0.451964055281875</v>
      </c>
      <c r="AN118" s="144" t="e">
        <v>#NAME?</v>
      </c>
      <c r="AO118" s="144" t="e">
        <f aca="false">_xlfn.xlookup(AN118,A:A,F:F)</f>
        <v>#NAME?</v>
      </c>
      <c r="AP118" s="144" t="e">
        <f aca="false">_xlfn.xlookup(AN118,A:A,J:J)</f>
        <v>#NAME?</v>
      </c>
      <c r="AQ118" s="144" t="e">
        <f aca="false">_xlfn.xlookup(AN118,A:A,N:N)+_xlfn.xlookup(AN118,A:A,O:O)</f>
        <v>#NAME?</v>
      </c>
      <c r="AR118" s="150" t="e">
        <f aca="false">_xlfn.xlookup(AN118,A:A,AH:AH)</f>
        <v>#NAME?</v>
      </c>
      <c r="AS118" s="150" t="e">
        <f aca="false">_xlfn.xlookup(AN118,A:A,S:S)</f>
        <v>#NAME?</v>
      </c>
      <c r="AT118" s="150" t="e">
        <f aca="false">_xlfn.xlookup(AN118,A:A,AE:AE)</f>
        <v>#NAME?</v>
      </c>
      <c r="AU118" s="150" t="e">
        <f aca="false">_xlfn.xlookup(AN118,A:A,AF:AF)</f>
        <v>#NAME?</v>
      </c>
      <c r="BB118" s="246"/>
      <c r="BC118" s="246"/>
      <c r="BD118" s="246"/>
      <c r="BE118" s="246"/>
      <c r="BF118" s="246"/>
      <c r="BG118" s="144" t="e">
        <v>#NAME?</v>
      </c>
      <c r="BH118" s="152" t="e">
        <f aca="false">_xlfn.xlookup(BG118,A:A,F:F)</f>
        <v>#NAME?</v>
      </c>
      <c r="BI118" s="144" t="e">
        <f aca="false">_xlfn.xlookup(BG118,A:A,J:J)</f>
        <v>#NAME?</v>
      </c>
      <c r="BJ118" s="153" t="e">
        <f aca="false">_xlfn.xlookup(BG118,A:A,N:N)+_xlfn.xlookup(BG118,A:A,O:O)</f>
        <v>#NAME?</v>
      </c>
      <c r="BK118" s="153" t="e">
        <f aca="false">_xlfn.xlookup(BG118,A66:A1061,AB66:AB1061)</f>
        <v>#NAME?</v>
      </c>
      <c r="BQ118" s="144" t="str">
        <f aca="false">IF(VALUE(MONTH(C118))&lt;10,YEAR(C118)&amp;"-0"&amp;MONTH(C118),YEAR(C118)&amp;"-"&amp;MONTH(C118))</f>
        <v>2024-11</v>
      </c>
      <c r="BR118" s="144" t="str">
        <f aca="false">J118</f>
        <v>D11-2</v>
      </c>
      <c r="BS118" s="144" t="str">
        <f aca="false">IF(ISNUMBER(FIND("-", BR118)), LEFT(BR118, FIND("-", BR118) - 1), BR118)</f>
        <v>D11</v>
      </c>
      <c r="BT118" s="189" t="n">
        <f aca="false">L118-M118+O118</f>
        <v>3541.8768</v>
      </c>
    </row>
    <row r="119" customFormat="false" ht="16.4" hidden="false" customHeight="false" outlineLevel="0" collapsed="false">
      <c r="A119" s="140" t="s">
        <v>1071</v>
      </c>
      <c r="B119" s="249" t="s">
        <v>893</v>
      </c>
      <c r="C119" s="174" t="n">
        <v>45618</v>
      </c>
      <c r="D119" s="173" t="n">
        <v>248</v>
      </c>
      <c r="E119" s="138" t="s">
        <v>221</v>
      </c>
      <c r="F119" s="138" t="s">
        <v>935</v>
      </c>
      <c r="G119" s="140" t="s">
        <v>208</v>
      </c>
      <c r="H119" s="173" t="n">
        <v>40160</v>
      </c>
      <c r="I119" s="173" t="n">
        <v>30026</v>
      </c>
      <c r="J119" s="140" t="s">
        <v>905</v>
      </c>
      <c r="K119" s="140"/>
      <c r="L119" s="175" t="n">
        <v>929.28</v>
      </c>
      <c r="M119" s="175" t="n">
        <v>654.72</v>
      </c>
      <c r="N119" s="175" t="n">
        <v>213.84</v>
      </c>
      <c r="O119" s="175"/>
      <c r="P119" s="175" t="n">
        <v>7.128</v>
      </c>
      <c r="Q119" s="176" t="n">
        <v>0</v>
      </c>
      <c r="R119" s="138" t="n">
        <v>1</v>
      </c>
      <c r="S119" s="177" t="n">
        <v>0</v>
      </c>
      <c r="T119" s="215"/>
      <c r="U119" s="178" t="n">
        <v>0.31697056471568</v>
      </c>
      <c r="V119" s="177" t="n">
        <v>67.780985558801</v>
      </c>
      <c r="W119" s="177" t="n">
        <v>19.2464526895361</v>
      </c>
      <c r="X119" s="179" t="n">
        <v>0.0653409090909091</v>
      </c>
      <c r="Y119" s="177" t="n">
        <v>1.73233041882353</v>
      </c>
      <c r="Z119" s="177" t="n">
        <v>0</v>
      </c>
      <c r="AA119" s="177" t="n">
        <v>60.0961538461539</v>
      </c>
      <c r="AB119" s="177" t="n">
        <v>148.855922513314</v>
      </c>
      <c r="AC119" s="215" t="n">
        <v>0</v>
      </c>
      <c r="AD119" s="215" t="s">
        <v>88</v>
      </c>
      <c r="AE119" s="177" t="n">
        <v>0</v>
      </c>
      <c r="AF119" s="177" t="n">
        <v>-148.855922513314</v>
      </c>
      <c r="AG119" s="181"/>
      <c r="AH119" s="180" t="n">
        <v>87.0274382483371</v>
      </c>
      <c r="AI119" s="181"/>
      <c r="AJ119" s="181" t="s">
        <v>895</v>
      </c>
      <c r="AK119" s="181" t="s">
        <v>1071</v>
      </c>
      <c r="AL119" s="182" t="n">
        <v>0.696108878195447</v>
      </c>
      <c r="AN119" s="144" t="e">
        <v>#NAME?</v>
      </c>
      <c r="AO119" s="144" t="e">
        <f aca="false">_xlfn.xlookup(AN119,A:A,F:F)</f>
        <v>#NAME?</v>
      </c>
      <c r="AP119" s="144" t="e">
        <f aca="false">_xlfn.xlookup(AN119,A:A,J:J)</f>
        <v>#NAME?</v>
      </c>
      <c r="AQ119" s="144" t="e">
        <f aca="false">_xlfn.xlookup(AN119,A:A,N:N)+_xlfn.xlookup(AN119,A:A,O:O)</f>
        <v>#NAME?</v>
      </c>
      <c r="AR119" s="150" t="e">
        <f aca="false">_xlfn.xlookup(AN119,A:A,AH:AH)</f>
        <v>#NAME?</v>
      </c>
      <c r="AS119" s="150" t="e">
        <f aca="false">_xlfn.xlookup(AN119,A:A,S:S)</f>
        <v>#NAME?</v>
      </c>
      <c r="AT119" s="150" t="e">
        <f aca="false">_xlfn.xlookup(AN119,A:A,AE:AE)</f>
        <v>#NAME?</v>
      </c>
      <c r="AU119" s="150" t="e">
        <f aca="false">_xlfn.xlookup(AN119,A:A,AF:AF)</f>
        <v>#NAME?</v>
      </c>
      <c r="BB119" s="246"/>
      <c r="BC119" s="246"/>
      <c r="BD119" s="246"/>
      <c r="BE119" s="246"/>
      <c r="BF119" s="246"/>
      <c r="BG119" s="144" t="e">
        <v>#NAME?</v>
      </c>
      <c r="BH119" s="152" t="e">
        <f aca="false">_xlfn.xlookup(BG119,A:A,F:F)</f>
        <v>#NAME?</v>
      </c>
      <c r="BI119" s="144" t="e">
        <f aca="false">_xlfn.xlookup(BG119,A:A,J:J)</f>
        <v>#NAME?</v>
      </c>
      <c r="BJ119" s="153" t="e">
        <f aca="false">_xlfn.xlookup(BG119,A:A,N:N)+_xlfn.xlookup(BG119,A:A,O:O)</f>
        <v>#NAME?</v>
      </c>
      <c r="BK119" s="153" t="e">
        <f aca="false">_xlfn.xlookup(BG119,A67:A1062,AB67:AB1062)</f>
        <v>#NAME?</v>
      </c>
      <c r="BQ119" s="144" t="str">
        <f aca="false">IF(VALUE(MONTH(C119))&lt;10,YEAR(C119)&amp;"-0"&amp;MONTH(C119),YEAR(C119)&amp;"-"&amp;MONTH(C119))</f>
        <v>2024-11</v>
      </c>
      <c r="BR119" s="144" t="str">
        <f aca="false">J119</f>
        <v>D11-2</v>
      </c>
      <c r="BS119" s="144" t="str">
        <f aca="false">IF(ISNUMBER(FIND("-", BR119)), LEFT(BR119, FIND("-", BR119) - 1), BR119)</f>
        <v>D11</v>
      </c>
      <c r="BT119" s="189" t="n">
        <f aca="false">L119-M119+O119</f>
        <v>274.56</v>
      </c>
    </row>
    <row r="120" customFormat="false" ht="16.4" hidden="false" customHeight="false" outlineLevel="0" collapsed="false">
      <c r="A120" s="140" t="s">
        <v>1072</v>
      </c>
      <c r="B120" s="249" t="s">
        <v>893</v>
      </c>
      <c r="C120" s="174" t="n">
        <v>45721</v>
      </c>
      <c r="D120" s="173" t="n">
        <v>249</v>
      </c>
      <c r="E120" s="138" t="s">
        <v>109</v>
      </c>
      <c r="F120" s="138" t="s">
        <v>109</v>
      </c>
      <c r="G120" s="140" t="s">
        <v>225</v>
      </c>
      <c r="H120" s="173" t="n">
        <v>0</v>
      </c>
      <c r="I120" s="173" t="n">
        <v>0</v>
      </c>
      <c r="J120" s="140" t="s">
        <v>1041</v>
      </c>
      <c r="K120" s="140"/>
      <c r="L120" s="175" t="n">
        <v>1</v>
      </c>
      <c r="M120" s="175"/>
      <c r="N120" s="175"/>
      <c r="O120" s="175"/>
      <c r="P120" s="175"/>
      <c r="Q120" s="176"/>
      <c r="R120" s="138"/>
      <c r="S120" s="177" t="n">
        <v>91.09</v>
      </c>
      <c r="T120" s="215"/>
      <c r="U120" s="178"/>
      <c r="V120" s="177" t="n">
        <v>3591.86</v>
      </c>
      <c r="W120" s="177"/>
      <c r="X120" s="179"/>
      <c r="Y120" s="177"/>
      <c r="Z120" s="177"/>
      <c r="AA120" s="177"/>
      <c r="AB120" s="177" t="n">
        <v>3682.95</v>
      </c>
      <c r="AC120" s="215"/>
      <c r="AD120" s="215"/>
      <c r="AE120" s="177" t="n">
        <v>7560</v>
      </c>
      <c r="AF120" s="177" t="n">
        <v>3877.05</v>
      </c>
      <c r="AG120" s="181" t="n">
        <v>0.512837301587302</v>
      </c>
      <c r="AH120" s="180"/>
      <c r="AI120" s="181"/>
      <c r="AJ120" s="181"/>
      <c r="AK120" s="181"/>
      <c r="AL120" s="182"/>
      <c r="AN120" s="144" t="e">
        <v>#NAME?</v>
      </c>
      <c r="AO120" s="144" t="e">
        <f aca="false">_xlfn.xlookup(AN120,A:A,F:F)</f>
        <v>#NAME?</v>
      </c>
      <c r="AP120" s="144" t="e">
        <f aca="false">_xlfn.xlookup(AN120,A:A,J:J)</f>
        <v>#NAME?</v>
      </c>
      <c r="AQ120" s="144" t="e">
        <f aca="false">_xlfn.xlookup(AN120,A:A,N:N)+_xlfn.xlookup(AN120,A:A,O:O)</f>
        <v>#NAME?</v>
      </c>
      <c r="AR120" s="150" t="e">
        <f aca="false">_xlfn.xlookup(AN120,A:A,AH:AH)</f>
        <v>#NAME?</v>
      </c>
      <c r="AS120" s="150" t="e">
        <f aca="false">_xlfn.xlookup(AN120,A:A,S:S)</f>
        <v>#NAME?</v>
      </c>
      <c r="AT120" s="150" t="e">
        <f aca="false">_xlfn.xlookup(AN120,A:A,AE:AE)</f>
        <v>#NAME?</v>
      </c>
      <c r="AU120" s="150" t="e">
        <f aca="false">_xlfn.xlookup(AN120,A:A,AF:AF)</f>
        <v>#NAME?</v>
      </c>
      <c r="BB120" s="246"/>
      <c r="BC120" s="246"/>
      <c r="BD120" s="246"/>
      <c r="BE120" s="246"/>
      <c r="BF120" s="246"/>
      <c r="BG120" s="144" t="e">
        <v>#NAME?</v>
      </c>
      <c r="BH120" s="152" t="e">
        <f aca="false">_xlfn.xlookup(BG120,A:A,F:F)</f>
        <v>#NAME?</v>
      </c>
      <c r="BI120" s="144" t="e">
        <f aca="false">_xlfn.xlookup(BG120,A:A,J:J)</f>
        <v>#NAME?</v>
      </c>
      <c r="BJ120" s="153" t="e">
        <f aca="false">_xlfn.xlookup(BG120,A:A,N:N)+_xlfn.xlookup(BG120,A:A,O:O)</f>
        <v>#NAME?</v>
      </c>
      <c r="BK120" s="153" t="e">
        <f aca="false">_xlfn.xlookup(BG120,A68:A1063,AB68:AB1063)</f>
        <v>#NAME?</v>
      </c>
      <c r="BT120" s="189"/>
    </row>
    <row r="121" customFormat="false" ht="16.4" hidden="false" customHeight="false" outlineLevel="0" collapsed="false">
      <c r="A121" s="140" t="s">
        <v>1073</v>
      </c>
      <c r="B121" s="249" t="s">
        <v>893</v>
      </c>
      <c r="C121" s="174" t="n">
        <v>45601</v>
      </c>
      <c r="D121" s="173" t="n">
        <v>245</v>
      </c>
      <c r="E121" s="138" t="s">
        <v>1011</v>
      </c>
      <c r="F121" s="138" t="s">
        <v>1011</v>
      </c>
      <c r="G121" s="140" t="s">
        <v>214</v>
      </c>
      <c r="H121" s="173" t="n">
        <v>0</v>
      </c>
      <c r="I121" s="173" t="n">
        <v>0</v>
      </c>
      <c r="J121" s="140" t="s">
        <v>1074</v>
      </c>
      <c r="K121" s="140"/>
      <c r="L121" s="253"/>
      <c r="M121" s="253"/>
      <c r="N121" s="253"/>
      <c r="O121" s="253"/>
      <c r="P121" s="253"/>
      <c r="Q121" s="254"/>
      <c r="R121" s="255"/>
      <c r="S121" s="256" t="n">
        <v>0</v>
      </c>
      <c r="T121" s="257"/>
      <c r="U121" s="178" t="n">
        <v>0</v>
      </c>
      <c r="V121" s="177" t="n">
        <v>0</v>
      </c>
      <c r="W121" s="177" t="n">
        <v>0</v>
      </c>
      <c r="X121" s="179"/>
      <c r="Y121" s="177" t="n">
        <v>0</v>
      </c>
      <c r="Z121" s="177" t="n">
        <v>0</v>
      </c>
      <c r="AA121" s="177" t="n">
        <v>0</v>
      </c>
      <c r="AB121" s="177" t="n">
        <v>0</v>
      </c>
      <c r="AC121" s="215"/>
      <c r="AD121" s="215"/>
      <c r="AE121" s="177" t="n">
        <v>0</v>
      </c>
      <c r="AF121" s="177" t="n">
        <v>0</v>
      </c>
      <c r="AG121" s="181"/>
      <c r="AH121" s="180" t="n">
        <v>0</v>
      </c>
      <c r="AI121" s="181"/>
      <c r="AJ121" s="181" t="s">
        <v>895</v>
      </c>
      <c r="AK121" s="181" t="s">
        <v>1073</v>
      </c>
      <c r="AL121" s="182"/>
      <c r="AN121" s="144" t="e">
        <v>#NAME?</v>
      </c>
      <c r="AO121" s="144" t="e">
        <f aca="false">_xlfn.xlookup(AN121,A:A,F:F)</f>
        <v>#NAME?</v>
      </c>
      <c r="AP121" s="144" t="e">
        <f aca="false">_xlfn.xlookup(AN121,A:A,J:J)</f>
        <v>#NAME?</v>
      </c>
      <c r="AQ121" s="144" t="e">
        <f aca="false">_xlfn.xlookup(AN121,A:A,N:N)+_xlfn.xlookup(AN121,A:A,O:O)</f>
        <v>#NAME?</v>
      </c>
      <c r="AR121" s="150" t="e">
        <f aca="false">_xlfn.xlookup(AN121,A:A,AH:AH)</f>
        <v>#NAME?</v>
      </c>
      <c r="AS121" s="150" t="e">
        <f aca="false">_xlfn.xlookup(AN121,A:A,S:S)</f>
        <v>#NAME?</v>
      </c>
      <c r="AT121" s="150" t="e">
        <f aca="false">_xlfn.xlookup(AN121,A:A,AE:AE)</f>
        <v>#NAME?</v>
      </c>
      <c r="AU121" s="150" t="e">
        <f aca="false">_xlfn.xlookup(AN121,A:A,AF:AF)</f>
        <v>#NAME?</v>
      </c>
      <c r="BB121" s="246"/>
      <c r="BC121" s="246"/>
      <c r="BD121" s="246"/>
      <c r="BE121" s="246"/>
      <c r="BF121" s="246"/>
      <c r="BG121" s="144" t="e">
        <v>#NAME?</v>
      </c>
      <c r="BH121" s="152" t="e">
        <f aca="false">_xlfn.xlookup(BG121,A:A,F:F)</f>
        <v>#NAME?</v>
      </c>
      <c r="BI121" s="144" t="e">
        <f aca="false">_xlfn.xlookup(BG121,A:A,J:J)</f>
        <v>#NAME?</v>
      </c>
      <c r="BJ121" s="153" t="e">
        <f aca="false">_xlfn.xlookup(BG121,A:A,N:N)+_xlfn.xlookup(BG121,A:A,O:O)</f>
        <v>#NAME?</v>
      </c>
      <c r="BK121" s="153" t="e">
        <f aca="false">_xlfn.xlookup(BG121,A69:A1064,AB69:AB1064)</f>
        <v>#NAME?</v>
      </c>
      <c r="BT121" s="189"/>
    </row>
    <row r="122" customFormat="false" ht="16.4" hidden="false" customHeight="false" outlineLevel="0" collapsed="false">
      <c r="A122" s="140" t="s">
        <v>1075</v>
      </c>
      <c r="B122" s="249" t="s">
        <v>893</v>
      </c>
      <c r="C122" s="174" t="n">
        <v>45607</v>
      </c>
      <c r="D122" s="173" t="n">
        <v>0</v>
      </c>
      <c r="E122" s="138" t="s">
        <v>131</v>
      </c>
      <c r="F122" s="138" t="s">
        <v>131</v>
      </c>
      <c r="G122" s="140" t="s">
        <v>1011</v>
      </c>
      <c r="H122" s="173" t="n">
        <v>40166</v>
      </c>
      <c r="I122" s="173" t="n">
        <v>30026</v>
      </c>
      <c r="J122" s="140" t="s">
        <v>905</v>
      </c>
      <c r="K122" s="140"/>
      <c r="L122" s="175" t="n">
        <v>13754.770128</v>
      </c>
      <c r="M122" s="175" t="n">
        <v>7797.8208</v>
      </c>
      <c r="N122" s="175" t="n">
        <v>5865.3</v>
      </c>
      <c r="O122" s="175"/>
      <c r="P122" s="175" t="n">
        <v>51.45</v>
      </c>
      <c r="Q122" s="176" t="n">
        <v>1</v>
      </c>
      <c r="R122" s="138" t="n">
        <v>0.75</v>
      </c>
      <c r="S122" s="177" t="n">
        <v>0</v>
      </c>
      <c r="T122" s="215"/>
      <c r="U122" s="178" t="n">
        <v>0.31697056471568</v>
      </c>
      <c r="V122" s="177" t="n">
        <v>1859.12745322688</v>
      </c>
      <c r="W122" s="177" t="n">
        <v>29.050139251973</v>
      </c>
      <c r="X122" s="179" t="n">
        <v>0.00666309412277525</v>
      </c>
      <c r="Y122" s="177" t="n">
        <v>12.5039842941176</v>
      </c>
      <c r="Z122" s="177" t="n">
        <v>21.7</v>
      </c>
      <c r="AA122" s="177" t="n">
        <v>45.0721153846154</v>
      </c>
      <c r="AB122" s="177" t="n">
        <v>1967.45369215758</v>
      </c>
      <c r="AC122" s="215" t="n">
        <v>0</v>
      </c>
      <c r="AD122" s="215" t="s">
        <v>88</v>
      </c>
      <c r="AE122" s="177" t="n">
        <v>0</v>
      </c>
      <c r="AF122" s="177" t="n">
        <v>-1967.45369215758</v>
      </c>
      <c r="AG122" s="181"/>
      <c r="AH122" s="180" t="n">
        <v>1888.17759247885</v>
      </c>
      <c r="AI122" s="181"/>
      <c r="AJ122" s="181" t="s">
        <v>895</v>
      </c>
      <c r="AK122" s="181" t="s">
        <v>1075</v>
      </c>
      <c r="AL122" s="182" t="n">
        <v>0.811420409553924</v>
      </c>
      <c r="AN122" s="144" t="e">
        <v>#NAME?</v>
      </c>
      <c r="AO122" s="144" t="e">
        <f aca="false">_xlfn.xlookup(AN122,A:A,F:F)</f>
        <v>#NAME?</v>
      </c>
      <c r="AP122" s="144" t="e">
        <f aca="false">_xlfn.xlookup(AN122,A:A,J:J)</f>
        <v>#NAME?</v>
      </c>
      <c r="AQ122" s="144" t="e">
        <f aca="false">_xlfn.xlookup(AN122,A:A,N:N)+_xlfn.xlookup(AN122,A:A,O:O)</f>
        <v>#NAME?</v>
      </c>
      <c r="AR122" s="150" t="e">
        <f aca="false">_xlfn.xlookup(AN122,A:A,AH:AH)</f>
        <v>#NAME?</v>
      </c>
      <c r="AS122" s="150" t="e">
        <f aca="false">_xlfn.xlookup(AN122,A:A,S:S)</f>
        <v>#NAME?</v>
      </c>
      <c r="AT122" s="150" t="e">
        <f aca="false">_xlfn.xlookup(AN122,A:A,AE:AE)</f>
        <v>#NAME?</v>
      </c>
      <c r="AU122" s="150" t="e">
        <f aca="false">_xlfn.xlookup(AN122,A:A,AF:AF)</f>
        <v>#NAME?</v>
      </c>
      <c r="BB122" s="246"/>
      <c r="BC122" s="246"/>
      <c r="BD122" s="246"/>
      <c r="BE122" s="246"/>
      <c r="BF122" s="246"/>
      <c r="BG122" s="144" t="e">
        <v>#NAME?</v>
      </c>
      <c r="BH122" s="152" t="e">
        <f aca="false">_xlfn.xlookup(BG122,A:A,F:F)</f>
        <v>#NAME?</v>
      </c>
      <c r="BI122" s="144" t="e">
        <f aca="false">_xlfn.xlookup(BG122,A:A,J:J)</f>
        <v>#NAME?</v>
      </c>
      <c r="BJ122" s="153" t="e">
        <f aca="false">_xlfn.xlookup(BG122,A:A,N:N)+_xlfn.xlookup(BG122,A:A,O:O)</f>
        <v>#NAME?</v>
      </c>
      <c r="BK122" s="153" t="e">
        <f aca="false">_xlfn.xlookup(BG122,A70:A1065,AB70:AB1065)</f>
        <v>#NAME?</v>
      </c>
      <c r="BT122" s="189"/>
    </row>
    <row r="123" customFormat="false" ht="16.4" hidden="false" customHeight="false" outlineLevel="0" collapsed="false">
      <c r="A123" s="140" t="s">
        <v>1076</v>
      </c>
      <c r="B123" s="249" t="s">
        <v>893</v>
      </c>
      <c r="C123" s="174" t="n">
        <v>45608</v>
      </c>
      <c r="D123" s="173" t="n">
        <v>0</v>
      </c>
      <c r="E123" s="138" t="s">
        <v>131</v>
      </c>
      <c r="F123" s="138" t="s">
        <v>131</v>
      </c>
      <c r="G123" s="140" t="s">
        <v>1011</v>
      </c>
      <c r="H123" s="173" t="n">
        <v>40167</v>
      </c>
      <c r="I123" s="173" t="n">
        <v>30012</v>
      </c>
      <c r="J123" s="140" t="s">
        <v>908</v>
      </c>
      <c r="K123" s="140"/>
      <c r="L123" s="175" t="n">
        <v>14013.75</v>
      </c>
      <c r="M123" s="175" t="n">
        <v>1983.744</v>
      </c>
      <c r="N123" s="175" t="n">
        <v>11715.435</v>
      </c>
      <c r="O123" s="175"/>
      <c r="P123" s="175" t="n">
        <v>154.275</v>
      </c>
      <c r="Q123" s="176" t="n">
        <v>1</v>
      </c>
      <c r="R123" s="138" t="n">
        <v>3</v>
      </c>
      <c r="S123" s="177" t="n">
        <v>0</v>
      </c>
      <c r="T123" s="215"/>
      <c r="U123" s="178" t="n">
        <v>0.327974576595346</v>
      </c>
      <c r="V123" s="177" t="n">
        <v>3842.3648337553</v>
      </c>
      <c r="W123" s="177" t="n">
        <v>103.171290534174</v>
      </c>
      <c r="X123" s="179" t="n">
        <v>0.0224473106770135</v>
      </c>
      <c r="Y123" s="177" t="n">
        <v>37.4937255</v>
      </c>
      <c r="Z123" s="177" t="n">
        <v>21.7</v>
      </c>
      <c r="AA123" s="177" t="n">
        <v>180.288461538462</v>
      </c>
      <c r="AB123" s="177" t="n">
        <v>4185.01831132794</v>
      </c>
      <c r="AC123" s="215" t="n">
        <v>0</v>
      </c>
      <c r="AD123" s="215" t="s">
        <v>88</v>
      </c>
      <c r="AE123" s="177" t="n">
        <v>0</v>
      </c>
      <c r="AF123" s="177" t="n">
        <v>-4185.01831132794</v>
      </c>
      <c r="AG123" s="181"/>
      <c r="AH123" s="180" t="n">
        <v>3945.53612428947</v>
      </c>
      <c r="AI123" s="181"/>
      <c r="AJ123" s="181" t="s">
        <v>895</v>
      </c>
      <c r="AK123" s="181" t="s">
        <v>1076</v>
      </c>
      <c r="AL123" s="182" t="n">
        <v>4.42656513849114</v>
      </c>
      <c r="AN123" s="144" t="e">
        <v>#NAME?</v>
      </c>
      <c r="AO123" s="144" t="e">
        <f aca="false">_xlfn.xlookup(AN123,A:A,F:F)</f>
        <v>#NAME?</v>
      </c>
      <c r="AP123" s="144" t="e">
        <f aca="false">_xlfn.xlookup(AN123,A:A,J:J)</f>
        <v>#NAME?</v>
      </c>
      <c r="AQ123" s="144" t="e">
        <f aca="false">_xlfn.xlookup(AN123,A:A,N:N)+_xlfn.xlookup(AN123,A:A,O:O)</f>
        <v>#NAME?</v>
      </c>
      <c r="AR123" s="150" t="e">
        <f aca="false">_xlfn.xlookup(AN123,A:A,AH:AH)</f>
        <v>#NAME?</v>
      </c>
      <c r="AS123" s="150" t="e">
        <f aca="false">_xlfn.xlookup(AN123,A:A,S:S)</f>
        <v>#NAME?</v>
      </c>
      <c r="AT123" s="150" t="e">
        <f aca="false">_xlfn.xlookup(AN123,A:A,AE:AE)</f>
        <v>#NAME?</v>
      </c>
      <c r="AU123" s="150" t="e">
        <f aca="false">_xlfn.xlookup(AN123,A:A,AF:AF)</f>
        <v>#NAME?</v>
      </c>
      <c r="BB123" s="246"/>
      <c r="BC123" s="246"/>
      <c r="BD123" s="246"/>
      <c r="BE123" s="246"/>
      <c r="BF123" s="246"/>
      <c r="BG123" s="144" t="e">
        <v>#NAME?</v>
      </c>
      <c r="BH123" s="152" t="e">
        <f aca="false">_xlfn.xlookup(BG123,A:A,F:F)</f>
        <v>#NAME?</v>
      </c>
      <c r="BI123" s="144" t="e">
        <f aca="false">_xlfn.xlookup(BG123,A:A,J:J)</f>
        <v>#NAME?</v>
      </c>
      <c r="BJ123" s="153" t="e">
        <f aca="false">_xlfn.xlookup(BG123,A:A,N:N)+_xlfn.xlookup(BG123,A:A,O:O)</f>
        <v>#NAME?</v>
      </c>
      <c r="BK123" s="153" t="e">
        <f aca="false">_xlfn.xlookup(BG123,A71:A1066,AB71:AB1066)</f>
        <v>#NAME?</v>
      </c>
      <c r="BT123" s="189"/>
    </row>
    <row r="124" customFormat="false" ht="16.4" hidden="false" customHeight="false" outlineLevel="0" collapsed="false">
      <c r="A124" s="140" t="s">
        <v>1077</v>
      </c>
      <c r="B124" s="249" t="s">
        <v>893</v>
      </c>
      <c r="C124" s="174" t="n">
        <v>45608</v>
      </c>
      <c r="D124" s="173" t="n">
        <v>252</v>
      </c>
      <c r="E124" s="138" t="s">
        <v>134</v>
      </c>
      <c r="F124" s="138" t="s">
        <v>671</v>
      </c>
      <c r="G124" s="140" t="s">
        <v>208</v>
      </c>
      <c r="H124" s="173" t="n">
        <v>0</v>
      </c>
      <c r="I124" s="173" t="n">
        <v>30025</v>
      </c>
      <c r="J124" s="140" t="s">
        <v>904</v>
      </c>
      <c r="K124" s="140"/>
      <c r="L124" s="175" t="n">
        <v>382.5</v>
      </c>
      <c r="M124" s="175" t="n">
        <v>0</v>
      </c>
      <c r="N124" s="175" t="n">
        <v>293.88</v>
      </c>
      <c r="O124" s="175"/>
      <c r="P124" s="175" t="n">
        <v>9.875</v>
      </c>
      <c r="Q124" s="176" t="n">
        <v>0</v>
      </c>
      <c r="R124" s="138" t="n">
        <v>0.75</v>
      </c>
      <c r="S124" s="177" t="n">
        <v>0</v>
      </c>
      <c r="T124" s="215"/>
      <c r="U124" s="178" t="n">
        <v>0.369342532440358</v>
      </c>
      <c r="V124" s="177" t="n">
        <v>108.542383433572</v>
      </c>
      <c r="W124" s="177" t="n">
        <v>32.7311352248646</v>
      </c>
      <c r="X124" s="179" t="n">
        <v>0.231686274509804</v>
      </c>
      <c r="Y124" s="177" t="n">
        <v>2.39993867647059</v>
      </c>
      <c r="Z124" s="177" t="n">
        <v>0</v>
      </c>
      <c r="AA124" s="177" t="n">
        <v>45.0721153846154</v>
      </c>
      <c r="AB124" s="177" t="n">
        <v>188.745572719523</v>
      </c>
      <c r="AC124" s="215"/>
      <c r="AD124" s="215"/>
      <c r="AE124" s="177" t="n">
        <v>0</v>
      </c>
      <c r="AF124" s="177" t="n">
        <v>-188.745572719523</v>
      </c>
      <c r="AG124" s="181"/>
      <c r="AH124" s="180" t="n">
        <v>141.273518658437</v>
      </c>
      <c r="AI124" s="181"/>
      <c r="AJ124" s="181" t="s">
        <v>895</v>
      </c>
      <c r="AK124" s="181" t="s">
        <v>1077</v>
      </c>
      <c r="AL124" s="182" t="n">
        <v>0.642253888388196</v>
      </c>
      <c r="AN124" s="144" t="e">
        <v>#NAME?</v>
      </c>
      <c r="AO124" s="144" t="e">
        <f aca="false">_xlfn.xlookup(AN124,A:A,F:F)</f>
        <v>#NAME?</v>
      </c>
      <c r="AP124" s="144" t="e">
        <f aca="false">_xlfn.xlookup(AN124,A:A,J:J)</f>
        <v>#NAME?</v>
      </c>
      <c r="AQ124" s="144" t="e">
        <f aca="false">_xlfn.xlookup(AN124,A:A,N:N)+_xlfn.xlookup(AN124,A:A,O:O)</f>
        <v>#NAME?</v>
      </c>
      <c r="AR124" s="150" t="e">
        <f aca="false">_xlfn.xlookup(AN124,A:A,AH:AH)</f>
        <v>#NAME?</v>
      </c>
      <c r="AS124" s="150" t="e">
        <f aca="false">_xlfn.xlookup(AN124,A:A,S:S)</f>
        <v>#NAME?</v>
      </c>
      <c r="AT124" s="150" t="e">
        <f aca="false">_xlfn.xlookup(AN124,A:A,AE:AE)</f>
        <v>#NAME?</v>
      </c>
      <c r="AU124" s="150" t="e">
        <f aca="false">_xlfn.xlookup(AN124,A:A,AF:AF)</f>
        <v>#NAME?</v>
      </c>
      <c r="BB124" s="246"/>
      <c r="BC124" s="246"/>
      <c r="BD124" s="246"/>
      <c r="BE124" s="246"/>
      <c r="BF124" s="246"/>
      <c r="BG124" s="144" t="e">
        <v>#NAME?</v>
      </c>
      <c r="BH124" s="152" t="e">
        <f aca="false">_xlfn.xlookup(BG124,A:A,F:F)</f>
        <v>#NAME?</v>
      </c>
      <c r="BI124" s="144" t="e">
        <f aca="false">_xlfn.xlookup(BG124,A:A,J:J)</f>
        <v>#NAME?</v>
      </c>
      <c r="BJ124" s="153" t="e">
        <f aca="false">_xlfn.xlookup(BG124,A:A,N:N)+_xlfn.xlookup(BG124,A:A,O:O)</f>
        <v>#NAME?</v>
      </c>
      <c r="BK124" s="153" t="e">
        <f aca="false">_xlfn.xlookup(BG124,A72:A1067,AB72:AB1067)</f>
        <v>#NAME?</v>
      </c>
      <c r="BQ124" s="144" t="str">
        <f aca="false">IF(VALUE(MONTH(C124))&lt;10,YEAR(C124)&amp;"-0"&amp;MONTH(C124),YEAR(C124)&amp;"-"&amp;MONTH(C124))</f>
        <v>2024-11</v>
      </c>
      <c r="BR124" s="144" t="str">
        <f aca="false">J124</f>
        <v>D11-1</v>
      </c>
      <c r="BS124" s="144" t="str">
        <f aca="false">IF(ISNUMBER(FIND("-", BR124)), LEFT(BR124, FIND("-", BR124) - 1), BR124)</f>
        <v>D11</v>
      </c>
      <c r="BT124" s="189" t="n">
        <f aca="false">L124-M124+O124</f>
        <v>382.5</v>
      </c>
    </row>
    <row r="125" customFormat="false" ht="16.4" hidden="false" customHeight="false" outlineLevel="0" collapsed="false">
      <c r="A125" s="140" t="s">
        <v>1078</v>
      </c>
      <c r="B125" s="249" t="s">
        <v>893</v>
      </c>
      <c r="C125" s="174" t="n">
        <v>45608</v>
      </c>
      <c r="D125" s="173" t="n">
        <v>251</v>
      </c>
      <c r="E125" s="138" t="s">
        <v>63</v>
      </c>
      <c r="F125" s="138" t="s">
        <v>500</v>
      </c>
      <c r="G125" s="140" t="n">
        <v>50008821</v>
      </c>
      <c r="H125" s="173" t="n">
        <v>40103</v>
      </c>
      <c r="I125" s="173" t="n">
        <v>30019</v>
      </c>
      <c r="J125" s="140" t="s">
        <v>907</v>
      </c>
      <c r="K125" s="140"/>
      <c r="L125" s="175" t="n">
        <v>24804.992772</v>
      </c>
      <c r="M125" s="258" t="n">
        <v>3893</v>
      </c>
      <c r="N125" s="258" t="n">
        <v>20490.1</v>
      </c>
      <c r="O125" s="175"/>
      <c r="P125" s="175" t="n">
        <v>416.5</v>
      </c>
      <c r="Q125" s="176" t="n">
        <v>3</v>
      </c>
      <c r="R125" s="138" t="n">
        <v>6</v>
      </c>
      <c r="S125" s="177" t="n">
        <v>-31.6366666666667</v>
      </c>
      <c r="T125" s="215" t="n">
        <v>1.4079</v>
      </c>
      <c r="U125" s="178" t="n">
        <v>0.378144584023772</v>
      </c>
      <c r="V125" s="177" t="n">
        <v>7748.2203411055</v>
      </c>
      <c r="W125" s="177" t="n">
        <v>159.536466770579</v>
      </c>
      <c r="X125" s="179" t="n">
        <v>0.0170083811705941</v>
      </c>
      <c r="Y125" s="177" t="n">
        <v>101.22273</v>
      </c>
      <c r="Z125" s="177" t="n">
        <v>65.1</v>
      </c>
      <c r="AA125" s="177" t="n">
        <v>360.576923076923</v>
      </c>
      <c r="AB125" s="177" t="n">
        <v>8403.01979428633</v>
      </c>
      <c r="AC125" s="215" t="n">
        <v>0.31</v>
      </c>
      <c r="AD125" s="215" t="s">
        <v>77</v>
      </c>
      <c r="AE125" s="177" t="n">
        <v>8942.8836549</v>
      </c>
      <c r="AF125" s="177" t="n">
        <v>539.863860613667</v>
      </c>
      <c r="AG125" s="181" t="n">
        <v>0.0603679843601525</v>
      </c>
      <c r="AH125" s="180" t="n">
        <v>7907.75680787607</v>
      </c>
      <c r="AI125" s="181" t="n">
        <v>0.884251334695967</v>
      </c>
      <c r="AJ125" s="181"/>
      <c r="AK125" s="181" t="s">
        <v>1078</v>
      </c>
      <c r="AL125" s="182" t="n">
        <v>0.410101453593996</v>
      </c>
      <c r="AN125" s="144" t="e">
        <v>#NAME?</v>
      </c>
      <c r="AO125" s="144" t="e">
        <f aca="false">_xlfn.xlookup(AN125,A:A,F:F)</f>
        <v>#NAME?</v>
      </c>
      <c r="AP125" s="144" t="e">
        <f aca="false">_xlfn.xlookup(AN125,A:A,J:J)</f>
        <v>#NAME?</v>
      </c>
      <c r="AQ125" s="144" t="e">
        <f aca="false">_xlfn.xlookup(AN125,A:A,N:N)+_xlfn.xlookup(AN125,A:A,O:O)</f>
        <v>#NAME?</v>
      </c>
      <c r="AR125" s="150" t="e">
        <f aca="false">_xlfn.xlookup(AN125,A:A,AH:AH)</f>
        <v>#NAME?</v>
      </c>
      <c r="AS125" s="150" t="e">
        <f aca="false">_xlfn.xlookup(AN125,A:A,S:S)</f>
        <v>#NAME?</v>
      </c>
      <c r="AT125" s="150" t="e">
        <f aca="false">_xlfn.xlookup(AN125,A:A,AE:AE)</f>
        <v>#NAME?</v>
      </c>
      <c r="AU125" s="150" t="e">
        <f aca="false">_xlfn.xlookup(AN125,A:A,AF:AF)</f>
        <v>#NAME?</v>
      </c>
      <c r="BB125" s="246"/>
      <c r="BC125" s="246"/>
      <c r="BD125" s="246"/>
      <c r="BE125" s="246"/>
      <c r="BF125" s="246"/>
      <c r="BG125" s="144" t="e">
        <v>#NAME?</v>
      </c>
      <c r="BH125" s="152" t="e">
        <f aca="false">_xlfn.xlookup(BG125,A:A,F:F)</f>
        <v>#NAME?</v>
      </c>
      <c r="BI125" s="144" t="e">
        <f aca="false">_xlfn.xlookup(BG125,A:A,J:J)</f>
        <v>#NAME?</v>
      </c>
      <c r="BJ125" s="153" t="e">
        <f aca="false">_xlfn.xlookup(BG125,A:A,N:N)+_xlfn.xlookup(BG125,A:A,O:O)</f>
        <v>#NAME?</v>
      </c>
      <c r="BK125" s="153" t="e">
        <f aca="false">_xlfn.xlookup(BG125,A73:A1068,AB73:AB1068)</f>
        <v>#NAME?</v>
      </c>
      <c r="BQ125" s="144" t="str">
        <f aca="false">IF(VALUE(MONTH(C125))&lt;10,YEAR(C125)&amp;"-0"&amp;MONTH(C125),YEAR(C125)&amp;"-"&amp;MONTH(C125))</f>
        <v>2024-11</v>
      </c>
      <c r="BR125" s="144" t="str">
        <f aca="false">J125</f>
        <v>D16-1</v>
      </c>
      <c r="BS125" s="144" t="str">
        <f aca="false">IF(ISNUMBER(FIND("-", BR125)), LEFT(BR125, FIND("-", BR125) - 1), BR125)</f>
        <v>D16</v>
      </c>
      <c r="BT125" s="189" t="n">
        <f aca="false">L125-M125+O125</f>
        <v>20911.992772</v>
      </c>
    </row>
    <row r="126" customFormat="false" ht="16.4" hidden="false" customHeight="false" outlineLevel="0" collapsed="false">
      <c r="A126" s="140" t="s">
        <v>1079</v>
      </c>
      <c r="B126" s="249" t="s">
        <v>893</v>
      </c>
      <c r="C126" s="174" t="n">
        <v>45608</v>
      </c>
      <c r="D126" s="173" t="n">
        <v>251</v>
      </c>
      <c r="E126" s="138" t="s">
        <v>63</v>
      </c>
      <c r="F126" s="138" t="s">
        <v>500</v>
      </c>
      <c r="G126" s="140" t="n">
        <v>50008821</v>
      </c>
      <c r="H126" s="173" t="n">
        <v>40103</v>
      </c>
      <c r="I126" s="173" t="n">
        <v>30019</v>
      </c>
      <c r="J126" s="140" t="s">
        <v>907</v>
      </c>
      <c r="K126" s="140"/>
      <c r="L126" s="175" t="n">
        <v>22767.039504</v>
      </c>
      <c r="M126" s="175" t="n">
        <v>0</v>
      </c>
      <c r="N126" s="175" t="n">
        <v>22320</v>
      </c>
      <c r="O126" s="175"/>
      <c r="P126" s="175" t="n">
        <v>360</v>
      </c>
      <c r="Q126" s="176" t="n">
        <v>3</v>
      </c>
      <c r="R126" s="138" t="n">
        <v>6</v>
      </c>
      <c r="S126" s="177" t="n">
        <v>-31.6366666666667</v>
      </c>
      <c r="T126" s="215" t="n">
        <v>1.4079</v>
      </c>
      <c r="U126" s="178" t="n">
        <v>0.378144584023772</v>
      </c>
      <c r="V126" s="177" t="n">
        <v>8440.1871154106</v>
      </c>
      <c r="W126" s="177" t="n">
        <v>169.045567282274</v>
      </c>
      <c r="X126" s="179" t="n">
        <v>0.0196353813995649</v>
      </c>
      <c r="Y126" s="177" t="n">
        <v>87.4914352941176</v>
      </c>
      <c r="Z126" s="177" t="n">
        <v>65.1</v>
      </c>
      <c r="AA126" s="177" t="n">
        <v>360.576923076923</v>
      </c>
      <c r="AB126" s="177" t="n">
        <v>9090.76437439725</v>
      </c>
      <c r="AC126" s="215" t="n">
        <v>0.31</v>
      </c>
      <c r="AD126" s="215" t="s">
        <v>77</v>
      </c>
      <c r="AE126" s="177" t="n">
        <v>9741.54168</v>
      </c>
      <c r="AF126" s="177" t="n">
        <v>650.777305602753</v>
      </c>
      <c r="AG126" s="181" t="n">
        <v>0.066804344423105</v>
      </c>
      <c r="AH126" s="180" t="n">
        <v>8609.23268269287</v>
      </c>
      <c r="AI126" s="181" t="n">
        <v>0.883764907598576</v>
      </c>
      <c r="AJ126" s="181"/>
      <c r="AK126" s="181" t="s">
        <v>1079</v>
      </c>
      <c r="AL126" s="182" t="n">
        <v>0.40729231068088</v>
      </c>
      <c r="AN126" s="144" t="e">
        <v>#NAME?</v>
      </c>
      <c r="AO126" s="144" t="e">
        <f aca="false">_xlfn.xlookup(AN126,A:A,F:F)</f>
        <v>#NAME?</v>
      </c>
      <c r="AP126" s="144" t="e">
        <f aca="false">_xlfn.xlookup(AN126,A:A,J:J)</f>
        <v>#NAME?</v>
      </c>
      <c r="AQ126" s="144" t="e">
        <f aca="false">_xlfn.xlookup(AN126,A:A,N:N)+_xlfn.xlookup(AN126,A:A,O:O)</f>
        <v>#NAME?</v>
      </c>
      <c r="AR126" s="150" t="e">
        <f aca="false">_xlfn.xlookup(AN126,A:A,AH:AH)</f>
        <v>#NAME?</v>
      </c>
      <c r="AS126" s="150" t="e">
        <f aca="false">_xlfn.xlookup(AN126,A:A,S:S)</f>
        <v>#NAME?</v>
      </c>
      <c r="AT126" s="150" t="e">
        <f aca="false">_xlfn.xlookup(AN126,A:A,AE:AE)</f>
        <v>#NAME?</v>
      </c>
      <c r="AU126" s="150" t="e">
        <f aca="false">_xlfn.xlookup(AN126,A:A,AF:AF)</f>
        <v>#NAME?</v>
      </c>
      <c r="BB126" s="246"/>
      <c r="BC126" s="246"/>
      <c r="BD126" s="246"/>
      <c r="BE126" s="246"/>
      <c r="BF126" s="246"/>
      <c r="BG126" s="144" t="e">
        <v>#NAME?</v>
      </c>
      <c r="BH126" s="152" t="e">
        <f aca="false">_xlfn.xlookup(BG126,A:A,F:F)</f>
        <v>#NAME?</v>
      </c>
      <c r="BI126" s="144" t="e">
        <f aca="false">_xlfn.xlookup(BG126,A:A,J:J)</f>
        <v>#NAME?</v>
      </c>
      <c r="BJ126" s="153" t="e">
        <f aca="false">_xlfn.xlookup(BG126,A:A,N:N)+_xlfn.xlookup(BG126,A:A,O:O)</f>
        <v>#NAME?</v>
      </c>
      <c r="BK126" s="153" t="e">
        <f aca="false">_xlfn.xlookup(BG126,A74:A1069,AB74:AB1069)</f>
        <v>#NAME?</v>
      </c>
      <c r="BQ126" s="144" t="str">
        <f aca="false">IF(VALUE(MONTH(C126))&lt;10,YEAR(C126)&amp;"-0"&amp;MONTH(C126),YEAR(C126)&amp;"-"&amp;MONTH(C126))</f>
        <v>2024-11</v>
      </c>
      <c r="BR126" s="144" t="str">
        <f aca="false">J126</f>
        <v>D16-1</v>
      </c>
      <c r="BS126" s="144" t="str">
        <f aca="false">IF(ISNUMBER(FIND("-", BR126)), LEFT(BR126, FIND("-", BR126) - 1), BR126)</f>
        <v>D16</v>
      </c>
      <c r="BT126" s="189" t="n">
        <f aca="false">L126-M126+O126</f>
        <v>22767.039504</v>
      </c>
    </row>
    <row r="127" customFormat="false" ht="16.4" hidden="false" customHeight="false" outlineLevel="0" collapsed="false">
      <c r="A127" s="140" t="s">
        <v>1080</v>
      </c>
      <c r="B127" s="249" t="s">
        <v>893</v>
      </c>
      <c r="C127" s="174" t="n">
        <v>45608</v>
      </c>
      <c r="D127" s="173" t="n">
        <v>253</v>
      </c>
      <c r="E127" s="138" t="s">
        <v>63</v>
      </c>
      <c r="F127" s="138" t="s">
        <v>500</v>
      </c>
      <c r="G127" s="140" t="n">
        <v>50008822</v>
      </c>
      <c r="H127" s="173" t="n">
        <v>40169</v>
      </c>
      <c r="I127" s="173" t="n">
        <v>30025</v>
      </c>
      <c r="J127" s="140" t="s">
        <v>904</v>
      </c>
      <c r="K127" s="140"/>
      <c r="L127" s="175" t="n">
        <v>22767.039504</v>
      </c>
      <c r="M127" s="175" t="n">
        <v>3758.7264</v>
      </c>
      <c r="N127" s="175" t="n">
        <v>18561.3</v>
      </c>
      <c r="O127" s="175"/>
      <c r="P127" s="175" t="n">
        <v>299.125</v>
      </c>
      <c r="Q127" s="176" t="n">
        <v>3</v>
      </c>
      <c r="R127" s="138" t="n">
        <v>7.5</v>
      </c>
      <c r="S127" s="177" t="n">
        <v>-31.6366666666667</v>
      </c>
      <c r="T127" s="215" t="n">
        <v>1.4079</v>
      </c>
      <c r="U127" s="178" t="n">
        <v>0.369342532440358</v>
      </c>
      <c r="V127" s="177" t="n">
        <v>6855.47754738522</v>
      </c>
      <c r="W127" s="177" t="n">
        <v>165.100951865384</v>
      </c>
      <c r="X127" s="179" t="n">
        <v>0.0196342218285105</v>
      </c>
      <c r="Y127" s="177" t="n">
        <v>72.6968766176471</v>
      </c>
      <c r="Z127" s="177" t="n">
        <v>65.1</v>
      </c>
      <c r="AA127" s="177" t="n">
        <v>450.721153846154</v>
      </c>
      <c r="AB127" s="177" t="n">
        <v>7577.45986304774</v>
      </c>
      <c r="AC127" s="215" t="n">
        <v>0.31</v>
      </c>
      <c r="AD127" s="215" t="s">
        <v>77</v>
      </c>
      <c r="AE127" s="177" t="n">
        <v>8101.0608237</v>
      </c>
      <c r="AF127" s="177" t="n">
        <v>523.600960652258</v>
      </c>
      <c r="AG127" s="181" t="n">
        <v>0.0646336291069981</v>
      </c>
      <c r="AH127" s="180" t="n">
        <v>7020.57849925061</v>
      </c>
      <c r="AI127" s="181" t="n">
        <v>0.866624588067726</v>
      </c>
      <c r="AJ127" s="181"/>
      <c r="AK127" s="181" t="s">
        <v>1080</v>
      </c>
      <c r="AL127" s="182" t="n">
        <v>0.40823971720988</v>
      </c>
      <c r="AN127" s="144" t="e">
        <v>#NAME?</v>
      </c>
      <c r="AO127" s="144" t="e">
        <f aca="false">_xlfn.xlookup(AN127,A:A,F:F)</f>
        <v>#NAME?</v>
      </c>
      <c r="AP127" s="144" t="e">
        <f aca="false">_xlfn.xlookup(AN127,A:A,J:J)</f>
        <v>#NAME?</v>
      </c>
      <c r="AQ127" s="144" t="e">
        <f aca="false">_xlfn.xlookup(AN127,A:A,N:N)+_xlfn.xlookup(AN127,A:A,O:O)</f>
        <v>#NAME?</v>
      </c>
      <c r="AR127" s="150" t="e">
        <f aca="false">_xlfn.xlookup(AN127,A:A,AH:AH)</f>
        <v>#NAME?</v>
      </c>
      <c r="AS127" s="150" t="e">
        <f aca="false">_xlfn.xlookup(AN127,A:A,S:S)</f>
        <v>#NAME?</v>
      </c>
      <c r="AT127" s="150" t="e">
        <f aca="false">_xlfn.xlookup(AN127,A:A,AE:AE)</f>
        <v>#NAME?</v>
      </c>
      <c r="AU127" s="150" t="e">
        <f aca="false">_xlfn.xlookup(AN127,A:A,AF:AF)</f>
        <v>#NAME?</v>
      </c>
      <c r="BB127" s="246"/>
      <c r="BC127" s="246"/>
      <c r="BD127" s="246"/>
      <c r="BE127" s="246"/>
      <c r="BF127" s="246"/>
      <c r="BG127" s="144" t="e">
        <v>#NAME?</v>
      </c>
      <c r="BH127" s="152" t="e">
        <f aca="false">_xlfn.xlookup(BG127,A:A,F:F)</f>
        <v>#NAME?</v>
      </c>
      <c r="BI127" s="144" t="e">
        <f aca="false">_xlfn.xlookup(BG127,A:A,J:J)</f>
        <v>#NAME?</v>
      </c>
      <c r="BJ127" s="153" t="e">
        <f aca="false">_xlfn.xlookup(BG127,A:A,N:N)+_xlfn.xlookup(BG127,A:A,O:O)</f>
        <v>#NAME?</v>
      </c>
      <c r="BK127" s="153" t="e">
        <f aca="false">_xlfn.xlookup(BG127,A75:A1070,AB75:AB1070)</f>
        <v>#NAME?</v>
      </c>
      <c r="BQ127" s="144" t="str">
        <f aca="false">IF(VALUE(MONTH(C127))&lt;10,YEAR(C127)&amp;"-0"&amp;MONTH(C127),YEAR(C127)&amp;"-"&amp;MONTH(C127))</f>
        <v>2024-11</v>
      </c>
      <c r="BR127" s="144" t="str">
        <f aca="false">J127</f>
        <v>D11-1</v>
      </c>
      <c r="BS127" s="144" t="str">
        <f aca="false">IF(ISNUMBER(FIND("-", BR127)), LEFT(BR127, FIND("-", BR127) - 1), BR127)</f>
        <v>D11</v>
      </c>
      <c r="BT127" s="189" t="n">
        <f aca="false">L127-M127+O127</f>
        <v>19008.313104</v>
      </c>
    </row>
    <row r="128" customFormat="false" ht="16.4" hidden="false" customHeight="false" outlineLevel="0" collapsed="false">
      <c r="A128" s="140" t="s">
        <v>1081</v>
      </c>
      <c r="B128" s="249" t="s">
        <v>893</v>
      </c>
      <c r="C128" s="174" t="n">
        <v>45610</v>
      </c>
      <c r="D128" s="173" t="n">
        <v>254</v>
      </c>
      <c r="E128" s="138" t="s">
        <v>120</v>
      </c>
      <c r="F128" s="138" t="s">
        <v>617</v>
      </c>
      <c r="G128" s="140" t="n">
        <v>14287</v>
      </c>
      <c r="H128" s="173" t="n">
        <v>40171</v>
      </c>
      <c r="I128" s="173" t="n">
        <v>30015</v>
      </c>
      <c r="J128" s="140" t="s">
        <v>762</v>
      </c>
      <c r="K128" s="140"/>
      <c r="L128" s="175" t="n">
        <v>14372.30016</v>
      </c>
      <c r="M128" s="258" t="n">
        <v>7011.9</v>
      </c>
      <c r="N128" s="258" t="n">
        <v>7200.036</v>
      </c>
      <c r="O128" s="175"/>
      <c r="P128" s="175" t="n">
        <v>120.24</v>
      </c>
      <c r="Q128" s="176" t="n">
        <v>1</v>
      </c>
      <c r="R128" s="138" t="n">
        <v>1.25</v>
      </c>
      <c r="S128" s="177" t="n">
        <v>109.65</v>
      </c>
      <c r="T128" s="215"/>
      <c r="U128" s="178" t="n">
        <v>0.268854241086576</v>
      </c>
      <c r="V128" s="177" t="n">
        <v>1935.76021457603</v>
      </c>
      <c r="W128" s="177" t="n">
        <v>43.1145845342866</v>
      </c>
      <c r="X128" s="179" t="n">
        <v>0.0111578632657781</v>
      </c>
      <c r="Y128" s="177" t="n">
        <v>29.2221393882353</v>
      </c>
      <c r="Z128" s="177" t="n">
        <v>21.7</v>
      </c>
      <c r="AA128" s="177" t="n">
        <v>75.1201923076923</v>
      </c>
      <c r="AB128" s="177" t="n">
        <v>2214.56713080624</v>
      </c>
      <c r="AC128" s="215" t="n">
        <v>0.347</v>
      </c>
      <c r="AD128" s="215" t="s">
        <v>88</v>
      </c>
      <c r="AE128" s="177" t="n">
        <v>2498.412492</v>
      </c>
      <c r="AF128" s="177" t="n">
        <v>283.845361193756</v>
      </c>
      <c r="AG128" s="181" t="n">
        <v>0.113610287373538</v>
      </c>
      <c r="AH128" s="180" t="n">
        <v>1978.87479911032</v>
      </c>
      <c r="AI128" s="181" t="n">
        <v>0.7920528757548</v>
      </c>
      <c r="AJ128" s="181"/>
      <c r="AK128" s="181" t="s">
        <v>1081</v>
      </c>
      <c r="AL128" s="182" t="n">
        <v>0.307577230281382</v>
      </c>
      <c r="AN128" s="144" t="e">
        <v>#NAME?</v>
      </c>
      <c r="AO128" s="144" t="e">
        <f aca="false">_xlfn.xlookup(AN128,A:A,F:F)</f>
        <v>#NAME?</v>
      </c>
      <c r="AP128" s="144" t="e">
        <f aca="false">_xlfn.xlookup(AN128,A:A,J:J)</f>
        <v>#NAME?</v>
      </c>
      <c r="AQ128" s="144" t="e">
        <f aca="false">_xlfn.xlookup(AN128,A:A,N:N)+_xlfn.xlookup(AN128,A:A,O:O)</f>
        <v>#NAME?</v>
      </c>
      <c r="AR128" s="150" t="e">
        <f aca="false">_xlfn.xlookup(AN128,A:A,AH:AH)</f>
        <v>#NAME?</v>
      </c>
      <c r="AS128" s="150" t="e">
        <f aca="false">_xlfn.xlookup(AN128,A:A,S:S)</f>
        <v>#NAME?</v>
      </c>
      <c r="AT128" s="150" t="e">
        <f aca="false">_xlfn.xlookup(AN128,A:A,AE:AE)</f>
        <v>#NAME?</v>
      </c>
      <c r="AU128" s="150" t="e">
        <f aca="false">_xlfn.xlookup(AN128,A:A,AF:AF)</f>
        <v>#NAME?</v>
      </c>
      <c r="BB128" s="246"/>
      <c r="BC128" s="246"/>
      <c r="BD128" s="246"/>
      <c r="BE128" s="246"/>
      <c r="BF128" s="246"/>
      <c r="BG128" s="144" t="e">
        <v>#NAME?</v>
      </c>
      <c r="BH128" s="152" t="e">
        <f aca="false">_xlfn.xlookup(BG128,A:A,F:F)</f>
        <v>#NAME?</v>
      </c>
      <c r="BI128" s="144" t="e">
        <f aca="false">_xlfn.xlookup(BG128,A:A,J:J)</f>
        <v>#NAME?</v>
      </c>
      <c r="BJ128" s="153" t="e">
        <f aca="false">_xlfn.xlookup(BG128,A:A,N:N)+_xlfn.xlookup(BG128,A:A,O:O)</f>
        <v>#NAME?</v>
      </c>
      <c r="BK128" s="153" t="e">
        <f aca="false">_xlfn.xlookup(BG128,A76:A1071,AB76:AB1071)</f>
        <v>#NAME?</v>
      </c>
      <c r="BQ128" s="144" t="str">
        <f aca="false">IF(VALUE(MONTH(C128))&lt;10,YEAR(C128)&amp;"-0"&amp;MONTH(C128),YEAR(C128)&amp;"-"&amp;MONTH(C128))</f>
        <v>2024-11</v>
      </c>
      <c r="BR128" s="144" t="str">
        <f aca="false">J128</f>
        <v>S15-3</v>
      </c>
      <c r="BS128" s="144" t="str">
        <f aca="false">IF(ISNUMBER(FIND("-", BR128)), LEFT(BR128, FIND("-", BR128) - 1), BR128)</f>
        <v>S15</v>
      </c>
      <c r="BT128" s="189" t="n">
        <f aca="false">L128-M128+O128</f>
        <v>7360.40016</v>
      </c>
    </row>
    <row r="129" customFormat="false" ht="16.4" hidden="false" customHeight="false" outlineLevel="0" collapsed="false">
      <c r="A129" s="140" t="s">
        <v>1082</v>
      </c>
      <c r="B129" s="249" t="s">
        <v>893</v>
      </c>
      <c r="C129" s="174" t="n">
        <v>45614</v>
      </c>
      <c r="D129" s="173" t="n">
        <v>255</v>
      </c>
      <c r="E129" s="138" t="s">
        <v>127</v>
      </c>
      <c r="F129" s="138" t="s">
        <v>977</v>
      </c>
      <c r="G129" s="140" t="n">
        <v>1003018</v>
      </c>
      <c r="H129" s="173" t="n">
        <v>40172</v>
      </c>
      <c r="I129" s="173" t="n">
        <v>30011</v>
      </c>
      <c r="J129" s="140" t="s">
        <v>760</v>
      </c>
      <c r="K129" s="140"/>
      <c r="L129" s="175" t="n">
        <v>7115.30784</v>
      </c>
      <c r="M129" s="175" t="n">
        <v>3505.968</v>
      </c>
      <c r="N129" s="175" t="n">
        <v>3513.3</v>
      </c>
      <c r="O129" s="175"/>
      <c r="P129" s="175" t="n">
        <v>59.75</v>
      </c>
      <c r="Q129" s="176" t="n">
        <v>1</v>
      </c>
      <c r="R129" s="138" t="n">
        <v>2</v>
      </c>
      <c r="S129" s="177" t="n">
        <v>65</v>
      </c>
      <c r="T129" s="215"/>
      <c r="U129" s="178" t="n">
        <v>0.28357864079936</v>
      </c>
      <c r="V129" s="177" t="n">
        <v>996.296838720391</v>
      </c>
      <c r="W129" s="177" t="n">
        <v>27.2348472897878</v>
      </c>
      <c r="X129" s="179" t="n">
        <v>0.0134976366672562</v>
      </c>
      <c r="Y129" s="177" t="n">
        <v>14.5211479411765</v>
      </c>
      <c r="Z129" s="177" t="n">
        <v>21.7</v>
      </c>
      <c r="AA129" s="177" t="n">
        <v>120.192307692308</v>
      </c>
      <c r="AB129" s="177" t="n">
        <v>1244.94514164366</v>
      </c>
      <c r="AC129" s="215" t="n">
        <v>0.322</v>
      </c>
      <c r="AD129" s="215" t="s">
        <v>88</v>
      </c>
      <c r="AE129" s="177" t="n">
        <v>1131.2826</v>
      </c>
      <c r="AF129" s="177" t="n">
        <v>-113.662541643663</v>
      </c>
      <c r="AG129" s="181" t="n">
        <v>-0.100472279555668</v>
      </c>
      <c r="AH129" s="180" t="n">
        <v>1023.53168601018</v>
      </c>
      <c r="AI129" s="181" t="n">
        <v>0.904753318057026</v>
      </c>
      <c r="AJ129" s="181"/>
      <c r="AK129" s="181" t="s">
        <v>1082</v>
      </c>
      <c r="AL129" s="182" t="n">
        <v>0.354352074016925</v>
      </c>
      <c r="AN129" s="144" t="e">
        <v>#NAME?</v>
      </c>
      <c r="AO129" s="144" t="e">
        <f aca="false">_xlfn.xlookup(AN129,A:A,F:F)</f>
        <v>#NAME?</v>
      </c>
      <c r="AP129" s="144" t="e">
        <f aca="false">_xlfn.xlookup(AN129,A:A,J:J)</f>
        <v>#NAME?</v>
      </c>
      <c r="AQ129" s="144" t="e">
        <f aca="false">_xlfn.xlookup(AN129,A:A,N:N)+_xlfn.xlookup(AN129,A:A,O:O)</f>
        <v>#NAME?</v>
      </c>
      <c r="AR129" s="150" t="e">
        <f aca="false">_xlfn.xlookup(AN129,A:A,AH:AH)</f>
        <v>#NAME?</v>
      </c>
      <c r="AS129" s="150" t="e">
        <f aca="false">_xlfn.xlookup(AN129,A:A,S:S)</f>
        <v>#NAME?</v>
      </c>
      <c r="AT129" s="150" t="e">
        <f aca="false">_xlfn.xlookup(AN129,A:A,AE:AE)</f>
        <v>#NAME?</v>
      </c>
      <c r="AU129" s="150" t="e">
        <f aca="false">_xlfn.xlookup(AN129,A:A,AF:AF)</f>
        <v>#NAME?</v>
      </c>
      <c r="BB129" s="246"/>
      <c r="BC129" s="246"/>
      <c r="BD129" s="246"/>
      <c r="BE129" s="246"/>
      <c r="BF129" s="246"/>
      <c r="BG129" s="144" t="e">
        <v>#NAME?</v>
      </c>
      <c r="BH129" s="152" t="e">
        <f aca="false">_xlfn.xlookup(BG129,A:A,F:F)</f>
        <v>#NAME?</v>
      </c>
      <c r="BI129" s="144" t="e">
        <f aca="false">_xlfn.xlookup(BG129,A:A,J:J)</f>
        <v>#NAME?</v>
      </c>
      <c r="BJ129" s="153" t="e">
        <f aca="false">_xlfn.xlookup(BG129,A:A,N:N)+_xlfn.xlookup(BG129,A:A,O:O)</f>
        <v>#NAME?</v>
      </c>
      <c r="BK129" s="153" t="e">
        <f aca="false">_xlfn.xlookup(BG129,A77:A1072,AB77:AB1072)</f>
        <v>#NAME?</v>
      </c>
      <c r="BQ129" s="144" t="str">
        <f aca="false">IF(VALUE(MONTH(C129))&lt;10,YEAR(C129)&amp;"-0"&amp;MONTH(C129),YEAR(C129)&amp;"-"&amp;MONTH(C129))</f>
        <v>2024-11</v>
      </c>
      <c r="BR129" s="144" t="str">
        <f aca="false">J129</f>
        <v>S21-1</v>
      </c>
      <c r="BS129" s="144" t="str">
        <f aca="false">IF(ISNUMBER(FIND("-", BR129)), LEFT(BR129, FIND("-", BR129) - 1), BR129)</f>
        <v>S21</v>
      </c>
      <c r="BT129" s="189" t="n">
        <f aca="false">L129-M129+O129</f>
        <v>3609.33984</v>
      </c>
    </row>
    <row r="130" customFormat="false" ht="16.4" hidden="false" customHeight="false" outlineLevel="0" collapsed="false">
      <c r="A130" s="140" t="s">
        <v>1083</v>
      </c>
      <c r="B130" s="249" t="s">
        <v>893</v>
      </c>
      <c r="C130" s="174" t="n">
        <v>45614</v>
      </c>
      <c r="D130" s="173" t="n">
        <v>256</v>
      </c>
      <c r="E130" s="138" t="s">
        <v>94</v>
      </c>
      <c r="F130" s="138" t="s">
        <v>522</v>
      </c>
      <c r="G130" s="140" t="n">
        <v>105646</v>
      </c>
      <c r="H130" s="173" t="n">
        <v>40048</v>
      </c>
      <c r="I130" s="173" t="n">
        <v>30018</v>
      </c>
      <c r="J130" s="140" t="s">
        <v>760</v>
      </c>
      <c r="K130" s="140"/>
      <c r="L130" s="175" t="n">
        <v>10620.288</v>
      </c>
      <c r="M130" s="175" t="n">
        <v>0</v>
      </c>
      <c r="N130" s="175" t="n">
        <v>10404</v>
      </c>
      <c r="O130" s="175"/>
      <c r="P130" s="175" t="n">
        <v>120</v>
      </c>
      <c r="Q130" s="176" t="n">
        <v>3</v>
      </c>
      <c r="R130" s="138" t="n">
        <v>2.75</v>
      </c>
      <c r="S130" s="177" t="n">
        <v>-34.2225</v>
      </c>
      <c r="T130" s="215" t="n">
        <v>1.3993</v>
      </c>
      <c r="U130" s="178" t="n">
        <v>0.264285602410524</v>
      </c>
      <c r="V130" s="177" t="n">
        <v>2749.62740747909</v>
      </c>
      <c r="W130" s="177" t="n">
        <v>57.1618043741676</v>
      </c>
      <c r="X130" s="179" t="n">
        <v>0.0203655494088296</v>
      </c>
      <c r="Y130" s="177" t="n">
        <v>29.1638117647059</v>
      </c>
      <c r="Z130" s="177" t="n">
        <v>65.1</v>
      </c>
      <c r="AA130" s="177" t="n">
        <v>165.264423076923</v>
      </c>
      <c r="AB130" s="177" t="n">
        <v>3032.09494669489</v>
      </c>
      <c r="AC130" s="215" t="n">
        <v>0.27</v>
      </c>
      <c r="AD130" s="215" t="s">
        <v>77</v>
      </c>
      <c r="AE130" s="177" t="n">
        <v>3930.745644</v>
      </c>
      <c r="AF130" s="177" t="n">
        <v>898.650697305112</v>
      </c>
      <c r="AG130" s="181" t="n">
        <v>0.228620923024322</v>
      </c>
      <c r="AH130" s="180" t="n">
        <v>2806.78921185326</v>
      </c>
      <c r="AI130" s="181" t="n">
        <v>0.714060248629321</v>
      </c>
      <c r="AJ130" s="181"/>
      <c r="AK130" s="181" t="s">
        <v>1083</v>
      </c>
      <c r="AL130" s="182" t="n">
        <v>0.291435500451258</v>
      </c>
      <c r="AN130" s="144" t="e">
        <v>#NAME?</v>
      </c>
      <c r="AO130" s="144" t="e">
        <f aca="false">_xlfn.xlookup(AN130,A:A,F:F)</f>
        <v>#NAME?</v>
      </c>
      <c r="AP130" s="144" t="e">
        <f aca="false">_xlfn.xlookup(AN130,A:A,J:J)</f>
        <v>#NAME?</v>
      </c>
      <c r="AQ130" s="144" t="e">
        <f aca="false">_xlfn.xlookup(AN130,A:A,N:N)+_xlfn.xlookup(AN130,A:A,O:O)</f>
        <v>#NAME?</v>
      </c>
      <c r="AR130" s="150" t="e">
        <f aca="false">_xlfn.xlookup(AN130,A:A,AH:AH)</f>
        <v>#NAME?</v>
      </c>
      <c r="AS130" s="150" t="e">
        <f aca="false">_xlfn.xlookup(AN130,A:A,S:S)</f>
        <v>#NAME?</v>
      </c>
      <c r="AT130" s="150" t="e">
        <f aca="false">_xlfn.xlookup(AN130,A:A,AE:AE)</f>
        <v>#NAME?</v>
      </c>
      <c r="AU130" s="150" t="e">
        <f aca="false">_xlfn.xlookup(AN130,A:A,AF:AF)</f>
        <v>#NAME?</v>
      </c>
      <c r="BB130" s="246"/>
      <c r="BC130" s="246"/>
      <c r="BD130" s="246"/>
      <c r="BE130" s="246"/>
      <c r="BF130" s="246"/>
      <c r="BG130" s="144" t="e">
        <v>#NAME?</v>
      </c>
      <c r="BH130" s="152" t="e">
        <f aca="false">_xlfn.xlookup(BG130,A:A,F:F)</f>
        <v>#NAME?</v>
      </c>
      <c r="BI130" s="144" t="e">
        <f aca="false">_xlfn.xlookup(BG130,A:A,J:J)</f>
        <v>#NAME?</v>
      </c>
      <c r="BJ130" s="153" t="e">
        <f aca="false">_xlfn.xlookup(BG130,A:A,N:N)+_xlfn.xlookup(BG130,A:A,O:O)</f>
        <v>#NAME?</v>
      </c>
      <c r="BK130" s="153" t="e">
        <f aca="false">_xlfn.xlookup(BG130,A78:A1073,AB78:AB1073)</f>
        <v>#NAME?</v>
      </c>
      <c r="BQ130" s="144" t="str">
        <f aca="false">IF(VALUE(MONTH(C130))&lt;10,YEAR(C130)&amp;"-0"&amp;MONTH(C130),YEAR(C130)&amp;"-"&amp;MONTH(C130))</f>
        <v>2024-11</v>
      </c>
      <c r="BR130" s="144" t="str">
        <f aca="false">J130</f>
        <v>S21-1</v>
      </c>
      <c r="BS130" s="144" t="str">
        <f aca="false">IF(ISNUMBER(FIND("-", BR130)), LEFT(BR130, FIND("-", BR130) - 1), BR130)</f>
        <v>S21</v>
      </c>
      <c r="BT130" s="189" t="n">
        <f aca="false">L130-M130+O130</f>
        <v>10620.288</v>
      </c>
    </row>
    <row r="131" customFormat="false" ht="16.4" hidden="false" customHeight="false" outlineLevel="0" collapsed="false">
      <c r="A131" s="140" t="s">
        <v>1084</v>
      </c>
      <c r="B131" s="249" t="s">
        <v>893</v>
      </c>
      <c r="C131" s="174" t="n">
        <v>45614</v>
      </c>
      <c r="D131" s="173" t="n">
        <v>257</v>
      </c>
      <c r="E131" s="138" t="s">
        <v>94</v>
      </c>
      <c r="F131" s="138" t="s">
        <v>522</v>
      </c>
      <c r="G131" s="140" t="n">
        <v>105648</v>
      </c>
      <c r="H131" s="173" t="n">
        <v>40117</v>
      </c>
      <c r="I131" s="173" t="n">
        <v>30015</v>
      </c>
      <c r="J131" s="140" t="s">
        <v>762</v>
      </c>
      <c r="K131" s="140"/>
      <c r="L131" s="175" t="n">
        <v>7011.936</v>
      </c>
      <c r="M131" s="175" t="n">
        <v>3433.68</v>
      </c>
      <c r="N131" s="175" t="n">
        <v>3420</v>
      </c>
      <c r="O131" s="175"/>
      <c r="P131" s="175" t="n">
        <v>60</v>
      </c>
      <c r="Q131" s="176" t="n">
        <v>1</v>
      </c>
      <c r="R131" s="138" t="n">
        <v>2</v>
      </c>
      <c r="S131" s="177" t="n">
        <v>-11.4075</v>
      </c>
      <c r="T131" s="215" t="n">
        <v>1.3993</v>
      </c>
      <c r="U131" s="178" t="n">
        <v>0.268854241086576</v>
      </c>
      <c r="V131" s="177" t="n">
        <v>919.481504516091</v>
      </c>
      <c r="W131" s="177" t="n">
        <v>42.5477967773971</v>
      </c>
      <c r="X131" s="179" t="n">
        <v>0.0225695157514272</v>
      </c>
      <c r="Y131" s="177" t="n">
        <v>14.5819058823529</v>
      </c>
      <c r="Z131" s="177" t="n">
        <v>21.7</v>
      </c>
      <c r="AA131" s="177" t="n">
        <v>120.192307692308</v>
      </c>
      <c r="AB131" s="177" t="n">
        <v>1107.09601486815</v>
      </c>
      <c r="AC131" s="215" t="n">
        <v>0.28</v>
      </c>
      <c r="AD131" s="215" t="s">
        <v>77</v>
      </c>
      <c r="AE131" s="177" t="n">
        <v>1339.96968</v>
      </c>
      <c r="AF131" s="177" t="n">
        <v>232.873665131851</v>
      </c>
      <c r="AG131" s="181" t="n">
        <v>0.173790249591208</v>
      </c>
      <c r="AH131" s="180" t="n">
        <v>962.029301293488</v>
      </c>
      <c r="AI131" s="181" t="n">
        <v>0.717948559323737</v>
      </c>
      <c r="AJ131" s="181"/>
      <c r="AK131" s="181" t="s">
        <v>1084</v>
      </c>
      <c r="AL131" s="182" t="n">
        <v>0.323712285049166</v>
      </c>
      <c r="AN131" s="144" t="e">
        <v>#NAME?</v>
      </c>
      <c r="AO131" s="144" t="e">
        <f aca="false">_xlfn.xlookup(AN131,A:A,F:F)</f>
        <v>#NAME?</v>
      </c>
      <c r="AP131" s="144" t="e">
        <f aca="false">_xlfn.xlookup(AN131,A:A,J:J)</f>
        <v>#NAME?</v>
      </c>
      <c r="AQ131" s="144" t="e">
        <f aca="false">_xlfn.xlookup(AN131,A:A,N:N)+_xlfn.xlookup(AN131,A:A,O:O)</f>
        <v>#NAME?</v>
      </c>
      <c r="AR131" s="150" t="e">
        <f aca="false">_xlfn.xlookup(AN131,A:A,AH:AH)</f>
        <v>#NAME?</v>
      </c>
      <c r="AS131" s="150" t="e">
        <f aca="false">_xlfn.xlookup(AN131,A:A,S:S)</f>
        <v>#NAME?</v>
      </c>
      <c r="AT131" s="150" t="e">
        <f aca="false">_xlfn.xlookup(AN131,A:A,AE:AE)</f>
        <v>#NAME?</v>
      </c>
      <c r="AU131" s="150" t="e">
        <f aca="false">_xlfn.xlookup(AN131,A:A,AF:AF)</f>
        <v>#NAME?</v>
      </c>
      <c r="BB131" s="246"/>
      <c r="BC131" s="246"/>
      <c r="BD131" s="246"/>
      <c r="BE131" s="246"/>
      <c r="BF131" s="246"/>
      <c r="BH131" s="152" t="e">
        <f aca="false">_xlfn.xlookup(BG131,A:A,F:F)</f>
        <v>#NAME?</v>
      </c>
      <c r="BI131" s="144" t="e">
        <f aca="false">_xlfn.xlookup(BG131,A:A,J:J)</f>
        <v>#NAME?</v>
      </c>
      <c r="BJ131" s="153" t="e">
        <f aca="false">_xlfn.xlookup(BG131,A:A,N:N)+_xlfn.xlookup(BG131,A:A,O:O)</f>
        <v>#NAME?</v>
      </c>
      <c r="BK131" s="153" t="e">
        <f aca="false">_xlfn.xlookup(BG131,A79:A1074,AB79:AB1074)</f>
        <v>#NAME?</v>
      </c>
      <c r="BQ131" s="144" t="str">
        <f aca="false">IF(VALUE(MONTH(C131))&lt;10,YEAR(C131)&amp;"-0"&amp;MONTH(C131),YEAR(C131)&amp;"-"&amp;MONTH(C131))</f>
        <v>2024-11</v>
      </c>
      <c r="BR131" s="144" t="str">
        <f aca="false">J131</f>
        <v>S15-3</v>
      </c>
      <c r="BS131" s="144" t="str">
        <f aca="false">IF(ISNUMBER(FIND("-", BR131)), LEFT(BR131, FIND("-", BR131) - 1), BR131)</f>
        <v>S15</v>
      </c>
      <c r="BT131" s="189" t="n">
        <f aca="false">L131-M131+O131</f>
        <v>3578.256</v>
      </c>
    </row>
    <row r="132" customFormat="false" ht="16.4" hidden="false" customHeight="false" outlineLevel="0" collapsed="false">
      <c r="A132" s="140" t="s">
        <v>1085</v>
      </c>
      <c r="B132" s="249" t="s">
        <v>893</v>
      </c>
      <c r="C132" s="174" t="n">
        <v>45617</v>
      </c>
      <c r="D132" s="173" t="n">
        <v>259</v>
      </c>
      <c r="E132" s="138" t="s">
        <v>94</v>
      </c>
      <c r="F132" s="138" t="s">
        <v>522</v>
      </c>
      <c r="G132" s="140" t="n">
        <v>105765</v>
      </c>
      <c r="H132" s="173" t="n">
        <v>40117</v>
      </c>
      <c r="I132" s="173" t="n">
        <v>30015</v>
      </c>
      <c r="J132" s="140" t="s">
        <v>762</v>
      </c>
      <c r="K132" s="140"/>
      <c r="L132" s="175" t="n">
        <v>3433.68</v>
      </c>
      <c r="M132" s="175" t="n">
        <v>0</v>
      </c>
      <c r="N132" s="175" t="n">
        <v>3398.4</v>
      </c>
      <c r="O132" s="175"/>
      <c r="P132" s="175" t="n">
        <v>60</v>
      </c>
      <c r="Q132" s="176" t="n">
        <v>1</v>
      </c>
      <c r="R132" s="138" t="n">
        <v>1.25</v>
      </c>
      <c r="S132" s="177" t="n">
        <v>-24.51</v>
      </c>
      <c r="T132" s="215" t="n">
        <v>1.398</v>
      </c>
      <c r="U132" s="178" t="n">
        <v>0.268854241086576</v>
      </c>
      <c r="V132" s="177" t="n">
        <v>913.674252908621</v>
      </c>
      <c r="W132" s="177" t="n">
        <v>9.48517762553423</v>
      </c>
      <c r="X132" s="179" t="n">
        <v>0.0102746907108406</v>
      </c>
      <c r="Y132" s="177" t="n">
        <v>14.5819058823529</v>
      </c>
      <c r="Z132" s="177" t="n">
        <v>21.7</v>
      </c>
      <c r="AA132" s="177" t="n">
        <v>75.1201923076923</v>
      </c>
      <c r="AB132" s="177" t="n">
        <v>1010.0515287242</v>
      </c>
      <c r="AC132" s="215" t="n">
        <v>0.28</v>
      </c>
      <c r="AD132" s="215" t="s">
        <v>77</v>
      </c>
      <c r="AE132" s="177" t="n">
        <v>1330.269696</v>
      </c>
      <c r="AF132" s="177" t="n">
        <v>320.2181672758</v>
      </c>
      <c r="AG132" s="181" t="n">
        <v>0.240716727020593</v>
      </c>
      <c r="AH132" s="180" t="n">
        <v>923.159430534156</v>
      </c>
      <c r="AI132" s="181" t="n">
        <v>0.693964113675604</v>
      </c>
      <c r="AJ132" s="181"/>
      <c r="AK132" s="181" t="s">
        <v>1085</v>
      </c>
      <c r="AL132" s="182" t="n">
        <v>0.297213844375059</v>
      </c>
      <c r="AN132" s="144" t="e">
        <v>#NAME?</v>
      </c>
      <c r="AO132" s="144" t="e">
        <f aca="false">_xlfn.xlookup(AN132,A:A,F:F)</f>
        <v>#NAME?</v>
      </c>
      <c r="AP132" s="144" t="e">
        <f aca="false">_xlfn.xlookup(AN132,A:A,J:J)</f>
        <v>#NAME?</v>
      </c>
      <c r="AQ132" s="144" t="e">
        <f aca="false">_xlfn.xlookup(AN132,A:A,N:N)+_xlfn.xlookup(AN132,A:A,O:O)</f>
        <v>#NAME?</v>
      </c>
      <c r="AR132" s="150" t="e">
        <f aca="false">_xlfn.xlookup(AN132,A:A,AH:AH)</f>
        <v>#NAME?</v>
      </c>
      <c r="AS132" s="150" t="e">
        <f aca="false">_xlfn.xlookup(AN132,A:A,S:S)</f>
        <v>#NAME?</v>
      </c>
      <c r="AT132" s="150" t="e">
        <f aca="false">_xlfn.xlookup(AN132,A:A,AE:AE)</f>
        <v>#NAME?</v>
      </c>
      <c r="AU132" s="150" t="e">
        <f aca="false">_xlfn.xlookup(AN132,A:A,AF:AF)</f>
        <v>#NAME?</v>
      </c>
      <c r="BB132" s="246"/>
      <c r="BC132" s="246"/>
      <c r="BD132" s="246"/>
      <c r="BE132" s="246"/>
      <c r="BF132" s="246"/>
      <c r="BH132" s="152" t="e">
        <f aca="false">_xlfn.xlookup(BG132,A:A,F:F)</f>
        <v>#NAME?</v>
      </c>
      <c r="BI132" s="144" t="e">
        <f aca="false">_xlfn.xlookup(BG132,A:A,J:J)</f>
        <v>#NAME?</v>
      </c>
      <c r="BJ132" s="153" t="e">
        <f aca="false">_xlfn.xlookup(BG132,A:A,N:N)+_xlfn.xlookup(BG132,A:A,O:O)</f>
        <v>#NAME?</v>
      </c>
      <c r="BK132" s="153" t="e">
        <f aca="false">_xlfn.xlookup(BG132,A80:A1075,AB80:AB1075)</f>
        <v>#NAME?</v>
      </c>
      <c r="BQ132" s="144" t="str">
        <f aca="false">IF(VALUE(MONTH(C132))&lt;10,YEAR(C132)&amp;"-0"&amp;MONTH(C132),YEAR(C132)&amp;"-"&amp;MONTH(C132))</f>
        <v>2024-11</v>
      </c>
      <c r="BR132" s="144" t="str">
        <f aca="false">J132</f>
        <v>S15-3</v>
      </c>
      <c r="BS132" s="144" t="str">
        <f aca="false">IF(ISNUMBER(FIND("-", BR132)), LEFT(BR132, FIND("-", BR132) - 1), BR132)</f>
        <v>S15</v>
      </c>
      <c r="BT132" s="189" t="n">
        <f aca="false">L132-M132+O132</f>
        <v>3433.68</v>
      </c>
    </row>
    <row r="133" customFormat="false" ht="16.4" hidden="false" customHeight="false" outlineLevel="0" collapsed="false">
      <c r="A133" s="140" t="s">
        <v>1086</v>
      </c>
      <c r="B133" s="249" t="s">
        <v>893</v>
      </c>
      <c r="C133" s="174" t="n">
        <v>45617</v>
      </c>
      <c r="D133" s="173" t="n">
        <v>251</v>
      </c>
      <c r="E133" s="138" t="s">
        <v>63</v>
      </c>
      <c r="F133" s="138" t="s">
        <v>500</v>
      </c>
      <c r="G133" s="140" t="n">
        <v>50008821</v>
      </c>
      <c r="H133" s="173" t="n">
        <v>40103</v>
      </c>
      <c r="I133" s="173" t="n">
        <v>30025</v>
      </c>
      <c r="J133" s="140" t="s">
        <v>904</v>
      </c>
      <c r="K133" s="140"/>
      <c r="L133" s="175" t="n">
        <v>45534.079008</v>
      </c>
      <c r="M133" s="175" t="n">
        <v>0</v>
      </c>
      <c r="N133" s="175" t="n">
        <v>44871.6</v>
      </c>
      <c r="O133" s="175"/>
      <c r="P133" s="175" t="n">
        <v>720</v>
      </c>
      <c r="Q133" s="176" t="n">
        <v>6</v>
      </c>
      <c r="R133" s="138" t="n">
        <v>12</v>
      </c>
      <c r="S133" s="177" t="n">
        <v>-39.18</v>
      </c>
      <c r="T133" s="215" t="n">
        <v>1.413</v>
      </c>
      <c r="U133" s="178" t="n">
        <v>0.369342532440358</v>
      </c>
      <c r="V133" s="177" t="n">
        <v>16572.9903786508</v>
      </c>
      <c r="W133" s="177" t="n">
        <v>244.681674503297</v>
      </c>
      <c r="X133" s="179" t="n">
        <v>0.0145490810933852</v>
      </c>
      <c r="Y133" s="177" t="n">
        <v>174.982870588235</v>
      </c>
      <c r="Z133" s="177" t="n">
        <v>130.2</v>
      </c>
      <c r="AA133" s="177" t="n">
        <v>721.153846153846</v>
      </c>
      <c r="AB133" s="177" t="n">
        <v>17804.8287698962</v>
      </c>
      <c r="AC133" s="215" t="n">
        <v>0.31</v>
      </c>
      <c r="AD133" s="215" t="s">
        <v>77</v>
      </c>
      <c r="AE133" s="177" t="n">
        <v>19655.106948</v>
      </c>
      <c r="AF133" s="177" t="n">
        <v>1850.27817810384</v>
      </c>
      <c r="AG133" s="181" t="n">
        <v>0.0941372734831197</v>
      </c>
      <c r="AH133" s="180" t="n">
        <v>16817.6720531541</v>
      </c>
      <c r="AI133" s="181" t="n">
        <v>0.855638796453629</v>
      </c>
      <c r="AJ133" s="181"/>
      <c r="AK133" s="181" t="s">
        <v>1086</v>
      </c>
      <c r="AL133" s="182" t="n">
        <v>0.396795050096189</v>
      </c>
      <c r="AN133" s="144" t="e">
        <v>#NAME?</v>
      </c>
      <c r="AO133" s="144" t="e">
        <f aca="false">_xlfn.xlookup(AN133,A:A,F:F)</f>
        <v>#NAME?</v>
      </c>
      <c r="AP133" s="144" t="e">
        <f aca="false">_xlfn.xlookup(AN133,A:A,J:J)</f>
        <v>#NAME?</v>
      </c>
      <c r="AQ133" s="144" t="e">
        <f aca="false">_xlfn.xlookup(AN133,A:A,N:N)+_xlfn.xlookup(AN133,A:A,O:O)</f>
        <v>#NAME?</v>
      </c>
      <c r="AR133" s="150" t="e">
        <f aca="false">_xlfn.xlookup(AN133,A:A,AH:AH)</f>
        <v>#NAME?</v>
      </c>
      <c r="AS133" s="150" t="e">
        <f aca="false">_xlfn.xlookup(AN133,A:A,S:S)</f>
        <v>#NAME?</v>
      </c>
      <c r="AT133" s="150" t="e">
        <f aca="false">_xlfn.xlookup(AN133,A:A,AE:AE)</f>
        <v>#NAME?</v>
      </c>
      <c r="AU133" s="150" t="e">
        <f aca="false">_xlfn.xlookup(AN133,A:A,AF:AF)</f>
        <v>#NAME?</v>
      </c>
      <c r="BB133" s="246"/>
      <c r="BC133" s="246"/>
      <c r="BD133" s="246"/>
      <c r="BE133" s="246"/>
      <c r="BF133" s="246"/>
      <c r="BH133" s="152" t="e">
        <f aca="false">_xlfn.xlookup(BG133,A:A,F:F)</f>
        <v>#NAME?</v>
      </c>
      <c r="BI133" s="144" t="e">
        <f aca="false">_xlfn.xlookup(BG133,A:A,J:J)</f>
        <v>#NAME?</v>
      </c>
      <c r="BJ133" s="153" t="e">
        <f aca="false">_xlfn.xlookup(BG133,A:A,N:N)+_xlfn.xlookup(BG133,A:A,O:O)</f>
        <v>#NAME?</v>
      </c>
      <c r="BK133" s="153" t="e">
        <f aca="false">_xlfn.xlookup(BG133,A81:A1076,AB81:AB1076)</f>
        <v>#NAME?</v>
      </c>
      <c r="BQ133" s="144" t="str">
        <f aca="false">IF(VALUE(MONTH(C133))&lt;10,YEAR(C133)&amp;"-0"&amp;MONTH(C133),YEAR(C133)&amp;"-"&amp;MONTH(C133))</f>
        <v>2024-11</v>
      </c>
      <c r="BR133" s="144" t="str">
        <f aca="false">J133</f>
        <v>D11-1</v>
      </c>
      <c r="BS133" s="144" t="str">
        <f aca="false">IF(ISNUMBER(FIND("-", BR133)), LEFT(BR133, FIND("-", BR133) - 1), BR133)</f>
        <v>D11</v>
      </c>
      <c r="BT133" s="189" t="n">
        <f aca="false">L133-M133+O133</f>
        <v>45534.079008</v>
      </c>
    </row>
    <row r="134" customFormat="false" ht="16.4" hidden="false" customHeight="false" outlineLevel="0" collapsed="false">
      <c r="A134" s="140" t="s">
        <v>1087</v>
      </c>
      <c r="B134" s="249" t="s">
        <v>893</v>
      </c>
      <c r="C134" s="174" t="n">
        <v>45618</v>
      </c>
      <c r="D134" s="173" t="n">
        <v>260</v>
      </c>
      <c r="E134" s="138" t="s">
        <v>94</v>
      </c>
      <c r="F134" s="138" t="s">
        <v>522</v>
      </c>
      <c r="G134" s="140" t="n">
        <v>105799</v>
      </c>
      <c r="H134" s="173" t="n">
        <v>40117</v>
      </c>
      <c r="I134" s="173" t="n">
        <v>30015</v>
      </c>
      <c r="J134" s="140" t="s">
        <v>762</v>
      </c>
      <c r="K134" s="140"/>
      <c r="L134" s="175" t="n">
        <v>14420.01024</v>
      </c>
      <c r="M134" s="175" t="n">
        <v>10698.624</v>
      </c>
      <c r="N134" s="175" t="n">
        <v>3576</v>
      </c>
      <c r="O134" s="175"/>
      <c r="P134" s="175" t="n">
        <v>60</v>
      </c>
      <c r="Q134" s="176" t="n">
        <v>1</v>
      </c>
      <c r="R134" s="138" t="n">
        <v>2.33</v>
      </c>
      <c r="S134" s="177" t="n">
        <v>-16.57</v>
      </c>
      <c r="T134" s="215" t="n">
        <v>1.398</v>
      </c>
      <c r="U134" s="178" t="n">
        <v>0.268854241086576</v>
      </c>
      <c r="V134" s="177" t="n">
        <v>961.422766125597</v>
      </c>
      <c r="W134" s="177" t="n">
        <v>39.0877072196308</v>
      </c>
      <c r="X134" s="179" t="n">
        <v>0.0100822563632243</v>
      </c>
      <c r="Y134" s="177" t="n">
        <v>14.5819058823529</v>
      </c>
      <c r="Z134" s="177" t="n">
        <v>21.7</v>
      </c>
      <c r="AA134" s="177" t="n">
        <v>140.024038461538</v>
      </c>
      <c r="AB134" s="177" t="n">
        <v>1160.24641768912</v>
      </c>
      <c r="AC134" s="215" t="n">
        <v>0.28</v>
      </c>
      <c r="AD134" s="215" t="s">
        <v>77</v>
      </c>
      <c r="AE134" s="177" t="n">
        <v>1399.78944</v>
      </c>
      <c r="AF134" s="177" t="n">
        <v>239.54302231088</v>
      </c>
      <c r="AG134" s="181" t="n">
        <v>0.171127896429109</v>
      </c>
      <c r="AH134" s="180" t="n">
        <v>1000.51047334523</v>
      </c>
      <c r="AI134" s="181" t="n">
        <v>0.714757837682522</v>
      </c>
      <c r="AJ134" s="181"/>
      <c r="AK134" s="181" t="s">
        <v>1087</v>
      </c>
      <c r="AL134" s="182" t="n">
        <v>0.32445369622179</v>
      </c>
      <c r="AN134" s="144" t="e">
        <v>#NAME?</v>
      </c>
      <c r="AO134" s="144" t="e">
        <f aca="false">_xlfn.xlookup(AN134,A:A,F:F)</f>
        <v>#NAME?</v>
      </c>
      <c r="AP134" s="144" t="e">
        <f aca="false">_xlfn.xlookup(AN134,A:A,J:J)</f>
        <v>#NAME?</v>
      </c>
      <c r="AQ134" s="144" t="e">
        <f aca="false">_xlfn.xlookup(AN134,A:A,N:N)+_xlfn.xlookup(AN134,A:A,O:O)</f>
        <v>#NAME?</v>
      </c>
      <c r="AR134" s="150" t="e">
        <f aca="false">_xlfn.xlookup(AN134,A:A,AH:AH)</f>
        <v>#NAME?</v>
      </c>
      <c r="AS134" s="150" t="e">
        <f aca="false">_xlfn.xlookup(AN134,A:A,S:S)</f>
        <v>#NAME?</v>
      </c>
      <c r="AT134" s="150" t="e">
        <f aca="false">_xlfn.xlookup(AN134,A:A,AE:AE)</f>
        <v>#NAME?</v>
      </c>
      <c r="AU134" s="150" t="e">
        <f aca="false">_xlfn.xlookup(AN134,A:A,AF:AF)</f>
        <v>#NAME?</v>
      </c>
      <c r="BB134" s="246"/>
      <c r="BC134" s="246"/>
      <c r="BD134" s="246"/>
      <c r="BE134" s="246"/>
      <c r="BF134" s="246"/>
      <c r="BH134" s="152" t="e">
        <f aca="false">_xlfn.xlookup(BG134,A:A,F:F)</f>
        <v>#NAME?</v>
      </c>
      <c r="BI134" s="144" t="e">
        <f aca="false">_xlfn.xlookup(BG134,A:A,J:J)</f>
        <v>#NAME?</v>
      </c>
      <c r="BJ134" s="153" t="e">
        <f aca="false">_xlfn.xlookup(BG134,A:A,N:N)+_xlfn.xlookup(BG134,A:A,O:O)</f>
        <v>#NAME?</v>
      </c>
      <c r="BK134" s="153" t="e">
        <f aca="false">_xlfn.xlookup(BG134,A82:A1077,AB82:AB1077)</f>
        <v>#NAME?</v>
      </c>
      <c r="BQ134" s="144" t="str">
        <f aca="false">IF(VALUE(MONTH(C134))&lt;10,YEAR(C134)&amp;"-0"&amp;MONTH(C134),YEAR(C134)&amp;"-"&amp;MONTH(C134))</f>
        <v>2024-11</v>
      </c>
      <c r="BR134" s="144" t="str">
        <f aca="false">J134</f>
        <v>S15-3</v>
      </c>
      <c r="BS134" s="144" t="str">
        <f aca="false">IF(ISNUMBER(FIND("-", BR134)), LEFT(BR134, FIND("-", BR134) - 1), BR134)</f>
        <v>S15</v>
      </c>
      <c r="BT134" s="189" t="n">
        <f aca="false">L134-M134+O134</f>
        <v>3721.38624</v>
      </c>
    </row>
    <row r="135" customFormat="false" ht="16.4" hidden="false" customHeight="false" outlineLevel="0" collapsed="false">
      <c r="A135" s="140" t="s">
        <v>1088</v>
      </c>
      <c r="B135" s="249" t="s">
        <v>893</v>
      </c>
      <c r="C135" s="174" t="n">
        <v>45618</v>
      </c>
      <c r="D135" s="173" t="n">
        <v>248</v>
      </c>
      <c r="E135" s="138" t="s">
        <v>221</v>
      </c>
      <c r="F135" s="138" t="s">
        <v>935</v>
      </c>
      <c r="G135" s="140" t="s">
        <v>208</v>
      </c>
      <c r="H135" s="173" t="n">
        <v>40176</v>
      </c>
      <c r="I135" s="173" t="n">
        <v>30023</v>
      </c>
      <c r="J135" s="140" t="s">
        <v>754</v>
      </c>
      <c r="K135" s="140"/>
      <c r="L135" s="175" t="n">
        <v>1111.104</v>
      </c>
      <c r="M135" s="175" t="n">
        <v>958.8</v>
      </c>
      <c r="N135" s="175" t="n">
        <v>126.9</v>
      </c>
      <c r="O135" s="175"/>
      <c r="P135" s="175" t="n">
        <v>4.5</v>
      </c>
      <c r="Q135" s="176" t="n">
        <v>0</v>
      </c>
      <c r="R135" s="138" t="n">
        <v>0.75</v>
      </c>
      <c r="S135" s="177" t="n">
        <v>0</v>
      </c>
      <c r="T135" s="215"/>
      <c r="U135" s="178" t="n">
        <v>0.2951148717267</v>
      </c>
      <c r="V135" s="177" t="n">
        <v>37.4500772221183</v>
      </c>
      <c r="W135" s="177" t="n">
        <v>7.49709820134509</v>
      </c>
      <c r="X135" s="179" t="n">
        <v>0.0228637463279765</v>
      </c>
      <c r="Y135" s="177" t="n">
        <v>1.09364294117647</v>
      </c>
      <c r="Z135" s="177" t="n">
        <v>0</v>
      </c>
      <c r="AA135" s="177" t="n">
        <v>45.0721153846154</v>
      </c>
      <c r="AB135" s="177" t="n">
        <v>91.1129337492552</v>
      </c>
      <c r="AC135" s="215" t="n">
        <v>0</v>
      </c>
      <c r="AD135" s="215" t="s">
        <v>88</v>
      </c>
      <c r="AE135" s="177" t="n">
        <v>0</v>
      </c>
      <c r="AF135" s="177" t="n">
        <v>-91.1129337492552</v>
      </c>
      <c r="AG135" s="181"/>
      <c r="AH135" s="180" t="n">
        <v>44.9471754234634</v>
      </c>
      <c r="AI135" s="181"/>
      <c r="AJ135" s="181" t="s">
        <v>895</v>
      </c>
      <c r="AK135" s="181" t="s">
        <v>1088</v>
      </c>
      <c r="AL135" s="182" t="n">
        <v>0.717990021664737</v>
      </c>
      <c r="AN135" s="144" t="e">
        <v>#NAME?</v>
      </c>
      <c r="AO135" s="144" t="e">
        <f aca="false">_xlfn.xlookup(AN135,A:A,F:F)</f>
        <v>#NAME?</v>
      </c>
      <c r="AP135" s="144" t="e">
        <f aca="false">_xlfn.xlookup(AN135,A:A,J:J)</f>
        <v>#NAME?</v>
      </c>
      <c r="AQ135" s="144" t="e">
        <f aca="false">_xlfn.xlookup(AN135,A:A,N:N)+_xlfn.xlookup(AN135,A:A,O:O)</f>
        <v>#NAME?</v>
      </c>
      <c r="AR135" s="150" t="e">
        <f aca="false">_xlfn.xlookup(AN135,A:A,AH:AH)</f>
        <v>#NAME?</v>
      </c>
      <c r="AS135" s="150" t="e">
        <f aca="false">_xlfn.xlookup(AN135,A:A,S:S)</f>
        <v>#NAME?</v>
      </c>
      <c r="AT135" s="150" t="e">
        <f aca="false">_xlfn.xlookup(AN135,A:A,AE:AE)</f>
        <v>#NAME?</v>
      </c>
      <c r="AU135" s="150" t="e">
        <f aca="false">_xlfn.xlookup(AN135,A:A,AF:AF)</f>
        <v>#NAME?</v>
      </c>
      <c r="BB135" s="246"/>
      <c r="BC135" s="246"/>
      <c r="BD135" s="246"/>
      <c r="BE135" s="246"/>
      <c r="BF135" s="246"/>
      <c r="BH135" s="152" t="e">
        <f aca="false">_xlfn.xlookup(BG135,A:A,F:F)</f>
        <v>#NAME?</v>
      </c>
      <c r="BI135" s="144" t="e">
        <f aca="false">_xlfn.xlookup(BG135,A:A,J:J)</f>
        <v>#NAME?</v>
      </c>
      <c r="BJ135" s="153" t="e">
        <f aca="false">_xlfn.xlookup(BG135,A:A,N:N)+_xlfn.xlookup(BG135,A:A,O:O)</f>
        <v>#NAME?</v>
      </c>
      <c r="BK135" s="153" t="e">
        <f aca="false">_xlfn.xlookup(BG135,A83:A1078,AB83:AB1078)</f>
        <v>#NAME?</v>
      </c>
      <c r="BQ135" s="144" t="str">
        <f aca="false">IF(VALUE(MONTH(C135))&lt;10,YEAR(C135)&amp;"-0"&amp;MONTH(C135),YEAR(C135)&amp;"-"&amp;MONTH(C135))</f>
        <v>2024-11</v>
      </c>
      <c r="BR135" s="144" t="str">
        <f aca="false">J135</f>
        <v>T11-1</v>
      </c>
      <c r="BS135" s="144" t="str">
        <f aca="false">IF(ISNUMBER(FIND("-", BR135)), LEFT(BR135, FIND("-", BR135) - 1), BR135)</f>
        <v>T11</v>
      </c>
      <c r="BT135" s="189" t="n">
        <f aca="false">L135-M135+O135</f>
        <v>152.304</v>
      </c>
    </row>
    <row r="136" customFormat="false" ht="16.4" hidden="false" customHeight="false" outlineLevel="0" collapsed="false">
      <c r="A136" s="140" t="s">
        <v>1089</v>
      </c>
      <c r="B136" s="249" t="s">
        <v>893</v>
      </c>
      <c r="C136" s="174" t="n">
        <v>45621</v>
      </c>
      <c r="D136" s="173" t="n">
        <v>261</v>
      </c>
      <c r="E136" s="138" t="s">
        <v>94</v>
      </c>
      <c r="F136" s="138" t="s">
        <v>522</v>
      </c>
      <c r="G136" s="140" t="n">
        <v>105844</v>
      </c>
      <c r="H136" s="173" t="n">
        <v>40117</v>
      </c>
      <c r="I136" s="173" t="n">
        <v>30015</v>
      </c>
      <c r="J136" s="140" t="s">
        <v>762</v>
      </c>
      <c r="K136" s="140"/>
      <c r="L136" s="175" t="n">
        <v>10698.624</v>
      </c>
      <c r="M136" s="175" t="n">
        <v>3614.4</v>
      </c>
      <c r="N136" s="175" t="n">
        <v>6912</v>
      </c>
      <c r="O136" s="175"/>
      <c r="P136" s="175" t="n">
        <v>60</v>
      </c>
      <c r="Q136" s="176" t="n">
        <v>1</v>
      </c>
      <c r="R136" s="138" t="n">
        <v>4</v>
      </c>
      <c r="S136" s="177" t="n">
        <v>-21.38</v>
      </c>
      <c r="T136" s="248" t="n">
        <v>1.4056</v>
      </c>
      <c r="U136" s="259" t="n">
        <v>0.268854241086576</v>
      </c>
      <c r="V136" s="177" t="n">
        <v>1858.32051439042</v>
      </c>
      <c r="W136" s="177" t="n">
        <v>46.3031528168945</v>
      </c>
      <c r="X136" s="179" t="n">
        <v>0.0160977710778507</v>
      </c>
      <c r="Y136" s="177" t="n">
        <v>14.5819058823529</v>
      </c>
      <c r="Z136" s="177" t="n">
        <v>21.7</v>
      </c>
      <c r="AA136" s="177" t="n">
        <v>240.384615384615</v>
      </c>
      <c r="AB136" s="260" t="n">
        <v>2159.91018847428</v>
      </c>
      <c r="AC136" s="215" t="n">
        <v>0.28</v>
      </c>
      <c r="AD136" s="215" t="s">
        <v>77</v>
      </c>
      <c r="AE136" s="177" t="n">
        <v>2720.342016</v>
      </c>
      <c r="AF136" s="177" t="n">
        <v>560.431827525722</v>
      </c>
      <c r="AG136" s="181" t="n">
        <v>0.206015208466244</v>
      </c>
      <c r="AH136" s="180" t="n">
        <v>1904.62366720731</v>
      </c>
      <c r="AI136" s="181" t="n">
        <v>0.700141252829626</v>
      </c>
      <c r="AJ136" s="181"/>
      <c r="AK136" s="181" t="s">
        <v>1089</v>
      </c>
      <c r="AL136" s="182" t="n">
        <v>0.312487006434357</v>
      </c>
      <c r="AN136" s="144" t="e">
        <v>#NAME?</v>
      </c>
      <c r="AO136" s="144" t="e">
        <f aca="false">_xlfn.xlookup(AN136,A:A,F:F)</f>
        <v>#NAME?</v>
      </c>
      <c r="AP136" s="144" t="e">
        <f aca="false">_xlfn.xlookup(AN136,A:A,J:J)</f>
        <v>#NAME?</v>
      </c>
      <c r="AQ136" s="144" t="e">
        <f aca="false">_xlfn.xlookup(AN136,A:A,N:N)+_xlfn.xlookup(AN136,A:A,O:O)</f>
        <v>#NAME?</v>
      </c>
      <c r="AR136" s="150" t="e">
        <f aca="false">_xlfn.xlookup(AN136,A:A,AH:AH)</f>
        <v>#NAME?</v>
      </c>
      <c r="AS136" s="150" t="e">
        <f aca="false">_xlfn.xlookup(AN136,A:A,S:S)</f>
        <v>#NAME?</v>
      </c>
      <c r="AT136" s="150" t="e">
        <f aca="false">_xlfn.xlookup(AN136,A:A,AE:AE)</f>
        <v>#NAME?</v>
      </c>
      <c r="AU136" s="150" t="e">
        <f aca="false">_xlfn.xlookup(AN136,A:A,AF:AF)</f>
        <v>#NAME?</v>
      </c>
      <c r="BB136" s="246"/>
      <c r="BC136" s="246"/>
      <c r="BD136" s="246"/>
      <c r="BE136" s="246"/>
      <c r="BF136" s="246"/>
      <c r="BH136" s="152" t="e">
        <f aca="false">_xlfn.xlookup(BG136,A:A,F:F)</f>
        <v>#NAME?</v>
      </c>
      <c r="BI136" s="144" t="e">
        <f aca="false">_xlfn.xlookup(BG136,A:A,J:J)</f>
        <v>#NAME?</v>
      </c>
      <c r="BJ136" s="153" t="e">
        <f aca="false">_xlfn.xlookup(BG136,A:A,N:N)+_xlfn.xlookup(BG136,A:A,O:O)</f>
        <v>#NAME?</v>
      </c>
      <c r="BK136" s="153" t="e">
        <f aca="false">_xlfn.xlookup(BG136,A84:A1079,AB84:AB1079)</f>
        <v>#NAME?</v>
      </c>
      <c r="BQ136" s="144" t="str">
        <f aca="false">IF(VALUE(MONTH(C136))&lt;10,YEAR(C136)&amp;"-0"&amp;MONTH(C136),YEAR(C136)&amp;"-"&amp;MONTH(C136))</f>
        <v>2024-11</v>
      </c>
      <c r="BR136" s="144" t="str">
        <f aca="false">J136</f>
        <v>S15-3</v>
      </c>
      <c r="BS136" s="144" t="str">
        <f aca="false">IF(ISNUMBER(FIND("-", BR136)), LEFT(BR136, FIND("-", BR136) - 1), BR136)</f>
        <v>S15</v>
      </c>
      <c r="BT136" s="189" t="n">
        <f aca="false">L136-M136+O136</f>
        <v>7084.224</v>
      </c>
    </row>
    <row r="137" customFormat="false" ht="16.4" hidden="false" customHeight="false" outlineLevel="0" collapsed="false">
      <c r="A137" s="140" t="s">
        <v>1090</v>
      </c>
      <c r="B137" s="249" t="s">
        <v>893</v>
      </c>
      <c r="C137" s="174" t="n">
        <v>45621</v>
      </c>
      <c r="D137" s="173" t="n">
        <v>262</v>
      </c>
      <c r="E137" s="138" t="s">
        <v>210</v>
      </c>
      <c r="F137" s="138" t="s">
        <v>575</v>
      </c>
      <c r="G137" s="140" t="n">
        <v>2898</v>
      </c>
      <c r="H137" s="173" t="n">
        <v>40179</v>
      </c>
      <c r="I137" s="173" t="n">
        <v>30011</v>
      </c>
      <c r="J137" s="140" t="s">
        <v>760</v>
      </c>
      <c r="K137" s="140"/>
      <c r="L137" s="175" t="n">
        <v>7115.30784</v>
      </c>
      <c r="M137" s="175" t="n">
        <v>0</v>
      </c>
      <c r="N137" s="175" t="n">
        <v>6984</v>
      </c>
      <c r="O137" s="175"/>
      <c r="P137" s="175" t="n">
        <v>60</v>
      </c>
      <c r="Q137" s="176" t="n">
        <v>2</v>
      </c>
      <c r="R137" s="138" t="n">
        <v>1</v>
      </c>
      <c r="S137" s="177" t="n">
        <v>240.58</v>
      </c>
      <c r="T137" s="215"/>
      <c r="U137" s="178" t="n">
        <v>0.28357864079936</v>
      </c>
      <c r="V137" s="177" t="n">
        <v>1980.51322734273</v>
      </c>
      <c r="W137" s="177" t="n">
        <v>37.2360987934997</v>
      </c>
      <c r="X137" s="179" t="n">
        <v>0.018454273933424</v>
      </c>
      <c r="Y137" s="177" t="n">
        <v>14.5819058823529</v>
      </c>
      <c r="Z137" s="177" t="n">
        <v>43.4</v>
      </c>
      <c r="AA137" s="177" t="n">
        <v>60.0961538461539</v>
      </c>
      <c r="AB137" s="177" t="n">
        <v>2376.40738586474</v>
      </c>
      <c r="AC137" s="215" t="n">
        <v>0.331</v>
      </c>
      <c r="AD137" s="215" t="s">
        <v>88</v>
      </c>
      <c r="AE137" s="177" t="n">
        <v>2311.704</v>
      </c>
      <c r="AF137" s="177" t="n">
        <v>-64.7033858647365</v>
      </c>
      <c r="AG137" s="181" t="n">
        <v>-0.0279894769679581</v>
      </c>
      <c r="AH137" s="180" t="n">
        <v>2017.74932613623</v>
      </c>
      <c r="AI137" s="181" t="n">
        <v>0.872840695061405</v>
      </c>
      <c r="AJ137" s="181"/>
      <c r="AK137" s="181" t="s">
        <v>1090</v>
      </c>
      <c r="AL137" s="182" t="n">
        <v>0.340264516876394</v>
      </c>
      <c r="AN137" s="144" t="e">
        <v>#NAME?</v>
      </c>
      <c r="AO137" s="144" t="e">
        <f aca="false">_xlfn.xlookup(AN137,A:A,F:F)</f>
        <v>#NAME?</v>
      </c>
      <c r="AP137" s="144" t="e">
        <f aca="false">_xlfn.xlookup(AN137,A:A,J:J)</f>
        <v>#NAME?</v>
      </c>
      <c r="AQ137" s="144" t="e">
        <f aca="false">_xlfn.xlookup(AN137,A:A,N:N)+_xlfn.xlookup(AN137,A:A,O:O)</f>
        <v>#NAME?</v>
      </c>
      <c r="AR137" s="150" t="e">
        <f aca="false">_xlfn.xlookup(AN137,A:A,AH:AH)</f>
        <v>#NAME?</v>
      </c>
      <c r="AS137" s="150" t="e">
        <f aca="false">_xlfn.xlookup(AN137,A:A,S:S)</f>
        <v>#NAME?</v>
      </c>
      <c r="AT137" s="150" t="e">
        <f aca="false">_xlfn.xlookup(AN137,A:A,AE:AE)</f>
        <v>#NAME?</v>
      </c>
      <c r="AU137" s="150" t="e">
        <f aca="false">_xlfn.xlookup(AN137,A:A,AF:AF)</f>
        <v>#NAME?</v>
      </c>
      <c r="BB137" s="246"/>
      <c r="BC137" s="246"/>
      <c r="BD137" s="246"/>
      <c r="BE137" s="246"/>
      <c r="BF137" s="246"/>
      <c r="BH137" s="152" t="e">
        <f aca="false">_xlfn.xlookup(BG137,A:A,F:F)</f>
        <v>#NAME?</v>
      </c>
      <c r="BI137" s="144" t="e">
        <f aca="false">_xlfn.xlookup(BG137,A:A,J:J)</f>
        <v>#NAME?</v>
      </c>
      <c r="BJ137" s="153" t="e">
        <f aca="false">_xlfn.xlookup(BG137,A:A,N:N)+_xlfn.xlookup(BG137,A:A,O:O)</f>
        <v>#NAME?</v>
      </c>
      <c r="BK137" s="153" t="e">
        <f aca="false">_xlfn.xlookup(BG137,A85:A1080,AB85:AB1080)</f>
        <v>#NAME?</v>
      </c>
      <c r="BQ137" s="144" t="str">
        <f aca="false">IF(VALUE(MONTH(C137))&lt;10,YEAR(C137)&amp;"-0"&amp;MONTH(C137),YEAR(C137)&amp;"-"&amp;MONTH(C137))</f>
        <v>2024-11</v>
      </c>
      <c r="BR137" s="144" t="str">
        <f aca="false">J137</f>
        <v>S21-1</v>
      </c>
      <c r="BS137" s="144" t="str">
        <f aca="false">IF(ISNUMBER(FIND("-", BR137)), LEFT(BR137, FIND("-", BR137) - 1), BR137)</f>
        <v>S21</v>
      </c>
      <c r="BT137" s="189" t="n">
        <f aca="false">L137-M137+O137</f>
        <v>7115.30784</v>
      </c>
    </row>
    <row r="138" customFormat="false" ht="16.4" hidden="false" customHeight="false" outlineLevel="0" collapsed="false">
      <c r="A138" s="140" t="s">
        <v>1091</v>
      </c>
      <c r="B138" s="249" t="s">
        <v>893</v>
      </c>
      <c r="C138" s="174" t="n">
        <v>45622</v>
      </c>
      <c r="D138" s="173" t="n">
        <v>263</v>
      </c>
      <c r="E138" s="138" t="s">
        <v>134</v>
      </c>
      <c r="F138" s="138" t="s">
        <v>671</v>
      </c>
      <c r="G138" s="140" t="n">
        <v>9869</v>
      </c>
      <c r="H138" s="173" t="n">
        <v>40180</v>
      </c>
      <c r="I138" s="173" t="n">
        <v>30025</v>
      </c>
      <c r="J138" s="140" t="s">
        <v>904</v>
      </c>
      <c r="K138" s="140"/>
      <c r="L138" s="175" t="n">
        <v>7589.013168</v>
      </c>
      <c r="M138" s="175" t="n">
        <v>5247.99</v>
      </c>
      <c r="N138" s="175" t="n">
        <v>2257.2</v>
      </c>
      <c r="O138" s="175"/>
      <c r="P138" s="175" t="n">
        <v>18</v>
      </c>
      <c r="Q138" s="176" t="n">
        <v>1</v>
      </c>
      <c r="R138" s="138" t="n">
        <v>1.75</v>
      </c>
      <c r="S138" s="177" t="n">
        <v>65</v>
      </c>
      <c r="T138" s="215"/>
      <c r="U138" s="178" t="n">
        <v>0.369342532440358</v>
      </c>
      <c r="V138" s="177" t="n">
        <v>833.679964224377</v>
      </c>
      <c r="W138" s="177" t="n">
        <v>30.9594611462932</v>
      </c>
      <c r="X138" s="179" t="n">
        <v>0.0110453317373924</v>
      </c>
      <c r="Y138" s="177" t="n">
        <v>4.37457176470588</v>
      </c>
      <c r="Z138" s="177" t="n">
        <v>21.7</v>
      </c>
      <c r="AA138" s="177" t="n">
        <v>105.168269230769</v>
      </c>
      <c r="AB138" s="177" t="n">
        <v>1060.88226636615</v>
      </c>
      <c r="AC138" s="215" t="n">
        <v>0.458</v>
      </c>
      <c r="AD138" s="215" t="s">
        <v>88</v>
      </c>
      <c r="AE138" s="177" t="n">
        <v>1033.7976</v>
      </c>
      <c r="AF138" s="177" t="n">
        <v>-27.0846663661453</v>
      </c>
      <c r="AG138" s="181" t="n">
        <v>-0.0261991964057038</v>
      </c>
      <c r="AH138" s="180" t="n">
        <v>864.63942537067</v>
      </c>
      <c r="AI138" s="181" t="n">
        <v>0.836372057132528</v>
      </c>
      <c r="AJ138" s="181"/>
      <c r="AK138" s="181" t="s">
        <v>1091</v>
      </c>
      <c r="AL138" s="182" t="n">
        <v>0.469999231953812</v>
      </c>
      <c r="AN138" s="144" t="e">
        <v>#NAME?</v>
      </c>
      <c r="AO138" s="144" t="e">
        <f aca="false">_xlfn.xlookup(AN138,A:A,F:F)</f>
        <v>#NAME?</v>
      </c>
      <c r="AP138" s="144" t="e">
        <f aca="false">_xlfn.xlookup(AN138,A:A,J:J)</f>
        <v>#NAME?</v>
      </c>
      <c r="AQ138" s="144" t="e">
        <f aca="false">_xlfn.xlookup(AN138,A:A,N:N)+_xlfn.xlookup(AN138,A:A,O:O)</f>
        <v>#NAME?</v>
      </c>
      <c r="AR138" s="150" t="e">
        <f aca="false">_xlfn.xlookup(AN138,A:A,AH:AH)</f>
        <v>#NAME?</v>
      </c>
      <c r="AS138" s="150" t="e">
        <f aca="false">_xlfn.xlookup(AN138,A:A,S:S)</f>
        <v>#NAME?</v>
      </c>
      <c r="AT138" s="150" t="e">
        <f aca="false">_xlfn.xlookup(AN138,A:A,AE:AE)</f>
        <v>#NAME?</v>
      </c>
      <c r="AU138" s="150" t="e">
        <f aca="false">_xlfn.xlookup(AN138,A:A,AF:AF)</f>
        <v>#NAME?</v>
      </c>
      <c r="BB138" s="246"/>
      <c r="BC138" s="246"/>
      <c r="BD138" s="246"/>
      <c r="BE138" s="246"/>
      <c r="BF138" s="246"/>
      <c r="BH138" s="152" t="e">
        <f aca="false">_xlfn.xlookup(BG138,A:A,F:F)</f>
        <v>#NAME?</v>
      </c>
      <c r="BI138" s="144" t="e">
        <f aca="false">_xlfn.xlookup(BG138,A:A,J:J)</f>
        <v>#NAME?</v>
      </c>
      <c r="BJ138" s="153" t="e">
        <f aca="false">_xlfn.xlookup(BG138,A:A,N:N)+_xlfn.xlookup(BG138,A:A,O:O)</f>
        <v>#NAME?</v>
      </c>
      <c r="BK138" s="153" t="e">
        <f aca="false">_xlfn.xlookup(BG138,A86:A1081,AB86:AB1081)</f>
        <v>#NAME?</v>
      </c>
      <c r="BQ138" s="144" t="str">
        <f aca="false">IF(VALUE(MONTH(C138))&lt;10,YEAR(C138)&amp;"-0"&amp;MONTH(C138),YEAR(C138)&amp;"-"&amp;MONTH(C138))</f>
        <v>2024-11</v>
      </c>
      <c r="BR138" s="144" t="str">
        <f aca="false">J138</f>
        <v>D11-1</v>
      </c>
      <c r="BS138" s="144" t="str">
        <f aca="false">IF(ISNUMBER(FIND("-", BR138)), LEFT(BR138, FIND("-", BR138) - 1), BR138)</f>
        <v>D11</v>
      </c>
      <c r="BT138" s="189" t="n">
        <f aca="false">L138-M138+O138</f>
        <v>2341.023168</v>
      </c>
    </row>
    <row r="139" customFormat="false" ht="16.4" hidden="false" customHeight="false" outlineLevel="0" collapsed="false">
      <c r="A139" s="140" t="s">
        <v>1092</v>
      </c>
      <c r="B139" s="249" t="s">
        <v>893</v>
      </c>
      <c r="C139" s="174" t="n">
        <v>45623</v>
      </c>
      <c r="D139" s="173" t="n">
        <v>265</v>
      </c>
      <c r="E139" s="138" t="s">
        <v>134</v>
      </c>
      <c r="F139" s="138" t="s">
        <v>671</v>
      </c>
      <c r="G139" s="140" t="n">
        <v>9875</v>
      </c>
      <c r="H139" s="173" t="n">
        <v>40096</v>
      </c>
      <c r="I139" s="173" t="n">
        <v>30027</v>
      </c>
      <c r="J139" s="140" t="s">
        <v>768</v>
      </c>
      <c r="K139" s="140"/>
      <c r="L139" s="175" t="n">
        <v>14395.19928</v>
      </c>
      <c r="M139" s="175" t="n">
        <v>0</v>
      </c>
      <c r="N139" s="175" t="n">
        <v>14284.8</v>
      </c>
      <c r="O139" s="175"/>
      <c r="P139" s="175" t="n">
        <v>240</v>
      </c>
      <c r="Q139" s="176" t="n">
        <v>3</v>
      </c>
      <c r="R139" s="138" t="n">
        <v>2.25</v>
      </c>
      <c r="S139" s="177" t="n">
        <v>148.2</v>
      </c>
      <c r="T139" s="215"/>
      <c r="U139" s="178" t="n">
        <v>0.307208514182256</v>
      </c>
      <c r="V139" s="177" t="n">
        <v>4388.41218339069</v>
      </c>
      <c r="W139" s="177" t="n">
        <v>33.9155987755918</v>
      </c>
      <c r="X139" s="179" t="n">
        <v>0.00766917344127266</v>
      </c>
      <c r="Y139" s="177" t="n">
        <v>58.3276235294118</v>
      </c>
      <c r="Z139" s="177" t="n">
        <v>65.1</v>
      </c>
      <c r="AA139" s="177" t="n">
        <v>135.216346153846</v>
      </c>
      <c r="AB139" s="177" t="n">
        <v>4829.17175184954</v>
      </c>
      <c r="AC139" s="215" t="n">
        <v>0.452</v>
      </c>
      <c r="AD139" s="215" t="s">
        <v>88</v>
      </c>
      <c r="AE139" s="177" t="n">
        <v>6456.7296</v>
      </c>
      <c r="AF139" s="177" t="n">
        <v>1627.55784815046</v>
      </c>
      <c r="AG139" s="181" t="n">
        <v>0.252071551540653</v>
      </c>
      <c r="AH139" s="180" t="n">
        <v>4422.32778216628</v>
      </c>
      <c r="AI139" s="181" t="n">
        <v>0.684917606301227</v>
      </c>
      <c r="AJ139" s="181"/>
      <c r="AK139" s="181" t="s">
        <v>1092</v>
      </c>
      <c r="AL139" s="182" t="n">
        <v>0.338063658703625</v>
      </c>
      <c r="AN139" s="144" t="e">
        <v>#NAME?</v>
      </c>
      <c r="AO139" s="144" t="e">
        <f aca="false">_xlfn.xlookup(AN139,A:A,F:F)</f>
        <v>#NAME?</v>
      </c>
      <c r="AP139" s="144" t="e">
        <f aca="false">_xlfn.xlookup(AN139,A:A,J:J)</f>
        <v>#NAME?</v>
      </c>
      <c r="AQ139" s="144" t="e">
        <f aca="false">_xlfn.xlookup(AN139,A:A,N:N)+_xlfn.xlookup(AN139,A:A,O:O)</f>
        <v>#NAME?</v>
      </c>
      <c r="AR139" s="150" t="e">
        <f aca="false">_xlfn.xlookup(AN139,A:A,AH:AH)</f>
        <v>#NAME?</v>
      </c>
      <c r="AS139" s="150" t="e">
        <f aca="false">_xlfn.xlookup(AN139,A:A,S:S)</f>
        <v>#NAME?</v>
      </c>
      <c r="AT139" s="150" t="e">
        <f aca="false">_xlfn.xlookup(AN139,A:A,AE:AE)</f>
        <v>#NAME?</v>
      </c>
      <c r="AU139" s="150" t="e">
        <f aca="false">_xlfn.xlookup(AN139,A:A,AF:AF)</f>
        <v>#NAME?</v>
      </c>
      <c r="BB139" s="246"/>
      <c r="BC139" s="246"/>
      <c r="BD139" s="246"/>
      <c r="BE139" s="246"/>
      <c r="BF139" s="246"/>
      <c r="BH139" s="152" t="e">
        <f aca="false">_xlfn.xlookup(BG139,A:A,F:F)</f>
        <v>#NAME?</v>
      </c>
      <c r="BI139" s="144" t="e">
        <f aca="false">_xlfn.xlookup(BG139,A:A,J:J)</f>
        <v>#NAME?</v>
      </c>
      <c r="BJ139" s="153" t="e">
        <f aca="false">_xlfn.xlookup(BG139,A:A,N:N)+_xlfn.xlookup(BG139,A:A,O:O)</f>
        <v>#NAME?</v>
      </c>
      <c r="BK139" s="153" t="e">
        <f aca="false">_xlfn.xlookup(BG139,A87:A1082,AB87:AB1082)</f>
        <v>#NAME?</v>
      </c>
      <c r="BQ139" s="144" t="str">
        <f aca="false">IF(VALUE(MONTH(C139))&lt;10,YEAR(C139)&amp;"-0"&amp;MONTH(C139),YEAR(C139)&amp;"-"&amp;MONTH(C139))</f>
        <v>2024-11</v>
      </c>
      <c r="BR139" s="144" t="str">
        <f aca="false">J139</f>
        <v>B25-3</v>
      </c>
      <c r="BS139" s="144" t="str">
        <f aca="false">IF(ISNUMBER(FIND("-", BR139)), LEFT(BR139, FIND("-", BR139) - 1), BR139)</f>
        <v>B25</v>
      </c>
      <c r="BT139" s="189" t="n">
        <f aca="false">L139-M139+O139</f>
        <v>14395.19928</v>
      </c>
    </row>
    <row r="140" customFormat="false" ht="16.4" hidden="false" customHeight="false" outlineLevel="0" collapsed="false">
      <c r="A140" s="140" t="s">
        <v>1093</v>
      </c>
      <c r="B140" s="249" t="s">
        <v>893</v>
      </c>
      <c r="C140" s="174" t="n">
        <v>45623</v>
      </c>
      <c r="D140" s="173" t="n">
        <v>266</v>
      </c>
      <c r="E140" s="138" t="s">
        <v>96</v>
      </c>
      <c r="F140" s="138" t="s">
        <v>582</v>
      </c>
      <c r="G140" s="140" t="n">
        <v>1954</v>
      </c>
      <c r="H140" s="173" t="n">
        <v>40183</v>
      </c>
      <c r="I140" s="173" t="n">
        <v>30011</v>
      </c>
      <c r="J140" s="140" t="s">
        <v>760</v>
      </c>
      <c r="K140" s="140"/>
      <c r="L140" s="175" t="n">
        <v>7115.30784</v>
      </c>
      <c r="M140" s="175" t="n">
        <v>3433.68</v>
      </c>
      <c r="N140" s="175" t="n">
        <v>3564</v>
      </c>
      <c r="O140" s="175"/>
      <c r="P140" s="175" t="n">
        <v>60</v>
      </c>
      <c r="Q140" s="176" t="n">
        <v>1</v>
      </c>
      <c r="R140" s="138" t="n">
        <v>1.75</v>
      </c>
      <c r="S140" s="177" t="n">
        <v>0</v>
      </c>
      <c r="T140" s="215"/>
      <c r="U140" s="178" t="n">
        <v>0.28357864079936</v>
      </c>
      <c r="V140" s="177" t="n">
        <v>1010.67427580892</v>
      </c>
      <c r="W140" s="177" t="n">
        <v>33.3567429873644</v>
      </c>
      <c r="X140" s="179" t="n">
        <v>0.0165316585937059</v>
      </c>
      <c r="Y140" s="177" t="n">
        <v>14.5819058823529</v>
      </c>
      <c r="Z140" s="177" t="n">
        <v>21.7</v>
      </c>
      <c r="AA140" s="177" t="n">
        <v>105.168269230769</v>
      </c>
      <c r="AB140" s="177" t="n">
        <v>1185.48119390941</v>
      </c>
      <c r="AC140" s="215" t="n">
        <v>0.37</v>
      </c>
      <c r="AD140" s="215" t="s">
        <v>88</v>
      </c>
      <c r="AE140" s="177" t="n">
        <v>1318.68</v>
      </c>
      <c r="AF140" s="177" t="n">
        <v>133.198806090595</v>
      </c>
      <c r="AG140" s="181" t="n">
        <v>0.101009195627897</v>
      </c>
      <c r="AH140" s="180" t="n">
        <v>1044.03101879628</v>
      </c>
      <c r="AI140" s="181" t="n">
        <v>0.791724314311496</v>
      </c>
      <c r="AJ140" s="181"/>
      <c r="AK140" s="181" t="s">
        <v>1093</v>
      </c>
      <c r="AL140" s="182" t="n">
        <v>0.332626597617678</v>
      </c>
      <c r="AN140" s="144" t="e">
        <v>#NAME?</v>
      </c>
      <c r="AO140" s="144" t="e">
        <f aca="false">_xlfn.xlookup(AN140,A:A,F:F)</f>
        <v>#NAME?</v>
      </c>
      <c r="AP140" s="144" t="e">
        <f aca="false">_xlfn.xlookup(AN140,A:A,J:J)</f>
        <v>#NAME?</v>
      </c>
      <c r="AQ140" s="144" t="e">
        <f aca="false">_xlfn.xlookup(AN140,A:A,N:N)+_xlfn.xlookup(AN140,A:A,O:O)</f>
        <v>#NAME?</v>
      </c>
      <c r="AR140" s="150" t="e">
        <f aca="false">_xlfn.xlookup(AN140,A:A,AH:AH)</f>
        <v>#NAME?</v>
      </c>
      <c r="AS140" s="150" t="e">
        <f aca="false">_xlfn.xlookup(AN140,A:A,S:S)</f>
        <v>#NAME?</v>
      </c>
      <c r="AT140" s="150" t="e">
        <f aca="false">_xlfn.xlookup(AN140,A:A,AE:AE)</f>
        <v>#NAME?</v>
      </c>
      <c r="AU140" s="150" t="e">
        <f aca="false">_xlfn.xlookup(AN140,A:A,AF:AF)</f>
        <v>#NAME?</v>
      </c>
      <c r="BB140" s="246"/>
      <c r="BC140" s="246"/>
      <c r="BD140" s="246"/>
      <c r="BE140" s="246"/>
      <c r="BF140" s="246"/>
      <c r="BH140" s="152" t="e">
        <f aca="false">_xlfn.xlookup(BG140,A:A,F:F)</f>
        <v>#NAME?</v>
      </c>
      <c r="BI140" s="144" t="e">
        <f aca="false">_xlfn.xlookup(BG140,A:A,J:J)</f>
        <v>#NAME?</v>
      </c>
      <c r="BJ140" s="153" t="e">
        <f aca="false">_xlfn.xlookup(BG140,A:A,N:N)+_xlfn.xlookup(BG140,A:A,O:O)</f>
        <v>#NAME?</v>
      </c>
      <c r="BK140" s="153" t="e">
        <f aca="false">_xlfn.xlookup(BG140,A88:A1083,AB88:AB1083)</f>
        <v>#NAME?</v>
      </c>
      <c r="BQ140" s="144" t="str">
        <f aca="false">IF(VALUE(MONTH(C140))&lt;10,YEAR(C140)&amp;"-0"&amp;MONTH(C140),YEAR(C140)&amp;"-"&amp;MONTH(C140))</f>
        <v>2024-11</v>
      </c>
      <c r="BR140" s="144" t="str">
        <f aca="false">J140</f>
        <v>S21-1</v>
      </c>
      <c r="BS140" s="144" t="str">
        <f aca="false">IF(ISNUMBER(FIND("-", BR140)), LEFT(BR140, FIND("-", BR140) - 1), BR140)</f>
        <v>S21</v>
      </c>
      <c r="BT140" s="189" t="n">
        <f aca="false">L140-M140+O140</f>
        <v>3681.62784</v>
      </c>
    </row>
    <row r="141" customFormat="false" ht="16.4" hidden="false" customHeight="false" outlineLevel="0" collapsed="false">
      <c r="A141" s="140" t="s">
        <v>1094</v>
      </c>
      <c r="B141" s="249" t="s">
        <v>893</v>
      </c>
      <c r="C141" s="174" t="n">
        <v>45623</v>
      </c>
      <c r="D141" s="173" t="n">
        <v>267</v>
      </c>
      <c r="E141" s="138" t="s">
        <v>210</v>
      </c>
      <c r="F141" s="138" t="s">
        <v>575</v>
      </c>
      <c r="G141" s="140" t="n">
        <v>2905</v>
      </c>
      <c r="H141" s="173" t="n">
        <v>40186</v>
      </c>
      <c r="I141" s="173" t="n">
        <v>30027</v>
      </c>
      <c r="J141" s="140" t="s">
        <v>768</v>
      </c>
      <c r="K141" s="140"/>
      <c r="L141" s="175" t="n">
        <v>7228.32</v>
      </c>
      <c r="M141" s="175" t="n">
        <v>0</v>
      </c>
      <c r="N141" s="175" t="n">
        <v>7200</v>
      </c>
      <c r="O141" s="175"/>
      <c r="P141" s="175" t="n">
        <v>60</v>
      </c>
      <c r="Q141" s="176" t="n">
        <v>2</v>
      </c>
      <c r="R141" s="138" t="n">
        <v>1</v>
      </c>
      <c r="S141" s="177" t="n">
        <v>125.142857142857</v>
      </c>
      <c r="T141" s="215"/>
      <c r="U141" s="259" t="n">
        <v>0.307208514182256</v>
      </c>
      <c r="V141" s="177" t="n">
        <v>2211.90130211224</v>
      </c>
      <c r="W141" s="177" t="n">
        <v>8.7001451216414</v>
      </c>
      <c r="X141" s="179" t="n">
        <v>0.00391792283684172</v>
      </c>
      <c r="Y141" s="177" t="n">
        <v>14.5819058823529</v>
      </c>
      <c r="Z141" s="177" t="n">
        <v>43.4</v>
      </c>
      <c r="AA141" s="177" t="n">
        <v>60.0961538461539</v>
      </c>
      <c r="AB141" s="260" t="n">
        <v>2463.82236410525</v>
      </c>
      <c r="AC141" s="215" t="n">
        <v>0.452</v>
      </c>
      <c r="AD141" s="215" t="s">
        <v>88</v>
      </c>
      <c r="AE141" s="177" t="n">
        <v>3254.4</v>
      </c>
      <c r="AF141" s="177" t="n">
        <v>790.577635894751</v>
      </c>
      <c r="AG141" s="181" t="n">
        <v>0.242925773074838</v>
      </c>
      <c r="AH141" s="180" t="n">
        <v>2220.60144723388</v>
      </c>
      <c r="AI141" s="181" t="n">
        <v>0.682338202812772</v>
      </c>
      <c r="AJ141" s="181"/>
      <c r="AK141" s="181" t="s">
        <v>1094</v>
      </c>
      <c r="AL141" s="182" t="n">
        <v>0.342197550570173</v>
      </c>
      <c r="AN141" s="144" t="e">
        <v>#NAME?</v>
      </c>
      <c r="AO141" s="144" t="e">
        <f aca="false">_xlfn.xlookup(AN141,A:A,F:F)</f>
        <v>#NAME?</v>
      </c>
      <c r="AP141" s="144" t="e">
        <f aca="false">_xlfn.xlookup(AN141,A:A,J:J)</f>
        <v>#NAME?</v>
      </c>
      <c r="AQ141" s="144" t="e">
        <f aca="false">_xlfn.xlookup(AN141,A:A,N:N)+_xlfn.xlookup(AN141,A:A,O:O)</f>
        <v>#NAME?</v>
      </c>
      <c r="AR141" s="150" t="e">
        <f aca="false">_xlfn.xlookup(AN141,A:A,AH:AH)</f>
        <v>#NAME?</v>
      </c>
      <c r="AS141" s="150" t="e">
        <f aca="false">_xlfn.xlookup(AN141,A:A,S:S)</f>
        <v>#NAME?</v>
      </c>
      <c r="AT141" s="150" t="e">
        <f aca="false">_xlfn.xlookup(AN141,A:A,AE:AE)</f>
        <v>#NAME?</v>
      </c>
      <c r="AU141" s="150" t="e">
        <f aca="false">_xlfn.xlookup(AN141,A:A,AF:AF)</f>
        <v>#NAME?</v>
      </c>
      <c r="BB141" s="246"/>
      <c r="BC141" s="246"/>
      <c r="BD141" s="246"/>
      <c r="BE141" s="246"/>
      <c r="BF141" s="246"/>
      <c r="BH141" s="152" t="e">
        <f aca="false">_xlfn.xlookup(BG141,A:A,F:F)</f>
        <v>#NAME?</v>
      </c>
      <c r="BI141" s="144" t="e">
        <f aca="false">_xlfn.xlookup(BG141,A:A,J:J)</f>
        <v>#NAME?</v>
      </c>
      <c r="BJ141" s="153" t="e">
        <f aca="false">_xlfn.xlookup(BG141,A:A,N:N)+_xlfn.xlookup(BG141,A:A,O:O)</f>
        <v>#NAME?</v>
      </c>
      <c r="BK141" s="153" t="e">
        <f aca="false">_xlfn.xlookup(BG141,A89:A1084,AB89:AB1084)</f>
        <v>#NAME?</v>
      </c>
      <c r="BQ141" s="144" t="str">
        <f aca="false">IF(VALUE(MONTH(C141))&lt;10,YEAR(C141)&amp;"-0"&amp;MONTH(C141),YEAR(C141)&amp;"-"&amp;MONTH(C141))</f>
        <v>2024-11</v>
      </c>
      <c r="BR141" s="144" t="str">
        <f aca="false">J141</f>
        <v>B25-3</v>
      </c>
      <c r="BS141" s="144" t="str">
        <f aca="false">IF(ISNUMBER(FIND("-", BR141)), LEFT(BR141, FIND("-", BR141) - 1), BR141)</f>
        <v>B25</v>
      </c>
      <c r="BT141" s="189" t="n">
        <f aca="false">L141-M141+O141</f>
        <v>7228.32</v>
      </c>
    </row>
    <row r="142" customFormat="false" ht="16.4" hidden="false" customHeight="false" outlineLevel="0" collapsed="false">
      <c r="A142" s="140" t="s">
        <v>1095</v>
      </c>
      <c r="B142" s="249" t="s">
        <v>893</v>
      </c>
      <c r="C142" s="174" t="n">
        <v>45623</v>
      </c>
      <c r="D142" s="173" t="n">
        <v>267</v>
      </c>
      <c r="E142" s="138" t="s">
        <v>210</v>
      </c>
      <c r="F142" s="138" t="s">
        <v>575</v>
      </c>
      <c r="G142" s="140" t="n">
        <v>2905</v>
      </c>
      <c r="H142" s="173" t="n">
        <v>40189</v>
      </c>
      <c r="I142" s="173" t="n">
        <v>30028</v>
      </c>
      <c r="J142" s="140" t="s">
        <v>764</v>
      </c>
      <c r="K142" s="140"/>
      <c r="L142" s="175" t="n">
        <v>14228.94792</v>
      </c>
      <c r="M142" s="175" t="n">
        <v>0</v>
      </c>
      <c r="N142" s="175" t="n">
        <v>13824</v>
      </c>
      <c r="O142" s="175"/>
      <c r="P142" s="175" t="n">
        <v>120</v>
      </c>
      <c r="Q142" s="176" t="n">
        <v>3</v>
      </c>
      <c r="R142" s="138" t="n">
        <v>2</v>
      </c>
      <c r="S142" s="177" t="n">
        <v>187.714285714286</v>
      </c>
      <c r="T142" s="215"/>
      <c r="U142" s="259" t="n">
        <v>0.307208514182256</v>
      </c>
      <c r="V142" s="177" t="n">
        <v>4246.85050005551</v>
      </c>
      <c r="W142" s="177" t="n">
        <v>124.403448824395</v>
      </c>
      <c r="X142" s="179" t="n">
        <v>0.0284594421370262</v>
      </c>
      <c r="Y142" s="177" t="n">
        <v>29.1638117647059</v>
      </c>
      <c r="Z142" s="177" t="n">
        <v>65.1</v>
      </c>
      <c r="AA142" s="177" t="n">
        <v>120.192307692308</v>
      </c>
      <c r="AB142" s="260" t="n">
        <v>4773.4243540512</v>
      </c>
      <c r="AC142" s="215" t="n">
        <v>0.452</v>
      </c>
      <c r="AD142" s="215" t="s">
        <v>88</v>
      </c>
      <c r="AE142" s="177" t="n">
        <v>6248.448</v>
      </c>
      <c r="AF142" s="177" t="n">
        <v>1475.0236459488</v>
      </c>
      <c r="AG142" s="181" t="n">
        <v>0.236062402367564</v>
      </c>
      <c r="AH142" s="180" t="n">
        <v>4371.2539488799</v>
      </c>
      <c r="AI142" s="181" t="n">
        <v>0.699574350123407</v>
      </c>
      <c r="AJ142" s="181"/>
      <c r="AK142" s="181" t="s">
        <v>1095</v>
      </c>
      <c r="AL142" s="182" t="n">
        <v>0.345299794129861</v>
      </c>
      <c r="AN142" s="144" t="e">
        <v>#NAME?</v>
      </c>
      <c r="AO142" s="144" t="e">
        <f aca="false">_xlfn.xlookup(AN142,A:A,F:F)</f>
        <v>#NAME?</v>
      </c>
      <c r="AP142" s="144" t="e">
        <f aca="false">_xlfn.xlookup(AN142,A:A,J:J)</f>
        <v>#NAME?</v>
      </c>
      <c r="AQ142" s="144" t="e">
        <f aca="false">_xlfn.xlookup(AN142,A:A,N:N)+_xlfn.xlookup(AN142,A:A,O:O)</f>
        <v>#NAME?</v>
      </c>
      <c r="AR142" s="150" t="e">
        <f aca="false">_xlfn.xlookup(AN142,A:A,AH:AH)</f>
        <v>#NAME?</v>
      </c>
      <c r="AS142" s="150" t="e">
        <f aca="false">_xlfn.xlookup(AN142,A:A,S:S)</f>
        <v>#NAME?</v>
      </c>
      <c r="AT142" s="150" t="e">
        <f aca="false">_xlfn.xlookup(AN142,A:A,AE:AE)</f>
        <v>#NAME?</v>
      </c>
      <c r="AU142" s="150" t="e">
        <f aca="false">_xlfn.xlookup(AN142,A:A,AF:AF)</f>
        <v>#NAME?</v>
      </c>
      <c r="BB142" s="246"/>
      <c r="BC142" s="246"/>
      <c r="BD142" s="246"/>
      <c r="BE142" s="246"/>
      <c r="BF142" s="246"/>
      <c r="BH142" s="152" t="e">
        <f aca="false">_xlfn.xlookup(BG142,A:A,F:F)</f>
        <v>#NAME?</v>
      </c>
      <c r="BI142" s="144" t="e">
        <f aca="false">_xlfn.xlookup(BG142,A:A,J:J)</f>
        <v>#NAME?</v>
      </c>
      <c r="BJ142" s="153" t="e">
        <f aca="false">_xlfn.xlookup(BG142,A:A,N:N)+_xlfn.xlookup(BG142,A:A,O:O)</f>
        <v>#NAME?</v>
      </c>
      <c r="BK142" s="153" t="e">
        <f aca="false">_xlfn.xlookup(BG142,A90:A1085,AB90:AB1085)</f>
        <v>#NAME?</v>
      </c>
      <c r="BQ142" s="144" t="str">
        <f aca="false">IF(VALUE(MONTH(C142))&lt;10,YEAR(C142)&amp;"-0"&amp;MONTH(C142),YEAR(C142)&amp;"-"&amp;MONTH(C142))</f>
        <v>2024-11</v>
      </c>
      <c r="BR142" s="144" t="str">
        <f aca="false">J142</f>
        <v>B15-3</v>
      </c>
      <c r="BS142" s="144" t="str">
        <f aca="false">IF(ISNUMBER(FIND("-", BR142)), LEFT(BR142, FIND("-", BR142) - 1), BR142)</f>
        <v>B15</v>
      </c>
      <c r="BT142" s="189" t="n">
        <f aca="false">L142-M142+O142</f>
        <v>14228.94792</v>
      </c>
    </row>
    <row r="143" customFormat="false" ht="16.4" hidden="false" customHeight="false" outlineLevel="0" collapsed="false">
      <c r="A143" s="140" t="s">
        <v>1096</v>
      </c>
      <c r="B143" s="249" t="s">
        <v>893</v>
      </c>
      <c r="C143" s="174" t="n">
        <v>45623</v>
      </c>
      <c r="D143" s="173" t="n">
        <v>267</v>
      </c>
      <c r="E143" s="138" t="s">
        <v>210</v>
      </c>
      <c r="F143" s="138" t="s">
        <v>575</v>
      </c>
      <c r="G143" s="140" t="n">
        <v>2905</v>
      </c>
      <c r="H143" s="173" t="n">
        <v>40189</v>
      </c>
      <c r="I143" s="173" t="n">
        <v>30016</v>
      </c>
      <c r="J143" s="140" t="s">
        <v>764</v>
      </c>
      <c r="K143" s="140"/>
      <c r="L143" s="175" t="n">
        <v>14182.18272</v>
      </c>
      <c r="M143" s="175" t="n">
        <v>6831.216</v>
      </c>
      <c r="N143" s="175" t="n">
        <v>7179.3</v>
      </c>
      <c r="O143" s="175"/>
      <c r="P143" s="175" t="n">
        <v>60</v>
      </c>
      <c r="Q143" s="176" t="n">
        <v>2</v>
      </c>
      <c r="R143" s="138" t="n">
        <v>1</v>
      </c>
      <c r="S143" s="177" t="n">
        <v>125.142857142857</v>
      </c>
      <c r="T143" s="215"/>
      <c r="U143" s="259" t="n">
        <v>0.326284886247867</v>
      </c>
      <c r="V143" s="177" t="n">
        <v>2342.49708383931</v>
      </c>
      <c r="W143" s="177" t="n">
        <v>56.0122562077447</v>
      </c>
      <c r="X143" s="179" t="n">
        <v>0.0121043934766059</v>
      </c>
      <c r="Y143" s="177" t="n">
        <v>14.5819058823529</v>
      </c>
      <c r="Z143" s="177" t="n">
        <v>43.4</v>
      </c>
      <c r="AA143" s="177" t="n">
        <v>60.0961538461539</v>
      </c>
      <c r="AB143" s="260" t="n">
        <v>2641.73025691842</v>
      </c>
      <c r="AC143" s="215" t="n">
        <v>0.452</v>
      </c>
      <c r="AD143" s="215" t="s">
        <v>88</v>
      </c>
      <c r="AE143" s="177" t="n">
        <v>3245.0436</v>
      </c>
      <c r="AF143" s="177" t="n">
        <v>603.313343081582</v>
      </c>
      <c r="AG143" s="181" t="n">
        <v>0.185918408948829</v>
      </c>
      <c r="AH143" s="180" t="n">
        <v>2398.50934004705</v>
      </c>
      <c r="AI143" s="181" t="n">
        <v>0.739130081348384</v>
      </c>
      <c r="AJ143" s="181"/>
      <c r="AK143" s="181" t="s">
        <v>1096</v>
      </c>
      <c r="AL143" s="182" t="n">
        <v>0.367964879155129</v>
      </c>
      <c r="AN143" s="144" t="e">
        <v>#NAME?</v>
      </c>
      <c r="AO143" s="144" t="e">
        <f aca="false">_xlfn.xlookup(AN143,A:A,F:F)</f>
        <v>#NAME?</v>
      </c>
      <c r="AP143" s="144" t="e">
        <f aca="false">_xlfn.xlookup(AN143,A:A,J:J)</f>
        <v>#NAME?</v>
      </c>
      <c r="AQ143" s="144" t="e">
        <f aca="false">_xlfn.xlookup(AN143,A:A,N:N)+_xlfn.xlookup(AN143,A:A,O:O)</f>
        <v>#NAME?</v>
      </c>
      <c r="AR143" s="150" t="e">
        <f aca="false">_xlfn.xlookup(AN143,A:A,AH:AH)</f>
        <v>#NAME?</v>
      </c>
      <c r="AS143" s="150" t="e">
        <f aca="false">_xlfn.xlookup(AN143,A:A,S:S)</f>
        <v>#NAME?</v>
      </c>
      <c r="AT143" s="150" t="e">
        <f aca="false">_xlfn.xlookup(AN143,A:A,AE:AE)</f>
        <v>#NAME?</v>
      </c>
      <c r="AU143" s="150" t="e">
        <f aca="false">_xlfn.xlookup(AN143,A:A,AF:AF)</f>
        <v>#NAME?</v>
      </c>
      <c r="BB143" s="246"/>
      <c r="BC143" s="246"/>
      <c r="BD143" s="246"/>
      <c r="BE143" s="246"/>
      <c r="BF143" s="246"/>
      <c r="BH143" s="152" t="e">
        <f aca="false">_xlfn.xlookup(BG143,A:A,F:F)</f>
        <v>#NAME?</v>
      </c>
      <c r="BI143" s="144" t="e">
        <f aca="false">_xlfn.xlookup(BG143,A:A,J:J)</f>
        <v>#NAME?</v>
      </c>
      <c r="BJ143" s="153" t="e">
        <f aca="false">_xlfn.xlookup(BG143,A:A,N:N)+_xlfn.xlookup(BG143,A:A,O:O)</f>
        <v>#NAME?</v>
      </c>
      <c r="BK143" s="153" t="e">
        <f aca="false">_xlfn.xlookup(BG143,A91:A1086,AB91:AB1086)</f>
        <v>#NAME?</v>
      </c>
      <c r="BQ143" s="144" t="str">
        <f aca="false">IF(VALUE(MONTH(C143))&lt;10,YEAR(C143)&amp;"-0"&amp;MONTH(C143),YEAR(C143)&amp;"-"&amp;MONTH(C143))</f>
        <v>2024-11</v>
      </c>
      <c r="BR143" s="144" t="str">
        <f aca="false">J143</f>
        <v>B15-3</v>
      </c>
      <c r="BS143" s="144" t="str">
        <f aca="false">IF(ISNUMBER(FIND("-", BR143)), LEFT(BR143, FIND("-", BR143) - 1), BR143)</f>
        <v>B15</v>
      </c>
      <c r="BT143" s="189" t="n">
        <f aca="false">L143-M143+O143</f>
        <v>7350.96672</v>
      </c>
    </row>
    <row r="144" customFormat="false" ht="16.4" hidden="false" customHeight="false" outlineLevel="0" collapsed="false">
      <c r="A144" s="140" t="s">
        <v>1097</v>
      </c>
      <c r="B144" s="249" t="s">
        <v>893</v>
      </c>
      <c r="C144" s="174" t="n">
        <v>45623</v>
      </c>
      <c r="D144" s="173" t="n">
        <v>0</v>
      </c>
      <c r="E144" s="138" t="s">
        <v>1062</v>
      </c>
      <c r="F144" s="138" t="s">
        <v>575</v>
      </c>
      <c r="G144" s="140" t="s">
        <v>1098</v>
      </c>
      <c r="H144" s="173" t="n">
        <v>0</v>
      </c>
      <c r="I144" s="173" t="n">
        <v>30015</v>
      </c>
      <c r="J144" s="140" t="s">
        <v>762</v>
      </c>
      <c r="K144" s="140"/>
      <c r="L144" s="175" t="n">
        <v>465.75</v>
      </c>
      <c r="M144" s="175" t="n">
        <v>0</v>
      </c>
      <c r="N144" s="175" t="n">
        <v>316.8</v>
      </c>
      <c r="O144" s="175"/>
      <c r="P144" s="175" t="n">
        <v>12</v>
      </c>
      <c r="Q144" s="176" t="n">
        <v>0</v>
      </c>
      <c r="R144" s="138" t="n">
        <v>0.75</v>
      </c>
      <c r="S144" s="177" t="n">
        <v>0</v>
      </c>
      <c r="T144" s="215"/>
      <c r="U144" s="178" t="n">
        <v>0.268854241086576</v>
      </c>
      <c r="V144" s="177" t="n">
        <v>85.1730235762274</v>
      </c>
      <c r="W144" s="177" t="n">
        <v>40.0458392098456</v>
      </c>
      <c r="X144" s="179" t="n">
        <v>0.319806763285024</v>
      </c>
      <c r="Y144" s="177" t="n">
        <v>2.91638117647059</v>
      </c>
      <c r="Z144" s="177" t="n">
        <v>0</v>
      </c>
      <c r="AA144" s="177" t="n">
        <v>45.0721153846154</v>
      </c>
      <c r="AB144" s="177" t="n">
        <v>173.207359347159</v>
      </c>
      <c r="AC144" s="215"/>
      <c r="AD144" s="215"/>
      <c r="AE144" s="177" t="n">
        <v>0</v>
      </c>
      <c r="AF144" s="177" t="n">
        <v>-173.207359347159</v>
      </c>
      <c r="AG144" s="181"/>
      <c r="AH144" s="180" t="n">
        <v>125.218862786073</v>
      </c>
      <c r="AI144" s="181"/>
      <c r="AJ144" s="181" t="s">
        <v>895</v>
      </c>
      <c r="AK144" s="181" t="s">
        <v>1097</v>
      </c>
      <c r="AL144" s="182" t="n">
        <v>0.546740401979668</v>
      </c>
      <c r="AN144" s="144" t="e">
        <v>#NAME?</v>
      </c>
      <c r="AO144" s="144" t="e">
        <f aca="false">_xlfn.xlookup(AN144,A:A,F:F)</f>
        <v>#NAME?</v>
      </c>
      <c r="AP144" s="144" t="e">
        <f aca="false">_xlfn.xlookup(AN144,A:A,J:J)</f>
        <v>#NAME?</v>
      </c>
      <c r="AQ144" s="144" t="e">
        <f aca="false">_xlfn.xlookup(AN144,A:A,N:N)+_xlfn.xlookup(AN144,A:A,O:O)</f>
        <v>#NAME?</v>
      </c>
      <c r="AR144" s="150" t="e">
        <f aca="false">_xlfn.xlookup(AN144,A:A,AH:AH)</f>
        <v>#NAME?</v>
      </c>
      <c r="AS144" s="150" t="e">
        <f aca="false">_xlfn.xlookup(AN144,A:A,S:S)</f>
        <v>#NAME?</v>
      </c>
      <c r="AT144" s="150" t="e">
        <f aca="false">_xlfn.xlookup(AN144,A:A,AE:AE)</f>
        <v>#NAME?</v>
      </c>
      <c r="AU144" s="150" t="e">
        <f aca="false">_xlfn.xlookup(AN144,A:A,AF:AF)</f>
        <v>#NAME?</v>
      </c>
      <c r="BB144" s="246"/>
      <c r="BC144" s="246"/>
      <c r="BD144" s="246"/>
      <c r="BE144" s="246"/>
      <c r="BF144" s="246"/>
      <c r="BH144" s="152" t="e">
        <f aca="false">_xlfn.xlookup(BG144,A:A,F:F)</f>
        <v>#NAME?</v>
      </c>
      <c r="BI144" s="144" t="e">
        <f aca="false">_xlfn.xlookup(BG144,A:A,J:J)</f>
        <v>#NAME?</v>
      </c>
      <c r="BJ144" s="153" t="e">
        <f aca="false">_xlfn.xlookup(BG144,A:A,N:N)+_xlfn.xlookup(BG144,A:A,O:O)</f>
        <v>#NAME?</v>
      </c>
      <c r="BK144" s="153" t="e">
        <f aca="false">_xlfn.xlookup(BG144,A92:A1087,AB92:AB1087)</f>
        <v>#NAME?</v>
      </c>
      <c r="BQ144" s="144" t="str">
        <f aca="false">IF(VALUE(MONTH(C144))&lt;10,YEAR(C144)&amp;"-0"&amp;MONTH(C144),YEAR(C144)&amp;"-"&amp;MONTH(C144))</f>
        <v>2024-11</v>
      </c>
      <c r="BR144" s="144" t="str">
        <f aca="false">J144</f>
        <v>S15-3</v>
      </c>
      <c r="BS144" s="144" t="str">
        <f aca="false">IF(ISNUMBER(FIND("-", BR144)), LEFT(BR144, FIND("-", BR144) - 1), BR144)</f>
        <v>S15</v>
      </c>
      <c r="BT144" s="189" t="n">
        <f aca="false">L144-M144+O144</f>
        <v>465.75</v>
      </c>
    </row>
    <row r="145" customFormat="false" ht="16.4" hidden="false" customHeight="false" outlineLevel="0" collapsed="false">
      <c r="A145" s="140" t="s">
        <v>1099</v>
      </c>
      <c r="B145" s="249" t="s">
        <v>893</v>
      </c>
      <c r="C145" s="174" t="n">
        <v>45624</v>
      </c>
      <c r="D145" s="173" t="n">
        <v>268</v>
      </c>
      <c r="E145" s="138" t="s">
        <v>134</v>
      </c>
      <c r="F145" s="138" t="s">
        <v>671</v>
      </c>
      <c r="G145" s="140" t="n">
        <v>9889</v>
      </c>
      <c r="H145" s="173" t="n">
        <v>40193</v>
      </c>
      <c r="I145" s="173" t="n">
        <v>30027</v>
      </c>
      <c r="J145" s="140" t="s">
        <v>768</v>
      </c>
      <c r="K145" s="140"/>
      <c r="L145" s="175" t="n">
        <v>14608.43472</v>
      </c>
      <c r="M145" s="175" t="n">
        <v>7228.32</v>
      </c>
      <c r="N145" s="175" t="n">
        <v>7140</v>
      </c>
      <c r="O145" s="175"/>
      <c r="P145" s="175" t="n">
        <v>60</v>
      </c>
      <c r="Q145" s="176" t="n">
        <v>2</v>
      </c>
      <c r="R145" s="138" t="n">
        <v>1.5</v>
      </c>
      <c r="S145" s="177" t="n">
        <v>98.8</v>
      </c>
      <c r="T145" s="215"/>
      <c r="U145" s="178" t="n">
        <v>0.307208514182256</v>
      </c>
      <c r="V145" s="177" t="n">
        <v>2193.46879126131</v>
      </c>
      <c r="W145" s="177" t="n">
        <v>73.7652863644888</v>
      </c>
      <c r="X145" s="179" t="n">
        <v>0.0164367178689765</v>
      </c>
      <c r="Y145" s="177" t="n">
        <v>14.5819058823529</v>
      </c>
      <c r="Z145" s="177" t="n">
        <v>43.4</v>
      </c>
      <c r="AA145" s="177" t="n">
        <v>90.1442307692308</v>
      </c>
      <c r="AB145" s="177" t="n">
        <v>2514.16021427738</v>
      </c>
      <c r="AC145" s="215" t="n">
        <v>0.452</v>
      </c>
      <c r="AD145" s="215" t="s">
        <v>88</v>
      </c>
      <c r="AE145" s="177" t="n">
        <v>3227.28</v>
      </c>
      <c r="AF145" s="177" t="n">
        <v>713.11978572262</v>
      </c>
      <c r="AG145" s="181" t="n">
        <v>0.220966196215581</v>
      </c>
      <c r="AH145" s="180" t="n">
        <v>2267.2340776258</v>
      </c>
      <c r="AI145" s="181" t="n">
        <v>0.702521652173284</v>
      </c>
      <c r="AJ145" s="181"/>
      <c r="AK145" s="181" t="s">
        <v>1099</v>
      </c>
      <c r="AL145" s="182" t="n">
        <v>0.352123279310558</v>
      </c>
      <c r="AN145" s="144" t="e">
        <v>#NAME?</v>
      </c>
      <c r="AO145" s="144" t="e">
        <f aca="false">_xlfn.xlookup(AN145,A:A,F:F)</f>
        <v>#NAME?</v>
      </c>
      <c r="AP145" s="144" t="e">
        <f aca="false">_xlfn.xlookup(AN145,A:A,J:J)</f>
        <v>#NAME?</v>
      </c>
      <c r="AQ145" s="144" t="e">
        <f aca="false">_xlfn.xlookup(AN145,A:A,N:N)+_xlfn.xlookup(AN145,A:A,O:O)</f>
        <v>#NAME?</v>
      </c>
      <c r="AR145" s="150" t="e">
        <f aca="false">_xlfn.xlookup(AN145,A:A,AH:AH)</f>
        <v>#NAME?</v>
      </c>
      <c r="AS145" s="150" t="e">
        <f aca="false">_xlfn.xlookup(AN145,A:A,S:S)</f>
        <v>#NAME?</v>
      </c>
      <c r="AT145" s="150" t="e">
        <f aca="false">_xlfn.xlookup(AN145,A:A,AE:AE)</f>
        <v>#NAME?</v>
      </c>
      <c r="AU145" s="150" t="e">
        <f aca="false">_xlfn.xlookup(AN145,A:A,AF:AF)</f>
        <v>#NAME?</v>
      </c>
      <c r="BB145" s="246"/>
      <c r="BC145" s="246"/>
      <c r="BD145" s="246"/>
      <c r="BE145" s="246"/>
      <c r="BF145" s="246"/>
      <c r="BH145" s="152" t="e">
        <f aca="false">_xlfn.xlookup(BG145,A:A,F:F)</f>
        <v>#NAME?</v>
      </c>
      <c r="BI145" s="144" t="e">
        <f aca="false">_xlfn.xlookup(BG145,A:A,J:J)</f>
        <v>#NAME?</v>
      </c>
      <c r="BJ145" s="153" t="e">
        <f aca="false">_xlfn.xlookup(BG145,A:A,N:N)+_xlfn.xlookup(BG145,A:A,O:O)</f>
        <v>#NAME?</v>
      </c>
      <c r="BK145" s="153" t="e">
        <f aca="false">_xlfn.xlookup(BG145,A93:A1088,AB93:AB1088)</f>
        <v>#NAME?</v>
      </c>
      <c r="BQ145" s="144" t="str">
        <f aca="false">IF(VALUE(MONTH(C145))&lt;10,YEAR(C145)&amp;"-0"&amp;MONTH(C145),YEAR(C145)&amp;"-"&amp;MONTH(C145))</f>
        <v>2024-11</v>
      </c>
      <c r="BR145" s="144" t="str">
        <f aca="false">J145</f>
        <v>B25-3</v>
      </c>
      <c r="BS145" s="144" t="str">
        <f aca="false">IF(ISNUMBER(FIND("-", BR145)), LEFT(BR145, FIND("-", BR145) - 1), BR145)</f>
        <v>B25</v>
      </c>
      <c r="BT145" s="189" t="n">
        <f aca="false">L145-M145+O145</f>
        <v>7380.11472</v>
      </c>
    </row>
    <row r="146" customFormat="false" ht="16.4" hidden="false" customHeight="false" outlineLevel="0" collapsed="false">
      <c r="A146" s="140" t="s">
        <v>1100</v>
      </c>
      <c r="B146" s="249" t="s">
        <v>893</v>
      </c>
      <c r="C146" s="174" t="n">
        <v>45624</v>
      </c>
      <c r="D146" s="173" t="n">
        <v>269</v>
      </c>
      <c r="E146" s="138" t="s">
        <v>94</v>
      </c>
      <c r="F146" s="138" t="s">
        <v>522</v>
      </c>
      <c r="G146" s="140" t="n">
        <v>105970</v>
      </c>
      <c r="H146" s="173" t="n">
        <v>40084</v>
      </c>
      <c r="I146" s="173" t="n">
        <v>30027</v>
      </c>
      <c r="J146" s="140" t="s">
        <v>768</v>
      </c>
      <c r="K146" s="140"/>
      <c r="L146" s="175" t="n">
        <v>14228.94792</v>
      </c>
      <c r="M146" s="175" t="n">
        <v>10517.2056</v>
      </c>
      <c r="N146" s="175" t="n">
        <v>3600</v>
      </c>
      <c r="O146" s="175"/>
      <c r="P146" s="175" t="n">
        <v>60</v>
      </c>
      <c r="Q146" s="176" t="n">
        <v>1</v>
      </c>
      <c r="R146" s="138" t="n">
        <v>2.75</v>
      </c>
      <c r="S146" s="177" t="n">
        <v>-10.69</v>
      </c>
      <c r="T146" s="215" t="n">
        <v>1.4056</v>
      </c>
      <c r="U146" s="259" t="n">
        <v>0.307208514182256</v>
      </c>
      <c r="V146" s="177" t="n">
        <v>1105.95065105612</v>
      </c>
      <c r="W146" s="177" t="n">
        <v>34.3281920984785</v>
      </c>
      <c r="X146" s="179" t="n">
        <v>0.0078531681068941</v>
      </c>
      <c r="Y146" s="177" t="n">
        <v>14.5819058823529</v>
      </c>
      <c r="Z146" s="177" t="n">
        <v>21.7</v>
      </c>
      <c r="AA146" s="177" t="n">
        <v>165.264423076923</v>
      </c>
      <c r="AB146" s="260" t="n">
        <v>1331.13517211388</v>
      </c>
      <c r="AC146" s="215" t="n">
        <v>0.33</v>
      </c>
      <c r="AD146" s="215" t="s">
        <v>77</v>
      </c>
      <c r="AE146" s="177" t="n">
        <v>1669.8528</v>
      </c>
      <c r="AF146" s="177" t="n">
        <v>338.717627886124</v>
      </c>
      <c r="AG146" s="181" t="n">
        <v>0.202842806195926</v>
      </c>
      <c r="AH146" s="180" t="n">
        <v>1140.2788431546</v>
      </c>
      <c r="AI146" s="181" t="n">
        <v>0.682861892470163</v>
      </c>
      <c r="AJ146" s="181"/>
      <c r="AK146" s="181" t="s">
        <v>1100</v>
      </c>
      <c r="AL146" s="182" t="n">
        <v>0.369759770031632</v>
      </c>
      <c r="AN146" s="144" t="e">
        <v>#NAME?</v>
      </c>
      <c r="AO146" s="144" t="e">
        <f aca="false">_xlfn.xlookup(AN146,A:A,F:F)</f>
        <v>#NAME?</v>
      </c>
      <c r="AP146" s="144" t="e">
        <f aca="false">_xlfn.xlookup(AN146,A:A,J:J)</f>
        <v>#NAME?</v>
      </c>
      <c r="AQ146" s="144" t="e">
        <f aca="false">_xlfn.xlookup(AN146,A:A,N:N)+_xlfn.xlookup(AN146,A:A,O:O)</f>
        <v>#NAME?</v>
      </c>
      <c r="AR146" s="150" t="e">
        <f aca="false">_xlfn.xlookup(AN146,A:A,AH:AH)</f>
        <v>#NAME?</v>
      </c>
      <c r="AS146" s="150" t="e">
        <f aca="false">_xlfn.xlookup(AN146,A:A,S:S)</f>
        <v>#NAME?</v>
      </c>
      <c r="AT146" s="150" t="e">
        <f aca="false">_xlfn.xlookup(AN146,A:A,AE:AE)</f>
        <v>#NAME?</v>
      </c>
      <c r="AU146" s="150" t="e">
        <f aca="false">_xlfn.xlookup(AN146,A:A,AF:AF)</f>
        <v>#NAME?</v>
      </c>
      <c r="BB146" s="246"/>
      <c r="BC146" s="246"/>
      <c r="BD146" s="246"/>
      <c r="BE146" s="246"/>
      <c r="BF146" s="246"/>
      <c r="BH146" s="152" t="e">
        <f aca="false">_xlfn.xlookup(BG146,A:A,F:F)</f>
        <v>#NAME?</v>
      </c>
      <c r="BI146" s="144" t="e">
        <f aca="false">_xlfn.xlookup(BG146,A:A,J:J)</f>
        <v>#NAME?</v>
      </c>
      <c r="BJ146" s="153" t="e">
        <f aca="false">_xlfn.xlookup(BG146,A:A,N:N)+_xlfn.xlookup(BG146,A:A,O:O)</f>
        <v>#NAME?</v>
      </c>
      <c r="BK146" s="153" t="e">
        <f aca="false">_xlfn.xlookup(BG146,A94:A1089,AB94:AB1089)</f>
        <v>#NAME?</v>
      </c>
      <c r="BQ146" s="144" t="str">
        <f aca="false">IF(VALUE(MONTH(C146))&lt;10,YEAR(C146)&amp;"-0"&amp;MONTH(C146),YEAR(C146)&amp;"-"&amp;MONTH(C146))</f>
        <v>2024-11</v>
      </c>
      <c r="BR146" s="144" t="str">
        <f aca="false">J146</f>
        <v>B25-3</v>
      </c>
      <c r="BS146" s="144" t="str">
        <f aca="false">IF(ISNUMBER(FIND("-", BR146)), LEFT(BR146, FIND("-", BR146) - 1), BR146)</f>
        <v>B25</v>
      </c>
      <c r="BT146" s="189" t="n">
        <f aca="false">L146-M146+O146</f>
        <v>3711.74232</v>
      </c>
    </row>
    <row r="147" customFormat="false" ht="16.4" hidden="false" customHeight="false" outlineLevel="0" collapsed="false">
      <c r="A147" s="140" t="s">
        <v>1101</v>
      </c>
      <c r="B147" s="249" t="s">
        <v>893</v>
      </c>
      <c r="C147" s="174" t="n">
        <v>45624</v>
      </c>
      <c r="D147" s="173" t="n">
        <v>270</v>
      </c>
      <c r="E147" s="138" t="s">
        <v>248</v>
      </c>
      <c r="F147" s="138" t="s">
        <v>527</v>
      </c>
      <c r="G147" s="140" t="s">
        <v>105</v>
      </c>
      <c r="H147" s="173" t="n">
        <v>40195</v>
      </c>
      <c r="I147" s="173" t="n">
        <v>30029</v>
      </c>
      <c r="J147" s="140" t="s">
        <v>906</v>
      </c>
      <c r="K147" s="140"/>
      <c r="L147" s="175" t="n">
        <v>576</v>
      </c>
      <c r="M147" s="175" t="n">
        <v>0</v>
      </c>
      <c r="N147" s="175" t="n">
        <v>576</v>
      </c>
      <c r="O147" s="175"/>
      <c r="P147" s="175" t="n">
        <v>10</v>
      </c>
      <c r="Q147" s="176" t="n">
        <v>1</v>
      </c>
      <c r="R147" s="138" t="n">
        <v>0</v>
      </c>
      <c r="S147" s="177" t="n">
        <v>51.6666666666667</v>
      </c>
      <c r="T147" s="215"/>
      <c r="U147" s="178" t="n">
        <v>0.285235933537095</v>
      </c>
      <c r="V147" s="177" t="n">
        <v>164.295897717367</v>
      </c>
      <c r="W147" s="177" t="n">
        <v>0</v>
      </c>
      <c r="X147" s="179" t="n">
        <v>0</v>
      </c>
      <c r="Y147" s="177" t="n">
        <v>2.43031764705882</v>
      </c>
      <c r="Z147" s="177" t="n">
        <v>21.7</v>
      </c>
      <c r="AA147" s="177" t="n">
        <v>0</v>
      </c>
      <c r="AB147" s="177" t="n">
        <v>240.092882031092</v>
      </c>
      <c r="AC147" s="215" t="n">
        <v>0</v>
      </c>
      <c r="AD147" s="215" t="s">
        <v>88</v>
      </c>
      <c r="AE147" s="177" t="n">
        <v>0</v>
      </c>
      <c r="AF147" s="177" t="n">
        <v>-240.092882031092</v>
      </c>
      <c r="AG147" s="181"/>
      <c r="AH147" s="180" t="n">
        <v>164.295897717367</v>
      </c>
      <c r="AI147" s="181"/>
      <c r="AJ147" s="181" t="s">
        <v>895</v>
      </c>
      <c r="AK147" s="181" t="s">
        <v>1101</v>
      </c>
      <c r="AL147" s="182" t="n">
        <v>0.416827920192868</v>
      </c>
      <c r="AN147" s="144" t="e">
        <v>#NAME?</v>
      </c>
      <c r="AO147" s="144" t="e">
        <f aca="false">_xlfn.xlookup(AN147,A:A,F:F)</f>
        <v>#NAME?</v>
      </c>
      <c r="AP147" s="144" t="e">
        <f aca="false">_xlfn.xlookup(AN147,A:A,J:J)</f>
        <v>#NAME?</v>
      </c>
      <c r="AQ147" s="144" t="e">
        <f aca="false">_xlfn.xlookup(AN147,A:A,N:N)+_xlfn.xlookup(AN147,A:A,O:O)</f>
        <v>#NAME?</v>
      </c>
      <c r="AR147" s="150" t="e">
        <f aca="false">_xlfn.xlookup(AN147,A:A,AH:AH)</f>
        <v>#NAME?</v>
      </c>
      <c r="AS147" s="150" t="e">
        <f aca="false">_xlfn.xlookup(AN147,A:A,S:S)</f>
        <v>#NAME?</v>
      </c>
      <c r="AT147" s="150" t="e">
        <f aca="false">_xlfn.xlookup(AN147,A:A,AE:AE)</f>
        <v>#NAME?</v>
      </c>
      <c r="AU147" s="150" t="e">
        <f aca="false">_xlfn.xlookup(AN147,A:A,AF:AF)</f>
        <v>#NAME?</v>
      </c>
      <c r="BB147" s="246"/>
      <c r="BC147" s="246"/>
      <c r="BD147" s="246"/>
      <c r="BE147" s="246"/>
      <c r="BF147" s="246"/>
      <c r="BH147" s="152" t="e">
        <f aca="false">_xlfn.xlookup(BG147,A:A,F:F)</f>
        <v>#NAME?</v>
      </c>
      <c r="BI147" s="144" t="e">
        <f aca="false">_xlfn.xlookup(BG147,A:A,J:J)</f>
        <v>#NAME?</v>
      </c>
      <c r="BJ147" s="153" t="e">
        <f aca="false">_xlfn.xlookup(BG147,A:A,N:N)+_xlfn.xlookup(BG147,A:A,O:O)</f>
        <v>#NAME?</v>
      </c>
      <c r="BK147" s="153" t="e">
        <f aca="false">_xlfn.xlookup(BG147,A95:A1090,AB95:AB1090)</f>
        <v>#NAME?</v>
      </c>
      <c r="BQ147" s="144" t="str">
        <f aca="false">IF(VALUE(MONTH(C147))&lt;10,YEAR(C147)&amp;"-0"&amp;MONTH(C147),YEAR(C147)&amp;"-"&amp;MONTH(C147))</f>
        <v>2024-11</v>
      </c>
      <c r="BR147" s="144" t="str">
        <f aca="false">J147</f>
        <v>D11-3</v>
      </c>
      <c r="BS147" s="144" t="str">
        <f aca="false">IF(ISNUMBER(FIND("-", BR147)), LEFT(BR147, FIND("-", BR147) - 1), BR147)</f>
        <v>D11</v>
      </c>
      <c r="BT147" s="189" t="n">
        <f aca="false">L147-M147+O147</f>
        <v>576</v>
      </c>
    </row>
    <row r="148" customFormat="false" ht="16.4" hidden="false" customHeight="false" outlineLevel="0" collapsed="false">
      <c r="A148" s="140" t="s">
        <v>1102</v>
      </c>
      <c r="B148" s="249" t="s">
        <v>893</v>
      </c>
      <c r="C148" s="174" t="n">
        <v>45624</v>
      </c>
      <c r="D148" s="173" t="n">
        <v>270</v>
      </c>
      <c r="E148" s="138" t="s">
        <v>248</v>
      </c>
      <c r="F148" s="138" t="s">
        <v>527</v>
      </c>
      <c r="G148" s="140" t="s">
        <v>105</v>
      </c>
      <c r="H148" s="173" t="n">
        <v>40196</v>
      </c>
      <c r="I148" s="173" t="n">
        <v>30023</v>
      </c>
      <c r="J148" s="140" t="s">
        <v>754</v>
      </c>
      <c r="K148" s="140"/>
      <c r="L148" s="175" t="n">
        <v>958.8</v>
      </c>
      <c r="M148" s="175" t="n">
        <v>655.5</v>
      </c>
      <c r="N148" s="175" t="n">
        <v>276</v>
      </c>
      <c r="O148" s="175"/>
      <c r="P148" s="175" t="n">
        <v>10</v>
      </c>
      <c r="Q148" s="176" t="n">
        <v>1</v>
      </c>
      <c r="R148" s="138" t="n">
        <v>0.75</v>
      </c>
      <c r="S148" s="177" t="n">
        <v>51.6666666666667</v>
      </c>
      <c r="T148" s="215"/>
      <c r="U148" s="178" t="n">
        <v>0.2951148717267</v>
      </c>
      <c r="V148" s="177" t="n">
        <v>81.4517045965692</v>
      </c>
      <c r="W148" s="177" t="n">
        <v>8.0566359981389</v>
      </c>
      <c r="X148" s="179" t="n">
        <v>0.0284730913642052</v>
      </c>
      <c r="Y148" s="177" t="n">
        <v>2.43031764705882</v>
      </c>
      <c r="Z148" s="177" t="n">
        <v>21.7</v>
      </c>
      <c r="AA148" s="177" t="n">
        <v>45.0721153846154</v>
      </c>
      <c r="AB148" s="177" t="n">
        <v>210.377440293049</v>
      </c>
      <c r="AC148" s="215" t="n">
        <v>0</v>
      </c>
      <c r="AD148" s="215" t="s">
        <v>88</v>
      </c>
      <c r="AE148" s="177" t="n">
        <v>0</v>
      </c>
      <c r="AF148" s="177" t="n">
        <v>-210.377440293049</v>
      </c>
      <c r="AG148" s="181"/>
      <c r="AH148" s="180" t="n">
        <v>89.5083405947081</v>
      </c>
      <c r="AI148" s="181"/>
      <c r="AJ148" s="181" t="s">
        <v>895</v>
      </c>
      <c r="AK148" s="181" t="s">
        <v>1102</v>
      </c>
      <c r="AL148" s="182" t="n">
        <v>0.762237102511047</v>
      </c>
      <c r="AN148" s="144" t="e">
        <v>#NAME?</v>
      </c>
      <c r="AO148" s="144" t="e">
        <f aca="false">_xlfn.xlookup(AN148,A:A,F:F)</f>
        <v>#NAME?</v>
      </c>
      <c r="AP148" s="144" t="e">
        <f aca="false">_xlfn.xlookup(AN148,A:A,J:J)</f>
        <v>#NAME?</v>
      </c>
      <c r="AQ148" s="144" t="e">
        <f aca="false">_xlfn.xlookup(AN148,A:A,N:N)+_xlfn.xlookup(AN148,A:A,O:O)</f>
        <v>#NAME?</v>
      </c>
      <c r="AR148" s="150" t="e">
        <f aca="false">_xlfn.xlookup(AN148,A:A,AH:AH)</f>
        <v>#NAME?</v>
      </c>
      <c r="AS148" s="150" t="e">
        <f aca="false">_xlfn.xlookup(AN148,A:A,S:S)</f>
        <v>#NAME?</v>
      </c>
      <c r="AT148" s="150" t="e">
        <f aca="false">_xlfn.xlookup(AN148,A:A,AE:AE)</f>
        <v>#NAME?</v>
      </c>
      <c r="AU148" s="150" t="e">
        <f aca="false">_xlfn.xlookup(AN148,A:A,AF:AF)</f>
        <v>#NAME?</v>
      </c>
      <c r="BB148" s="246"/>
      <c r="BC148" s="246"/>
      <c r="BD148" s="246"/>
      <c r="BE148" s="246"/>
      <c r="BF148" s="246"/>
      <c r="BH148" s="152" t="e">
        <f aca="false">_xlfn.xlookup(BG148,A:A,F:F)</f>
        <v>#NAME?</v>
      </c>
      <c r="BI148" s="144" t="e">
        <f aca="false">_xlfn.xlookup(BG148,A:A,J:J)</f>
        <v>#NAME?</v>
      </c>
      <c r="BJ148" s="153" t="e">
        <f aca="false">_xlfn.xlookup(BG148,A:A,N:N)+_xlfn.xlookup(BG148,A:A,O:O)</f>
        <v>#NAME?</v>
      </c>
      <c r="BK148" s="153" t="e">
        <f aca="false">_xlfn.xlookup(BG148,A96:A1091,AB96:AB1091)</f>
        <v>#NAME?</v>
      </c>
      <c r="BQ148" s="144" t="str">
        <f aca="false">IF(VALUE(MONTH(C148))&lt;10,YEAR(C148)&amp;"-0"&amp;MONTH(C148),YEAR(C148)&amp;"-"&amp;MONTH(C148))</f>
        <v>2024-11</v>
      </c>
      <c r="BR148" s="144" t="str">
        <f aca="false">J148</f>
        <v>T11-1</v>
      </c>
      <c r="BS148" s="144" t="str">
        <f aca="false">IF(ISNUMBER(FIND("-", BR148)), LEFT(BR148, FIND("-", BR148) - 1), BR148)</f>
        <v>T11</v>
      </c>
      <c r="BT148" s="189" t="n">
        <f aca="false">L148-M148+O148</f>
        <v>303.3</v>
      </c>
    </row>
    <row r="149" customFormat="false" ht="16.4" hidden="false" customHeight="false" outlineLevel="0" collapsed="false">
      <c r="A149" s="140" t="s">
        <v>1103</v>
      </c>
      <c r="B149" s="249" t="s">
        <v>893</v>
      </c>
      <c r="C149" s="174" t="n">
        <v>45624</v>
      </c>
      <c r="D149" s="173" t="n">
        <v>270</v>
      </c>
      <c r="E149" s="138" t="s">
        <v>248</v>
      </c>
      <c r="F149" s="138" t="s">
        <v>527</v>
      </c>
      <c r="G149" s="140" t="s">
        <v>105</v>
      </c>
      <c r="H149" s="173" t="n">
        <v>40197</v>
      </c>
      <c r="I149" s="173" t="n">
        <v>30015</v>
      </c>
      <c r="J149" s="140" t="s">
        <v>762</v>
      </c>
      <c r="K149" s="140"/>
      <c r="L149" s="175" t="n">
        <v>860.1</v>
      </c>
      <c r="M149" s="175" t="n">
        <v>558.9</v>
      </c>
      <c r="N149" s="175" t="n">
        <v>276</v>
      </c>
      <c r="O149" s="175"/>
      <c r="P149" s="175" t="n">
        <v>10</v>
      </c>
      <c r="Q149" s="176" t="n">
        <v>1</v>
      </c>
      <c r="R149" s="138" t="n">
        <v>0.66</v>
      </c>
      <c r="S149" s="177" t="n">
        <v>51.6666666666667</v>
      </c>
      <c r="T149" s="215"/>
      <c r="U149" s="178" t="n">
        <v>0.268854241086576</v>
      </c>
      <c r="V149" s="177" t="n">
        <v>74.2037705398951</v>
      </c>
      <c r="W149" s="177" t="n">
        <v>6.77512687538174</v>
      </c>
      <c r="X149" s="179" t="n">
        <v>0.0292989187303802</v>
      </c>
      <c r="Y149" s="177" t="n">
        <v>2.43031764705882</v>
      </c>
      <c r="Z149" s="177" t="n">
        <v>21.7</v>
      </c>
      <c r="AA149" s="177" t="n">
        <v>39.6634615384616</v>
      </c>
      <c r="AB149" s="177" t="n">
        <v>196.439343267464</v>
      </c>
      <c r="AC149" s="215" t="n">
        <v>0</v>
      </c>
      <c r="AD149" s="215" t="s">
        <v>88</v>
      </c>
      <c r="AE149" s="177" t="n">
        <v>0</v>
      </c>
      <c r="AF149" s="177" t="n">
        <v>-196.439343267464</v>
      </c>
      <c r="AG149" s="181"/>
      <c r="AH149" s="180" t="n">
        <v>80.9788974152768</v>
      </c>
      <c r="AI149" s="181"/>
      <c r="AJ149" s="181" t="s">
        <v>895</v>
      </c>
      <c r="AK149" s="181" t="s">
        <v>1103</v>
      </c>
      <c r="AL149" s="182" t="n">
        <v>0.711736750969072</v>
      </c>
      <c r="AN149" s="144" t="e">
        <v>#NAME?</v>
      </c>
      <c r="AO149" s="144" t="e">
        <f aca="false">_xlfn.xlookup(AN149,A:A,F:F)</f>
        <v>#NAME?</v>
      </c>
      <c r="AP149" s="144" t="e">
        <f aca="false">_xlfn.xlookup(AN149,A:A,J:J)</f>
        <v>#NAME?</v>
      </c>
      <c r="AQ149" s="144" t="e">
        <f aca="false">_xlfn.xlookup(AN149,A:A,N:N)+_xlfn.xlookup(AN149,A:A,O:O)</f>
        <v>#NAME?</v>
      </c>
      <c r="AR149" s="150" t="e">
        <f aca="false">_xlfn.xlookup(AN149,A:A,AH:AH)</f>
        <v>#NAME?</v>
      </c>
      <c r="AS149" s="150" t="e">
        <f aca="false">_xlfn.xlookup(AN149,A:A,S:S)</f>
        <v>#NAME?</v>
      </c>
      <c r="AT149" s="150" t="e">
        <f aca="false">_xlfn.xlookup(AN149,A:A,AE:AE)</f>
        <v>#NAME?</v>
      </c>
      <c r="AU149" s="150" t="e">
        <f aca="false">_xlfn.xlookup(AN149,A:A,AF:AF)</f>
        <v>#NAME?</v>
      </c>
      <c r="BB149" s="246"/>
      <c r="BC149" s="246"/>
      <c r="BD149" s="246"/>
      <c r="BE149" s="246"/>
      <c r="BF149" s="246"/>
      <c r="BH149" s="152" t="e">
        <f aca="false">_xlfn.xlookup(BG149,A:A,F:F)</f>
        <v>#NAME?</v>
      </c>
      <c r="BI149" s="144" t="e">
        <f aca="false">_xlfn.xlookup(BG149,A:A,J:J)</f>
        <v>#NAME?</v>
      </c>
      <c r="BJ149" s="153" t="e">
        <f aca="false">_xlfn.xlookup(BG149,A:A,N:N)+_xlfn.xlookup(BG149,A:A,O:O)</f>
        <v>#NAME?</v>
      </c>
      <c r="BK149" s="153" t="e">
        <f aca="false">_xlfn.xlookup(BG149,A97:A1092,AB97:AB1092)</f>
        <v>#NAME?</v>
      </c>
      <c r="BQ149" s="144" t="str">
        <f aca="false">IF(VALUE(MONTH(C149))&lt;10,YEAR(C149)&amp;"-0"&amp;MONTH(C149),YEAR(C149)&amp;"-"&amp;MONTH(C149))</f>
        <v>2024-11</v>
      </c>
      <c r="BR149" s="144" t="str">
        <f aca="false">J149</f>
        <v>S15-3</v>
      </c>
      <c r="BS149" s="144" t="str">
        <f aca="false">IF(ISNUMBER(FIND("-", BR149)), LEFT(BR149, FIND("-", BR149) - 1), BR149)</f>
        <v>S15</v>
      </c>
      <c r="BT149" s="189" t="n">
        <f aca="false">L149-M149+O149</f>
        <v>301.2</v>
      </c>
    </row>
    <row r="150" customFormat="false" ht="16.4" hidden="false" customHeight="false" outlineLevel="0" collapsed="false">
      <c r="A150" s="140" t="s">
        <v>1104</v>
      </c>
      <c r="B150" s="249" t="s">
        <v>893</v>
      </c>
      <c r="C150" s="174" t="n">
        <v>45628</v>
      </c>
      <c r="D150" s="173" t="n">
        <v>271</v>
      </c>
      <c r="E150" s="138" t="s">
        <v>120</v>
      </c>
      <c r="F150" s="138" t="s">
        <v>617</v>
      </c>
      <c r="G150" s="140" t="n">
        <v>14302</v>
      </c>
      <c r="H150" s="173" t="n">
        <v>40171</v>
      </c>
      <c r="I150" s="173" t="n">
        <v>30031</v>
      </c>
      <c r="J150" s="140" t="s">
        <v>762</v>
      </c>
      <c r="K150" s="140"/>
      <c r="L150" s="175" t="n">
        <v>28576.440288</v>
      </c>
      <c r="M150" s="175" t="n">
        <v>10987.0464</v>
      </c>
      <c r="N150" s="175" t="n">
        <v>17424</v>
      </c>
      <c r="O150" s="175"/>
      <c r="P150" s="175" t="n">
        <v>180</v>
      </c>
      <c r="Q150" s="176" t="n">
        <v>6</v>
      </c>
      <c r="R150" s="138" t="n">
        <v>5</v>
      </c>
      <c r="S150" s="177" t="n">
        <v>292.5</v>
      </c>
      <c r="T150" s="215"/>
      <c r="U150" s="178" t="n">
        <v>0.258868836762901</v>
      </c>
      <c r="V150" s="177" t="n">
        <v>4510.53061175679</v>
      </c>
      <c r="W150" s="177" t="n">
        <v>42.8153233942523</v>
      </c>
      <c r="X150" s="179" t="n">
        <v>0.00578777084665259</v>
      </c>
      <c r="Y150" s="177" t="n">
        <v>43.7457176470588</v>
      </c>
      <c r="Z150" s="177" t="n">
        <v>130.2</v>
      </c>
      <c r="AA150" s="177" t="n">
        <v>300.480769230769</v>
      </c>
      <c r="AB150" s="177" t="n">
        <v>5320.27242202887</v>
      </c>
      <c r="AC150" s="215" t="n">
        <v>0.347</v>
      </c>
      <c r="AD150" s="215" t="s">
        <v>88</v>
      </c>
      <c r="AE150" s="177" t="n">
        <v>6046.128</v>
      </c>
      <c r="AF150" s="177" t="n">
        <v>725.855577971132</v>
      </c>
      <c r="AG150" s="181" t="n">
        <v>0.120052962486261</v>
      </c>
      <c r="AH150" s="180" t="n">
        <v>4553.34593515104</v>
      </c>
      <c r="AI150" s="181" t="n">
        <v>0.753101147569327</v>
      </c>
      <c r="AJ150" s="181"/>
      <c r="AK150" s="181" t="s">
        <v>1104</v>
      </c>
      <c r="AL150" s="182" t="n">
        <v>0.305341622017267</v>
      </c>
      <c r="AN150" s="144" t="e">
        <v>#NAME?</v>
      </c>
      <c r="AO150" s="144" t="e">
        <f aca="false">_xlfn.xlookup(AN150,A:A,F:F)</f>
        <v>#NAME?</v>
      </c>
      <c r="AP150" s="144" t="e">
        <f aca="false">_xlfn.xlookup(AN150,A:A,J:J)</f>
        <v>#NAME?</v>
      </c>
      <c r="AQ150" s="144" t="e">
        <f aca="false">_xlfn.xlookup(AN150,A:A,N:N)+_xlfn.xlookup(AN150,A:A,O:O)</f>
        <v>#NAME?</v>
      </c>
      <c r="AR150" s="150" t="e">
        <f aca="false">_xlfn.xlookup(AN150,A:A,AH:AH)</f>
        <v>#NAME?</v>
      </c>
      <c r="AS150" s="150" t="e">
        <f aca="false">_xlfn.xlookup(AN150,A:A,S:S)</f>
        <v>#NAME?</v>
      </c>
      <c r="AT150" s="150" t="e">
        <f aca="false">_xlfn.xlookup(AN150,A:A,AE:AE)</f>
        <v>#NAME?</v>
      </c>
      <c r="AU150" s="150" t="e">
        <f aca="false">_xlfn.xlookup(AN150,A:A,AF:AF)</f>
        <v>#NAME?</v>
      </c>
      <c r="BB150" s="246"/>
      <c r="BC150" s="246"/>
      <c r="BD150" s="246"/>
      <c r="BE150" s="246"/>
      <c r="BF150" s="246"/>
      <c r="BH150" s="152" t="e">
        <f aca="false">_xlfn.xlookup(BG150,A:A,F:F)</f>
        <v>#NAME?</v>
      </c>
      <c r="BI150" s="144" t="e">
        <f aca="false">_xlfn.xlookup(BG150,A:A,J:J)</f>
        <v>#NAME?</v>
      </c>
      <c r="BJ150" s="153" t="e">
        <f aca="false">_xlfn.xlookup(BG150,A:A,N:N)+_xlfn.xlookup(BG150,A:A,O:O)</f>
        <v>#NAME?</v>
      </c>
      <c r="BK150" s="153" t="e">
        <f aca="false">_xlfn.xlookup(BG150,A98:A1093,AB98:AB1093)</f>
        <v>#NAME?</v>
      </c>
      <c r="BQ150" s="144" t="str">
        <f aca="false">IF(VALUE(MONTH(C150))&lt;10,YEAR(C150)&amp;"-0"&amp;MONTH(C150),YEAR(C150)&amp;"-"&amp;MONTH(C150))</f>
        <v>2024-12</v>
      </c>
      <c r="BR150" s="144" t="str">
        <f aca="false">J150</f>
        <v>S15-3</v>
      </c>
      <c r="BS150" s="144" t="str">
        <f aca="false">IF(ISNUMBER(FIND("-", BR150)), LEFT(BR150, FIND("-", BR150) - 1), BR150)</f>
        <v>S15</v>
      </c>
      <c r="BT150" s="189" t="n">
        <f aca="false">L150-M150+O150</f>
        <v>17589.393888</v>
      </c>
    </row>
    <row r="151" customFormat="false" ht="16.4" hidden="false" customHeight="false" outlineLevel="0" collapsed="false">
      <c r="A151" s="140" t="s">
        <v>1105</v>
      </c>
      <c r="B151" s="249" t="s">
        <v>893</v>
      </c>
      <c r="C151" s="174" t="n">
        <v>45628</v>
      </c>
      <c r="D151" s="173" t="n">
        <v>272</v>
      </c>
      <c r="E151" s="138" t="s">
        <v>1106</v>
      </c>
      <c r="F151" s="138" t="s">
        <v>85</v>
      </c>
      <c r="G151" s="140" t="n">
        <v>281124</v>
      </c>
      <c r="H151" s="173" t="n">
        <v>40199</v>
      </c>
      <c r="I151" s="173" t="n">
        <v>30029</v>
      </c>
      <c r="J151" s="140" t="s">
        <v>906</v>
      </c>
      <c r="K151" s="140"/>
      <c r="L151" s="175" t="n">
        <v>14158.110384</v>
      </c>
      <c r="M151" s="175" t="n">
        <v>9533.3352</v>
      </c>
      <c r="N151" s="175" t="n">
        <v>4536</v>
      </c>
      <c r="O151" s="175"/>
      <c r="P151" s="175" t="n">
        <v>78.75</v>
      </c>
      <c r="Q151" s="176" t="n">
        <v>1</v>
      </c>
      <c r="R151" s="138" t="n">
        <v>2</v>
      </c>
      <c r="S151" s="177" t="n">
        <v>130</v>
      </c>
      <c r="T151" s="215"/>
      <c r="U151" s="178" t="n">
        <v>0.285235933537095</v>
      </c>
      <c r="V151" s="177" t="n">
        <v>1293.83019452426</v>
      </c>
      <c r="W151" s="177" t="n">
        <v>25.3218724831674</v>
      </c>
      <c r="X151" s="179" t="n">
        <v>0.00627027064998197</v>
      </c>
      <c r="Y151" s="177" t="n">
        <v>19.1387514705882</v>
      </c>
      <c r="Z151" s="177" t="n">
        <v>21.7</v>
      </c>
      <c r="AA151" s="177" t="n">
        <v>120.192307692308</v>
      </c>
      <c r="AB151" s="177" t="n">
        <v>1610.18312617032</v>
      </c>
      <c r="AC151" s="215" t="n">
        <v>0</v>
      </c>
      <c r="AD151" s="215" t="s">
        <v>88</v>
      </c>
      <c r="AE151" s="177" t="n">
        <v>0</v>
      </c>
      <c r="AF151" s="177" t="n">
        <v>-1610.18312617032</v>
      </c>
      <c r="AG151" s="181"/>
      <c r="AH151" s="180" t="n">
        <v>1319.15206700743</v>
      </c>
      <c r="AI151" s="181"/>
      <c r="AJ151" s="181" t="s">
        <v>895</v>
      </c>
      <c r="AK151" s="181" t="s">
        <v>1105</v>
      </c>
      <c r="AL151" s="182" t="n">
        <v>0.354978643335609</v>
      </c>
      <c r="AN151" s="144" t="e">
        <v>#NAME?</v>
      </c>
      <c r="AO151" s="144" t="e">
        <f aca="false">_xlfn.xlookup(AN151,A:A,F:F)</f>
        <v>#NAME?</v>
      </c>
      <c r="AP151" s="144" t="e">
        <f aca="false">_xlfn.xlookup(AN151,A:A,J:J)</f>
        <v>#NAME?</v>
      </c>
      <c r="AQ151" s="144" t="e">
        <f aca="false">_xlfn.xlookup(AN151,A:A,N:N)+_xlfn.xlookup(AN151,A:A,O:O)</f>
        <v>#NAME?</v>
      </c>
      <c r="AR151" s="150" t="e">
        <f aca="false">_xlfn.xlookup(AN151,A:A,AH:AH)</f>
        <v>#NAME?</v>
      </c>
      <c r="AS151" s="150" t="e">
        <f aca="false">_xlfn.xlookup(AN151,A:A,S:S)</f>
        <v>#NAME?</v>
      </c>
      <c r="AT151" s="150" t="e">
        <f aca="false">_xlfn.xlookup(AN151,A:A,AE:AE)</f>
        <v>#NAME?</v>
      </c>
      <c r="AU151" s="150" t="e">
        <f aca="false">_xlfn.xlookup(AN151,A:A,AF:AF)</f>
        <v>#NAME?</v>
      </c>
      <c r="BB151" s="246"/>
      <c r="BC151" s="246"/>
      <c r="BD151" s="246"/>
      <c r="BE151" s="246"/>
      <c r="BF151" s="246"/>
      <c r="BH151" s="152" t="e">
        <f aca="false">_xlfn.xlookup(BG151,A:A,F:F)</f>
        <v>#NAME?</v>
      </c>
      <c r="BI151" s="144" t="e">
        <f aca="false">_xlfn.xlookup(BG151,A:A,J:J)</f>
        <v>#NAME?</v>
      </c>
      <c r="BJ151" s="153" t="e">
        <f aca="false">_xlfn.xlookup(BG151,A:A,N:N)+_xlfn.xlookup(BG151,A:A,O:O)</f>
        <v>#NAME?</v>
      </c>
      <c r="BK151" s="153" t="e">
        <f aca="false">_xlfn.xlookup(BG151,A99:A1094,AB99:AB1094)</f>
        <v>#NAME?</v>
      </c>
      <c r="BQ151" s="144" t="str">
        <f aca="false">IF(VALUE(MONTH(C151))&lt;10,YEAR(C151)&amp;"-0"&amp;MONTH(C151),YEAR(C151)&amp;"-"&amp;MONTH(C151))</f>
        <v>2024-12</v>
      </c>
      <c r="BR151" s="144" t="str">
        <f aca="false">J151</f>
        <v>D11-3</v>
      </c>
      <c r="BS151" s="144" t="str">
        <f aca="false">IF(ISNUMBER(FIND("-", BR151)), LEFT(BR151, FIND("-", BR151) - 1), BR151)</f>
        <v>D11</v>
      </c>
      <c r="BT151" s="189" t="n">
        <f aca="false">L151-M151+O151</f>
        <v>4624.775184</v>
      </c>
    </row>
    <row r="152" customFormat="false" ht="16.4" hidden="false" customHeight="false" outlineLevel="0" collapsed="false">
      <c r="A152" s="140" t="s">
        <v>1107</v>
      </c>
      <c r="B152" s="249" t="s">
        <v>893</v>
      </c>
      <c r="C152" s="174" t="n">
        <v>45628</v>
      </c>
      <c r="D152" s="173" t="n">
        <v>0</v>
      </c>
      <c r="E152" s="138" t="s">
        <v>306</v>
      </c>
      <c r="F152" s="138" t="s">
        <v>596</v>
      </c>
      <c r="G152" s="140" t="s">
        <v>1108</v>
      </c>
      <c r="H152" s="173" t="n">
        <v>0</v>
      </c>
      <c r="I152" s="173" t="n">
        <v>30011</v>
      </c>
      <c r="J152" s="140" t="s">
        <v>760</v>
      </c>
      <c r="K152" s="140"/>
      <c r="L152" s="175" t="n">
        <v>2695.92</v>
      </c>
      <c r="M152" s="175" t="n">
        <v>1903.5</v>
      </c>
      <c r="N152" s="175" t="n">
        <v>733.2</v>
      </c>
      <c r="O152" s="175"/>
      <c r="P152" s="175" t="n">
        <v>26</v>
      </c>
      <c r="Q152" s="176" t="n">
        <v>1</v>
      </c>
      <c r="R152" s="138" t="n">
        <v>1.5</v>
      </c>
      <c r="S152" s="177" t="n">
        <v>0</v>
      </c>
      <c r="T152" s="215"/>
      <c r="U152" s="178" t="n">
        <v>0.28357864079936</v>
      </c>
      <c r="V152" s="177" t="n">
        <v>207.919859434091</v>
      </c>
      <c r="W152" s="177" t="n">
        <v>16.7935271081382</v>
      </c>
      <c r="X152" s="179" t="n">
        <v>0.0219665271966528</v>
      </c>
      <c r="Y152" s="177" t="n">
        <v>6.31882588235294</v>
      </c>
      <c r="Z152" s="177" t="n">
        <v>21.7</v>
      </c>
      <c r="AA152" s="177" t="n">
        <v>90.1442307692308</v>
      </c>
      <c r="AB152" s="177" t="n">
        <v>342.876443193813</v>
      </c>
      <c r="AC152" s="215"/>
      <c r="AD152" s="215"/>
      <c r="AE152" s="177" t="n">
        <v>0</v>
      </c>
      <c r="AF152" s="177" t="n">
        <v>-342.876443193813</v>
      </c>
      <c r="AG152" s="181"/>
      <c r="AH152" s="180" t="n">
        <v>224.713386542229</v>
      </c>
      <c r="AI152" s="181"/>
      <c r="AJ152" s="181" t="s">
        <v>895</v>
      </c>
      <c r="AK152" s="181" t="s">
        <v>1107</v>
      </c>
      <c r="AL152" s="182" t="n">
        <v>0.467643812321076</v>
      </c>
      <c r="AN152" s="144" t="e">
        <v>#NAME?</v>
      </c>
      <c r="AO152" s="144" t="e">
        <f aca="false">_xlfn.xlookup(AN152,A:A,F:F)</f>
        <v>#NAME?</v>
      </c>
      <c r="AP152" s="144" t="e">
        <f aca="false">_xlfn.xlookup(AN152,A:A,J:J)</f>
        <v>#NAME?</v>
      </c>
      <c r="AQ152" s="144" t="e">
        <f aca="false">_xlfn.xlookup(AN152,A:A,N:N)+_xlfn.xlookup(AN152,A:A,O:O)</f>
        <v>#NAME?</v>
      </c>
      <c r="AR152" s="150" t="e">
        <f aca="false">_xlfn.xlookup(AN152,A:A,AH:AH)</f>
        <v>#NAME?</v>
      </c>
      <c r="AS152" s="150" t="e">
        <f aca="false">_xlfn.xlookup(AN152,A:A,S:S)</f>
        <v>#NAME?</v>
      </c>
      <c r="AT152" s="150" t="e">
        <f aca="false">_xlfn.xlookup(AN152,A:A,AE:AE)</f>
        <v>#NAME?</v>
      </c>
      <c r="AU152" s="150" t="e">
        <f aca="false">_xlfn.xlookup(AN152,A:A,AF:AF)</f>
        <v>#NAME?</v>
      </c>
      <c r="BB152" s="246"/>
      <c r="BC152" s="246"/>
      <c r="BD152" s="246"/>
      <c r="BE152" s="246"/>
      <c r="BF152" s="246"/>
      <c r="BH152" s="152" t="e">
        <f aca="false">_xlfn.xlookup(BG152,A:A,F:F)</f>
        <v>#NAME?</v>
      </c>
      <c r="BI152" s="144" t="e">
        <f aca="false">_xlfn.xlookup(BG152,A:A,J:J)</f>
        <v>#NAME?</v>
      </c>
      <c r="BJ152" s="153" t="e">
        <f aca="false">_xlfn.xlookup(BG152,A:A,N:N)+_xlfn.xlookup(BG152,A:A,O:O)</f>
        <v>#NAME?</v>
      </c>
      <c r="BK152" s="153" t="e">
        <f aca="false">_xlfn.xlookup(BG152,A100:A1095,AB100:AB1095)</f>
        <v>#NAME?</v>
      </c>
      <c r="BQ152" s="144" t="str">
        <f aca="false">IF(VALUE(MONTH(C152))&lt;10,YEAR(C152)&amp;"-0"&amp;MONTH(C152),YEAR(C152)&amp;"-"&amp;MONTH(C152))</f>
        <v>2024-12</v>
      </c>
      <c r="BR152" s="144" t="str">
        <f aca="false">J152</f>
        <v>S21-1</v>
      </c>
      <c r="BS152" s="144" t="str">
        <f aca="false">IF(ISNUMBER(FIND("-", BR152)), LEFT(BR152, FIND("-", BR152) - 1), BR152)</f>
        <v>S21</v>
      </c>
      <c r="BT152" s="189" t="n">
        <f aca="false">L152-M152+O152</f>
        <v>792.42</v>
      </c>
    </row>
    <row r="153" customFormat="false" ht="16.4" hidden="false" customHeight="false" outlineLevel="0" collapsed="false">
      <c r="A153" s="140" t="s">
        <v>1109</v>
      </c>
      <c r="B153" s="249" t="s">
        <v>893</v>
      </c>
      <c r="C153" s="174" t="n">
        <v>45629</v>
      </c>
      <c r="D153" s="173" t="n">
        <v>274</v>
      </c>
      <c r="E153" s="138" t="s">
        <v>94</v>
      </c>
      <c r="F153" s="138" t="s">
        <v>522</v>
      </c>
      <c r="G153" s="140" t="n">
        <v>106059</v>
      </c>
      <c r="H153" s="173" t="n">
        <v>40048</v>
      </c>
      <c r="I153" s="173" t="n">
        <v>30011</v>
      </c>
      <c r="J153" s="140" t="s">
        <v>760</v>
      </c>
      <c r="K153" s="140"/>
      <c r="L153" s="175" t="n">
        <v>3433.68</v>
      </c>
      <c r="M153" s="175" t="n">
        <v>0</v>
      </c>
      <c r="N153" s="175" t="n">
        <v>3240</v>
      </c>
      <c r="O153" s="175"/>
      <c r="P153" s="175" t="n">
        <v>60</v>
      </c>
      <c r="Q153" s="176" t="n">
        <v>1</v>
      </c>
      <c r="R153" s="138" t="n">
        <v>1.25</v>
      </c>
      <c r="S153" s="177" t="n">
        <v>-25.652</v>
      </c>
      <c r="T153" s="215" t="n">
        <v>1.4167</v>
      </c>
      <c r="U153" s="178" t="n">
        <v>0.28357864079936</v>
      </c>
      <c r="V153" s="177" t="n">
        <v>918.794796189926</v>
      </c>
      <c r="W153" s="177" t="n">
        <v>54.92351115002</v>
      </c>
      <c r="X153" s="179" t="n">
        <v>0.0564059551268609</v>
      </c>
      <c r="Y153" s="177" t="n">
        <v>14.5819058823529</v>
      </c>
      <c r="Z153" s="177" t="n">
        <v>21.7</v>
      </c>
      <c r="AA153" s="177" t="n">
        <v>75.1201923076923</v>
      </c>
      <c r="AB153" s="177" t="n">
        <v>1059.46840552999</v>
      </c>
      <c r="AC153" s="215" t="n">
        <v>0.27</v>
      </c>
      <c r="AD153" s="215" t="s">
        <v>77</v>
      </c>
      <c r="AE153" s="177" t="n">
        <v>1239.32916</v>
      </c>
      <c r="AF153" s="177" t="n">
        <v>179.860754470009</v>
      </c>
      <c r="AG153" s="181" t="n">
        <v>0.145127509522982</v>
      </c>
      <c r="AH153" s="180" t="n">
        <v>973.718307339946</v>
      </c>
      <c r="AI153" s="181" t="n">
        <v>0.785681753296232</v>
      </c>
      <c r="AJ153" s="181"/>
      <c r="AK153" s="181" t="s">
        <v>1109</v>
      </c>
      <c r="AL153" s="182" t="n">
        <v>0.326996421459874</v>
      </c>
      <c r="AN153" s="144" t="e">
        <v>#NAME?</v>
      </c>
      <c r="AO153" s="144" t="e">
        <f aca="false">_xlfn.xlookup(AN153,A:A,F:F)</f>
        <v>#NAME?</v>
      </c>
      <c r="AP153" s="144" t="e">
        <f aca="false">_xlfn.xlookup(AN153,A:A,J:J)</f>
        <v>#NAME?</v>
      </c>
      <c r="AQ153" s="144" t="e">
        <f aca="false">_xlfn.xlookup(AN153,A:A,N:N)+_xlfn.xlookup(AN153,A:A,O:O)</f>
        <v>#NAME?</v>
      </c>
      <c r="AR153" s="150" t="e">
        <f aca="false">_xlfn.xlookup(AN153,A:A,AH:AH)</f>
        <v>#NAME?</v>
      </c>
      <c r="AS153" s="150" t="e">
        <f aca="false">_xlfn.xlookup(AN153,A:A,S:S)</f>
        <v>#NAME?</v>
      </c>
      <c r="AT153" s="150" t="e">
        <f aca="false">_xlfn.xlookup(AN153,A:A,AE:AE)</f>
        <v>#NAME?</v>
      </c>
      <c r="AU153" s="150" t="e">
        <f aca="false">_xlfn.xlookup(AN153,A:A,AF:AF)</f>
        <v>#NAME?</v>
      </c>
      <c r="BB153" s="246"/>
      <c r="BC153" s="246"/>
      <c r="BD153" s="246"/>
      <c r="BE153" s="246"/>
      <c r="BF153" s="246"/>
      <c r="BH153" s="152" t="e">
        <f aca="false">_xlfn.xlookup(BG153,A:A,F:F)</f>
        <v>#NAME?</v>
      </c>
      <c r="BI153" s="144" t="e">
        <f aca="false">_xlfn.xlookup(BG153,A:A,J:J)</f>
        <v>#NAME?</v>
      </c>
      <c r="BJ153" s="153" t="e">
        <f aca="false">_xlfn.xlookup(BG153,A:A,N:N)+_xlfn.xlookup(BG153,A:A,O:O)</f>
        <v>#NAME?</v>
      </c>
      <c r="BK153" s="153" t="e">
        <f aca="false">_xlfn.xlookup(BG153,A101:A1096,AB101:AB1096)</f>
        <v>#NAME?</v>
      </c>
      <c r="BQ153" s="144" t="str">
        <f aca="false">IF(VALUE(MONTH(C153))&lt;10,YEAR(C153)&amp;"-0"&amp;MONTH(C153),YEAR(C153)&amp;"-"&amp;MONTH(C153))</f>
        <v>2024-12</v>
      </c>
      <c r="BR153" s="144" t="str">
        <f aca="false">J153</f>
        <v>S21-1</v>
      </c>
      <c r="BS153" s="144" t="str">
        <f aca="false">IF(ISNUMBER(FIND("-", BR153)), LEFT(BR153, FIND("-", BR153) - 1), BR153)</f>
        <v>S21</v>
      </c>
      <c r="BT153" s="189" t="n">
        <f aca="false">L153-M153+O153</f>
        <v>3433.68</v>
      </c>
    </row>
    <row r="154" customFormat="false" ht="16.4" hidden="false" customHeight="false" outlineLevel="0" collapsed="false">
      <c r="A154" s="140" t="s">
        <v>1110</v>
      </c>
      <c r="B154" s="249" t="s">
        <v>893</v>
      </c>
      <c r="C154" s="174" t="n">
        <v>45631</v>
      </c>
      <c r="D154" s="173" t="n">
        <v>275</v>
      </c>
      <c r="E154" s="138" t="s">
        <v>63</v>
      </c>
      <c r="F154" s="138" t="s">
        <v>500</v>
      </c>
      <c r="G154" s="140" t="n">
        <v>50008916</v>
      </c>
      <c r="H154" s="173" t="n">
        <v>40054</v>
      </c>
      <c r="I154" s="173" t="n">
        <v>30025</v>
      </c>
      <c r="J154" s="140" t="s">
        <v>904</v>
      </c>
      <c r="K154" s="140"/>
      <c r="L154" s="175" t="n">
        <v>7589.013168</v>
      </c>
      <c r="M154" s="175" t="n">
        <v>1545</v>
      </c>
      <c r="N154" s="175" t="n">
        <v>5871</v>
      </c>
      <c r="O154" s="175"/>
      <c r="P154" s="175" t="n">
        <v>95</v>
      </c>
      <c r="Q154" s="176" t="n">
        <v>1</v>
      </c>
      <c r="R154" s="138" t="n">
        <v>4</v>
      </c>
      <c r="S154" s="177" t="n">
        <v>-117.54</v>
      </c>
      <c r="T154" s="215" t="n">
        <v>1.413</v>
      </c>
      <c r="U154" s="178" t="n">
        <v>0.369342532440358</v>
      </c>
      <c r="V154" s="177" t="n">
        <v>2168.41000795734</v>
      </c>
      <c r="W154" s="177" t="n">
        <v>63.901121614649</v>
      </c>
      <c r="X154" s="179" t="n">
        <v>0.0227978479111791</v>
      </c>
      <c r="Y154" s="177" t="n">
        <v>23.0880176470588</v>
      </c>
      <c r="Z154" s="177" t="n">
        <v>21.7</v>
      </c>
      <c r="AA154" s="177" t="n">
        <v>240.384615384615</v>
      </c>
      <c r="AB154" s="177" t="n">
        <v>2399.94376260367</v>
      </c>
      <c r="AC154" s="215" t="n">
        <v>0.31</v>
      </c>
      <c r="AD154" s="215" t="s">
        <v>77</v>
      </c>
      <c r="AE154" s="177" t="n">
        <v>2571.67413</v>
      </c>
      <c r="AF154" s="177" t="n">
        <v>171.730367396334</v>
      </c>
      <c r="AG154" s="181" t="n">
        <v>0.0667776548330926</v>
      </c>
      <c r="AH154" s="180" t="n">
        <v>2232.31112957199</v>
      </c>
      <c r="AI154" s="181" t="n">
        <v>0.868038101535047</v>
      </c>
      <c r="AJ154" s="181"/>
      <c r="AK154" s="181" t="s">
        <v>1110</v>
      </c>
      <c r="AL154" s="182" t="n">
        <v>0.40877938385346</v>
      </c>
      <c r="AN154" s="144" t="e">
        <v>#NAME?</v>
      </c>
      <c r="AO154" s="144" t="e">
        <f aca="false">_xlfn.xlookup(AN154,A:A,F:F)</f>
        <v>#NAME?</v>
      </c>
      <c r="AP154" s="144" t="e">
        <f aca="false">_xlfn.xlookup(AN154,A:A,J:J)</f>
        <v>#NAME?</v>
      </c>
      <c r="AQ154" s="144" t="e">
        <f aca="false">_xlfn.xlookup(AN154,A:A,N:N)+_xlfn.xlookup(AN154,A:A,O:O)</f>
        <v>#NAME?</v>
      </c>
      <c r="AR154" s="150" t="e">
        <f aca="false">_xlfn.xlookup(AN154,A:A,AH:AH)</f>
        <v>#NAME?</v>
      </c>
      <c r="AS154" s="150" t="e">
        <f aca="false">_xlfn.xlookup(AN154,A:A,S:S)</f>
        <v>#NAME?</v>
      </c>
      <c r="AT154" s="150" t="e">
        <f aca="false">_xlfn.xlookup(AN154,A:A,AE:AE)</f>
        <v>#NAME?</v>
      </c>
      <c r="AU154" s="150" t="e">
        <f aca="false">_xlfn.xlookup(AN154,A:A,AF:AF)</f>
        <v>#NAME?</v>
      </c>
      <c r="BB154" s="246"/>
      <c r="BC154" s="246"/>
      <c r="BD154" s="246"/>
      <c r="BE154" s="246"/>
      <c r="BF154" s="246"/>
      <c r="BH154" s="152" t="e">
        <f aca="false">_xlfn.xlookup(BG154,A:A,F:F)</f>
        <v>#NAME?</v>
      </c>
      <c r="BI154" s="144" t="e">
        <f aca="false">_xlfn.xlookup(BG154,A:A,J:J)</f>
        <v>#NAME?</v>
      </c>
      <c r="BJ154" s="153" t="e">
        <f aca="false">_xlfn.xlookup(BG154,A:A,N:N)+_xlfn.xlookup(BG154,A:A,O:O)</f>
        <v>#NAME?</v>
      </c>
      <c r="BK154" s="153" t="e">
        <f aca="false">_xlfn.xlookup(BG154,A102:A1097,AB102:AB1097)</f>
        <v>#NAME?</v>
      </c>
      <c r="BQ154" s="144" t="str">
        <f aca="false">IF(VALUE(MONTH(C154))&lt;10,YEAR(C154)&amp;"-0"&amp;MONTH(C154),YEAR(C154)&amp;"-"&amp;MONTH(C154))</f>
        <v>2024-12</v>
      </c>
      <c r="BR154" s="144" t="str">
        <f aca="false">J154</f>
        <v>D11-1</v>
      </c>
      <c r="BS154" s="144" t="str">
        <f aca="false">IF(ISNUMBER(FIND("-", BR154)), LEFT(BR154, FIND("-", BR154) - 1), BR154)</f>
        <v>D11</v>
      </c>
      <c r="BT154" s="189" t="n">
        <f aca="false">L154-M154+O154</f>
        <v>6044.013168</v>
      </c>
    </row>
    <row r="155" customFormat="false" ht="16.4" hidden="false" customHeight="false" outlineLevel="0" collapsed="false">
      <c r="A155" s="140" t="s">
        <v>1111</v>
      </c>
      <c r="B155" s="249" t="s">
        <v>893</v>
      </c>
      <c r="C155" s="174" t="n">
        <v>45631</v>
      </c>
      <c r="D155" s="173" t="n">
        <v>276</v>
      </c>
      <c r="E155" s="138" t="s">
        <v>96</v>
      </c>
      <c r="F155" s="138" t="s">
        <v>582</v>
      </c>
      <c r="G155" s="140" t="n">
        <v>1958</v>
      </c>
      <c r="H155" s="173" t="n">
        <v>40156</v>
      </c>
      <c r="I155" s="173" t="n">
        <v>30026</v>
      </c>
      <c r="J155" s="140" t="s">
        <v>905</v>
      </c>
      <c r="K155" s="140"/>
      <c r="L155" s="175" t="n">
        <v>14228.94792</v>
      </c>
      <c r="M155" s="175" t="n">
        <v>0</v>
      </c>
      <c r="N155" s="175" t="n">
        <v>14122.92</v>
      </c>
      <c r="O155" s="175"/>
      <c r="P155" s="175" t="n">
        <v>120.4</v>
      </c>
      <c r="Q155" s="176" t="n">
        <v>3</v>
      </c>
      <c r="R155" s="138" t="n">
        <v>2.5</v>
      </c>
      <c r="S155" s="177" t="n">
        <v>0</v>
      </c>
      <c r="T155" s="215"/>
      <c r="U155" s="178" t="n">
        <v>0.31697056471568</v>
      </c>
      <c r="V155" s="177" t="n">
        <v>4476.54992783437</v>
      </c>
      <c r="W155" s="177" t="n">
        <v>33.6077296780314</v>
      </c>
      <c r="X155" s="179" t="n">
        <v>0.00745156427559739</v>
      </c>
      <c r="Y155" s="177" t="n">
        <v>29.2610244705882</v>
      </c>
      <c r="Z155" s="177" t="n">
        <v>65.1</v>
      </c>
      <c r="AA155" s="177" t="n">
        <v>150.240384615385</v>
      </c>
      <c r="AB155" s="177" t="n">
        <v>4754.75906659837</v>
      </c>
      <c r="AC155" s="215" t="n">
        <v>0.466</v>
      </c>
      <c r="AD155" s="215" t="s">
        <v>88</v>
      </c>
      <c r="AE155" s="177" t="n">
        <v>6581.28072</v>
      </c>
      <c r="AF155" s="177" t="n">
        <v>1826.52165340163</v>
      </c>
      <c r="AG155" s="181" t="n">
        <v>0.277532858893402</v>
      </c>
      <c r="AH155" s="180" t="n">
        <v>4510.1576575124</v>
      </c>
      <c r="AI155" s="181" t="n">
        <v>0.685300908652382</v>
      </c>
      <c r="AJ155" s="181"/>
      <c r="AK155" s="181" t="s">
        <v>1111</v>
      </c>
      <c r="AL155" s="182" t="n">
        <v>0.336669687755675</v>
      </c>
      <c r="AN155" s="144" t="e">
        <v>#NAME?</v>
      </c>
      <c r="AO155" s="144" t="e">
        <f aca="false">_xlfn.xlookup(AN155,A:A,F:F)</f>
        <v>#NAME?</v>
      </c>
      <c r="AP155" s="144" t="e">
        <f aca="false">_xlfn.xlookup(AN155,A:A,J:J)</f>
        <v>#NAME?</v>
      </c>
      <c r="AQ155" s="144" t="e">
        <f aca="false">_xlfn.xlookup(AN155,A:A,N:N)+_xlfn.xlookup(AN155,A:A,O:O)</f>
        <v>#NAME?</v>
      </c>
      <c r="AR155" s="150" t="e">
        <f aca="false">_xlfn.xlookup(AN155,A:A,AH:AH)</f>
        <v>#NAME?</v>
      </c>
      <c r="AS155" s="150" t="e">
        <f aca="false">_xlfn.xlookup(AN155,A:A,S:S)</f>
        <v>#NAME?</v>
      </c>
      <c r="AT155" s="150" t="e">
        <f aca="false">_xlfn.xlookup(AN155,A:A,AE:AE)</f>
        <v>#NAME?</v>
      </c>
      <c r="AU155" s="150" t="e">
        <f aca="false">_xlfn.xlookup(AN155,A:A,AF:AF)</f>
        <v>#NAME?</v>
      </c>
      <c r="BB155" s="246"/>
      <c r="BC155" s="246"/>
      <c r="BD155" s="246"/>
      <c r="BE155" s="246"/>
      <c r="BF155" s="246"/>
      <c r="BH155" s="152" t="e">
        <f aca="false">_xlfn.xlookup(BG155,A:A,F:F)</f>
        <v>#NAME?</v>
      </c>
      <c r="BI155" s="144" t="e">
        <f aca="false">_xlfn.xlookup(BG155,A:A,J:J)</f>
        <v>#NAME?</v>
      </c>
      <c r="BJ155" s="153" t="e">
        <f aca="false">_xlfn.xlookup(BG155,A:A,N:N)+_xlfn.xlookup(BG155,A:A,O:O)</f>
        <v>#NAME?</v>
      </c>
      <c r="BK155" s="153" t="e">
        <f aca="false">_xlfn.xlookup(BG155,A103:A1098,AB103:AB1098)</f>
        <v>#NAME?</v>
      </c>
      <c r="BQ155" s="144" t="str">
        <f aca="false">IF(VALUE(MONTH(C155))&lt;10,YEAR(C155)&amp;"-0"&amp;MONTH(C155),YEAR(C155)&amp;"-"&amp;MONTH(C155))</f>
        <v>2024-12</v>
      </c>
      <c r="BR155" s="144" t="str">
        <f aca="false">J155</f>
        <v>D11-2</v>
      </c>
      <c r="BS155" s="144" t="str">
        <f aca="false">IF(ISNUMBER(FIND("-", BR155)), LEFT(BR155, FIND("-", BR155) - 1), BR155)</f>
        <v>D11</v>
      </c>
      <c r="BT155" s="189" t="n">
        <f aca="false">L155-M155+O155</f>
        <v>14228.94792</v>
      </c>
    </row>
    <row r="156" customFormat="false" ht="16.4" hidden="false" customHeight="false" outlineLevel="0" collapsed="false">
      <c r="A156" s="140" t="s">
        <v>1112</v>
      </c>
      <c r="B156" s="249" t="s">
        <v>893</v>
      </c>
      <c r="C156" s="174" t="n">
        <v>45631</v>
      </c>
      <c r="D156" s="173" t="n">
        <v>277</v>
      </c>
      <c r="E156" s="138" t="s">
        <v>96</v>
      </c>
      <c r="F156" s="138" t="s">
        <v>582</v>
      </c>
      <c r="G156" s="140" t="n">
        <v>1959</v>
      </c>
      <c r="H156" s="173" t="n">
        <v>40202</v>
      </c>
      <c r="I156" s="173" t="n">
        <v>30017</v>
      </c>
      <c r="J156" s="140" t="s">
        <v>768</v>
      </c>
      <c r="K156" s="140"/>
      <c r="L156" s="175" t="n">
        <v>285</v>
      </c>
      <c r="M156" s="175" t="n">
        <v>0</v>
      </c>
      <c r="N156" s="175" t="n">
        <v>262.2</v>
      </c>
      <c r="O156" s="175"/>
      <c r="P156" s="175" t="n">
        <v>9.5</v>
      </c>
      <c r="Q156" s="176" t="n">
        <v>1</v>
      </c>
      <c r="R156" s="138" t="n">
        <v>2.5</v>
      </c>
      <c r="S156" s="177" t="n">
        <v>0</v>
      </c>
      <c r="T156" s="215"/>
      <c r="U156" s="178" t="n">
        <v>0.326284886247867</v>
      </c>
      <c r="V156" s="177" t="n">
        <v>85.5518971741907</v>
      </c>
      <c r="W156" s="177" t="n">
        <v>7.43929540645137</v>
      </c>
      <c r="X156" s="179" t="n">
        <v>0.08</v>
      </c>
      <c r="Y156" s="177" t="n">
        <v>2.30880176470588</v>
      </c>
      <c r="Z156" s="177" t="n">
        <v>21.7</v>
      </c>
      <c r="AA156" s="177" t="n">
        <v>150.240384615385</v>
      </c>
      <c r="AB156" s="177" t="n">
        <v>267.240378960733</v>
      </c>
      <c r="AC156" s="215" t="n">
        <v>0.452</v>
      </c>
      <c r="AD156" s="215" t="s">
        <v>88</v>
      </c>
      <c r="AE156" s="177" t="n">
        <v>118.5144</v>
      </c>
      <c r="AF156" s="177" t="n">
        <v>-148.725978960733</v>
      </c>
      <c r="AG156" s="181" t="n">
        <v>-1.25491905591837</v>
      </c>
      <c r="AH156" s="180" t="n">
        <v>92.991192580642</v>
      </c>
      <c r="AI156" s="181" t="n">
        <v>0.784640453654932</v>
      </c>
      <c r="AJ156" s="181"/>
      <c r="AK156" s="181" t="s">
        <v>1112</v>
      </c>
      <c r="AL156" s="182" t="n">
        <v>1.01922341327511</v>
      </c>
      <c r="AN156" s="144" t="e">
        <v>#NAME?</v>
      </c>
      <c r="AO156" s="144" t="e">
        <f aca="false">_xlfn.xlookup(AN156,A:A,F:F)</f>
        <v>#NAME?</v>
      </c>
      <c r="AP156" s="144" t="e">
        <f aca="false">_xlfn.xlookup(AN156,A:A,J:J)</f>
        <v>#NAME?</v>
      </c>
      <c r="AQ156" s="144" t="e">
        <f aca="false">_xlfn.xlookup(AN156,A:A,N:N)+_xlfn.xlookup(AN156,A:A,O:O)</f>
        <v>#NAME?</v>
      </c>
      <c r="AR156" s="150" t="e">
        <f aca="false">_xlfn.xlookup(AN156,A:A,AH:AH)</f>
        <v>#NAME?</v>
      </c>
      <c r="AS156" s="150" t="e">
        <f aca="false">_xlfn.xlookup(AN156,A:A,S:S)</f>
        <v>#NAME?</v>
      </c>
      <c r="AT156" s="150" t="e">
        <f aca="false">_xlfn.xlookup(AN156,A:A,AE:AE)</f>
        <v>#NAME?</v>
      </c>
      <c r="AU156" s="150" t="e">
        <f aca="false">_xlfn.xlookup(AN156,A:A,AF:AF)</f>
        <v>#NAME?</v>
      </c>
      <c r="BB156" s="246"/>
      <c r="BC156" s="246"/>
      <c r="BD156" s="246"/>
      <c r="BE156" s="246"/>
      <c r="BF156" s="246"/>
      <c r="BH156" s="152" t="e">
        <f aca="false">_xlfn.xlookup(BG156,A:A,F:F)</f>
        <v>#NAME?</v>
      </c>
      <c r="BI156" s="144" t="e">
        <f aca="false">_xlfn.xlookup(BG156,A:A,J:J)</f>
        <v>#NAME?</v>
      </c>
      <c r="BJ156" s="153" t="e">
        <f aca="false">_xlfn.xlookup(BG156,A:A,N:N)+_xlfn.xlookup(BG156,A:A,O:O)</f>
        <v>#NAME?</v>
      </c>
      <c r="BK156" s="153" t="e">
        <f aca="false">_xlfn.xlookup(BG156,A104:A1099,AB104:AB1099)</f>
        <v>#NAME?</v>
      </c>
      <c r="BQ156" s="144" t="str">
        <f aca="false">IF(VALUE(MONTH(C156))&lt;10,YEAR(C156)&amp;"-0"&amp;MONTH(C156),YEAR(C156)&amp;"-"&amp;MONTH(C156))</f>
        <v>2024-12</v>
      </c>
      <c r="BR156" s="144" t="str">
        <f aca="false">J156</f>
        <v>B25-3</v>
      </c>
      <c r="BS156" s="144" t="str">
        <f aca="false">IF(ISNUMBER(FIND("-", BR156)), LEFT(BR156, FIND("-", BR156) - 1), BR156)</f>
        <v>B25</v>
      </c>
      <c r="BT156" s="189" t="n">
        <f aca="false">L156-M156+O156</f>
        <v>285</v>
      </c>
    </row>
    <row r="157" customFormat="false" ht="16.4" hidden="false" customHeight="false" outlineLevel="0" collapsed="false">
      <c r="A157" s="140" t="s">
        <v>1113</v>
      </c>
      <c r="B157" s="249" t="s">
        <v>893</v>
      </c>
      <c r="C157" s="174" t="n">
        <v>45635</v>
      </c>
      <c r="D157" s="173" t="n">
        <v>278</v>
      </c>
      <c r="E157" s="138" t="s">
        <v>94</v>
      </c>
      <c r="F157" s="138" t="s">
        <v>522</v>
      </c>
      <c r="G157" s="140" t="n">
        <v>106205</v>
      </c>
      <c r="H157" s="173" t="n">
        <v>40117</v>
      </c>
      <c r="I157" s="173" t="n">
        <v>30015</v>
      </c>
      <c r="J157" s="140" t="s">
        <v>762</v>
      </c>
      <c r="K157" s="140"/>
      <c r="L157" s="175" t="n">
        <v>3614.4</v>
      </c>
      <c r="M157" s="175" t="n">
        <v>0</v>
      </c>
      <c r="N157" s="175" t="n">
        <v>3516</v>
      </c>
      <c r="O157" s="175"/>
      <c r="P157" s="175" t="n">
        <v>60</v>
      </c>
      <c r="Q157" s="176" t="n">
        <v>1</v>
      </c>
      <c r="R157" s="138" t="n">
        <v>3</v>
      </c>
      <c r="S157" s="177" t="n">
        <v>-30.1266666666667</v>
      </c>
      <c r="T157" s="215" t="n">
        <v>1.4188</v>
      </c>
      <c r="U157" s="178" t="n">
        <v>0.268854241086576</v>
      </c>
      <c r="V157" s="177" t="n">
        <v>945.291511660403</v>
      </c>
      <c r="W157" s="177" t="n">
        <v>26.4552573229191</v>
      </c>
      <c r="X157" s="179" t="n">
        <v>0.0272244355909695</v>
      </c>
      <c r="Y157" s="177" t="n">
        <v>14.5819058823529</v>
      </c>
      <c r="Z157" s="177" t="n">
        <v>21.7</v>
      </c>
      <c r="AA157" s="177" t="n">
        <v>180.288461538462</v>
      </c>
      <c r="AB157" s="177" t="n">
        <v>1158.19046973747</v>
      </c>
      <c r="AC157" s="215" t="n">
        <v>0.28</v>
      </c>
      <c r="AD157" s="215" t="s">
        <v>77</v>
      </c>
      <c r="AE157" s="177" t="n">
        <v>1396.780224</v>
      </c>
      <c r="AF157" s="177" t="n">
        <v>238.589754262531</v>
      </c>
      <c r="AG157" s="181" t="n">
        <v>0.170814098140131</v>
      </c>
      <c r="AH157" s="180" t="n">
        <v>971.746768983322</v>
      </c>
      <c r="AI157" s="181" t="n">
        <v>0.695704844818394</v>
      </c>
      <c r="AJ157" s="181"/>
      <c r="AK157" s="181" t="s">
        <v>1113</v>
      </c>
      <c r="AL157" s="182" t="n">
        <v>0.329405708116459</v>
      </c>
      <c r="AN157" s="144" t="e">
        <v>#NAME?</v>
      </c>
      <c r="AO157" s="144" t="e">
        <f aca="false">_xlfn.xlookup(AN157,A:A,F:F)</f>
        <v>#NAME?</v>
      </c>
      <c r="AP157" s="144" t="e">
        <f aca="false">_xlfn.xlookup(AN157,A:A,J:J)</f>
        <v>#NAME?</v>
      </c>
      <c r="AQ157" s="144" t="e">
        <f aca="false">_xlfn.xlookup(AN157,A:A,N:N)+_xlfn.xlookup(AN157,A:A,O:O)</f>
        <v>#NAME?</v>
      </c>
      <c r="AR157" s="150" t="e">
        <f aca="false">_xlfn.xlookup(AN157,A:A,AH:AH)</f>
        <v>#NAME?</v>
      </c>
      <c r="AS157" s="150" t="e">
        <f aca="false">_xlfn.xlookup(AN157,A:A,S:S)</f>
        <v>#NAME?</v>
      </c>
      <c r="AT157" s="150" t="e">
        <f aca="false">_xlfn.xlookup(AN157,A:A,AE:AE)</f>
        <v>#NAME?</v>
      </c>
      <c r="AU157" s="150" t="e">
        <f aca="false">_xlfn.xlookup(AN157,A:A,AF:AF)</f>
        <v>#NAME?</v>
      </c>
      <c r="BB157" s="246"/>
      <c r="BC157" s="246"/>
      <c r="BD157" s="246"/>
      <c r="BE157" s="246"/>
      <c r="BF157" s="246"/>
      <c r="BH157" s="152" t="e">
        <f aca="false">_xlfn.xlookup(BG157,A:A,F:F)</f>
        <v>#NAME?</v>
      </c>
      <c r="BI157" s="144" t="e">
        <f aca="false">_xlfn.xlookup(BG157,A:A,J:J)</f>
        <v>#NAME?</v>
      </c>
      <c r="BJ157" s="153" t="e">
        <f aca="false">_xlfn.xlookup(BG157,A:A,N:N)+_xlfn.xlookup(BG157,A:A,O:O)</f>
        <v>#NAME?</v>
      </c>
      <c r="BK157" s="153" t="e">
        <f aca="false">_xlfn.xlookup(BG157,A105:A1100,AB105:AB1100)</f>
        <v>#NAME?</v>
      </c>
      <c r="BQ157" s="144" t="str">
        <f aca="false">IF(VALUE(MONTH(C157))&lt;10,YEAR(C157)&amp;"-0"&amp;MONTH(C157),YEAR(C157)&amp;"-"&amp;MONTH(C157))</f>
        <v>2024-12</v>
      </c>
      <c r="BR157" s="144" t="str">
        <f aca="false">J157</f>
        <v>S15-3</v>
      </c>
      <c r="BS157" s="144" t="str">
        <f aca="false">IF(ISNUMBER(FIND("-", BR157)), LEFT(BR157, FIND("-", BR157) - 1), BR157)</f>
        <v>S15</v>
      </c>
      <c r="BT157" s="189" t="n">
        <f aca="false">L157-M157+O157</f>
        <v>3614.4</v>
      </c>
    </row>
    <row r="158" customFormat="false" ht="16.4" hidden="false" customHeight="false" outlineLevel="0" collapsed="false">
      <c r="A158" s="140" t="s">
        <v>1114</v>
      </c>
      <c r="B158" s="249" t="s">
        <v>893</v>
      </c>
      <c r="C158" s="174" t="n">
        <v>45636</v>
      </c>
      <c r="D158" s="173" t="n">
        <v>279</v>
      </c>
      <c r="E158" s="138" t="s">
        <v>159</v>
      </c>
      <c r="F158" s="138" t="s">
        <v>726</v>
      </c>
      <c r="G158" s="140" t="n">
        <v>179977</v>
      </c>
      <c r="H158" s="173" t="n">
        <v>40144</v>
      </c>
      <c r="I158" s="173" t="n">
        <v>30025</v>
      </c>
      <c r="J158" s="140" t="s">
        <v>904</v>
      </c>
      <c r="K158" s="140"/>
      <c r="L158" s="175" t="n">
        <v>7589.013168</v>
      </c>
      <c r="M158" s="175" t="n">
        <v>0</v>
      </c>
      <c r="N158" s="175" t="n">
        <v>7488</v>
      </c>
      <c r="O158" s="175"/>
      <c r="P158" s="175" t="n">
        <v>120</v>
      </c>
      <c r="Q158" s="176" t="n">
        <v>2</v>
      </c>
      <c r="R158" s="138" t="n">
        <v>3.25</v>
      </c>
      <c r="S158" s="177" t="n">
        <v>123.5</v>
      </c>
      <c r="T158" s="215"/>
      <c r="U158" s="178" t="n">
        <v>0.369342532440358</v>
      </c>
      <c r="V158" s="177" t="n">
        <v>2765.6368829134</v>
      </c>
      <c r="W158" s="177" t="n">
        <v>37.3084592789428</v>
      </c>
      <c r="X158" s="179" t="n">
        <v>0.0133104483763361</v>
      </c>
      <c r="Y158" s="177" t="n">
        <v>29.1638117647059</v>
      </c>
      <c r="Z158" s="177" t="n">
        <v>43.4</v>
      </c>
      <c r="AA158" s="177" t="n">
        <v>195.3125</v>
      </c>
      <c r="AB158" s="177" t="n">
        <v>3194.32165395705</v>
      </c>
      <c r="AC158" s="215" t="n">
        <v>0.431</v>
      </c>
      <c r="AD158" s="215" t="s">
        <v>88</v>
      </c>
      <c r="AE158" s="177" t="n">
        <v>3227.328</v>
      </c>
      <c r="AF158" s="177" t="n">
        <v>33.0063460429487</v>
      </c>
      <c r="AG158" s="181" t="n">
        <v>0.0102271433343462</v>
      </c>
      <c r="AH158" s="180" t="n">
        <v>2802.94534219235</v>
      </c>
      <c r="AI158" s="181" t="n">
        <v>0.868503400395729</v>
      </c>
      <c r="AJ158" s="181"/>
      <c r="AK158" s="181" t="s">
        <v>1114</v>
      </c>
      <c r="AL158" s="182" t="n">
        <v>0.426592101222897</v>
      </c>
      <c r="AN158" s="144" t="e">
        <v>#NAME?</v>
      </c>
      <c r="AO158" s="144" t="e">
        <f aca="false">_xlfn.xlookup(AN158,A:A,F:F)</f>
        <v>#NAME?</v>
      </c>
      <c r="AP158" s="144" t="e">
        <f aca="false">_xlfn.xlookup(AN158,A:A,J:J)</f>
        <v>#NAME?</v>
      </c>
      <c r="AQ158" s="144" t="e">
        <f aca="false">_xlfn.xlookup(AN158,A:A,N:N)+_xlfn.xlookup(AN158,A:A,O:O)</f>
        <v>#NAME?</v>
      </c>
      <c r="AR158" s="150" t="e">
        <f aca="false">_xlfn.xlookup(AN158,A:A,AH:AH)</f>
        <v>#NAME?</v>
      </c>
      <c r="AS158" s="150" t="e">
        <f aca="false">_xlfn.xlookup(AN158,A:A,S:S)</f>
        <v>#NAME?</v>
      </c>
      <c r="AT158" s="150" t="e">
        <f aca="false">_xlfn.xlookup(AN158,A:A,AE:AE)</f>
        <v>#NAME?</v>
      </c>
      <c r="AU158" s="150" t="e">
        <f aca="false">_xlfn.xlookup(AN158,A:A,AF:AF)</f>
        <v>#NAME?</v>
      </c>
      <c r="BB158" s="246"/>
      <c r="BC158" s="246"/>
      <c r="BD158" s="246"/>
      <c r="BE158" s="246"/>
      <c r="BF158" s="246"/>
      <c r="BH158" s="152" t="e">
        <f aca="false">_xlfn.xlookup(BG158,A:A,F:F)</f>
        <v>#NAME?</v>
      </c>
      <c r="BI158" s="144" t="e">
        <f aca="false">_xlfn.xlookup(BG158,A:A,J:J)</f>
        <v>#NAME?</v>
      </c>
      <c r="BJ158" s="153" t="e">
        <f aca="false">_xlfn.xlookup(BG158,A:A,N:N)+_xlfn.xlookup(BG158,A:A,O:O)</f>
        <v>#NAME?</v>
      </c>
      <c r="BK158" s="153" t="e">
        <f aca="false">_xlfn.xlookup(BG158,A106:A1101,AB106:AB1101)</f>
        <v>#NAME?</v>
      </c>
      <c r="BQ158" s="144" t="str">
        <f aca="false">IF(VALUE(MONTH(C158))&lt;10,YEAR(C158)&amp;"-0"&amp;MONTH(C158),YEAR(C158)&amp;"-"&amp;MONTH(C158))</f>
        <v>2024-12</v>
      </c>
      <c r="BR158" s="144" t="str">
        <f aca="false">J158</f>
        <v>D11-1</v>
      </c>
      <c r="BS158" s="144" t="str">
        <f aca="false">IF(ISNUMBER(FIND("-", BR158)), LEFT(BR158, FIND("-", BR158) - 1), BR158)</f>
        <v>D11</v>
      </c>
      <c r="BT158" s="189" t="n">
        <f aca="false">L158-M158+O158</f>
        <v>7589.013168</v>
      </c>
    </row>
    <row r="159" customFormat="false" ht="16.4" hidden="false" customHeight="false" outlineLevel="0" collapsed="false">
      <c r="A159" s="140" t="s">
        <v>1115</v>
      </c>
      <c r="B159" s="249" t="s">
        <v>893</v>
      </c>
      <c r="C159" s="174" t="n">
        <v>45636</v>
      </c>
      <c r="D159" s="173" t="n">
        <v>281</v>
      </c>
      <c r="E159" s="138" t="s">
        <v>94</v>
      </c>
      <c r="F159" s="138" t="s">
        <v>522</v>
      </c>
      <c r="G159" s="140" t="n">
        <v>106247</v>
      </c>
      <c r="H159" s="173" t="n">
        <v>40081</v>
      </c>
      <c r="I159" s="173" t="n">
        <v>30011</v>
      </c>
      <c r="J159" s="140" t="s">
        <v>760</v>
      </c>
      <c r="K159" s="140"/>
      <c r="L159" s="175" t="n">
        <v>3325.248</v>
      </c>
      <c r="M159" s="175" t="n">
        <v>0</v>
      </c>
      <c r="N159" s="175" t="n">
        <v>3261.6</v>
      </c>
      <c r="O159" s="175"/>
      <c r="P159" s="175" t="n">
        <v>60</v>
      </c>
      <c r="Q159" s="176" t="n">
        <v>1</v>
      </c>
      <c r="R159" s="138" t="n">
        <v>1.66</v>
      </c>
      <c r="S159" s="177" t="n">
        <v>-30.1266666666667</v>
      </c>
      <c r="T159" s="215" t="n">
        <v>1.4188</v>
      </c>
      <c r="U159" s="178" t="n">
        <v>0.28357864079936</v>
      </c>
      <c r="V159" s="177" t="n">
        <v>924.920094831192</v>
      </c>
      <c r="W159" s="177" t="n">
        <v>18.0492133295978</v>
      </c>
      <c r="X159" s="179" t="n">
        <v>0.0191408279923785</v>
      </c>
      <c r="Y159" s="177" t="n">
        <v>14.5819058823529</v>
      </c>
      <c r="Z159" s="177" t="n">
        <v>21.7</v>
      </c>
      <c r="AA159" s="177" t="n">
        <v>99.7596153846154</v>
      </c>
      <c r="AB159" s="177" t="n">
        <v>1048.88416276109</v>
      </c>
      <c r="AC159" s="215" t="n">
        <v>0.27</v>
      </c>
      <c r="AD159" s="215" t="s">
        <v>77</v>
      </c>
      <c r="AE159" s="177" t="n">
        <v>1249.4406816</v>
      </c>
      <c r="AF159" s="177" t="n">
        <v>200.556518838908</v>
      </c>
      <c r="AG159" s="181" t="n">
        <v>0.160517039177947</v>
      </c>
      <c r="AH159" s="180" t="n">
        <v>942.96930816079</v>
      </c>
      <c r="AI159" s="181" t="n">
        <v>0.754713146488274</v>
      </c>
      <c r="AJ159" s="181"/>
      <c r="AK159" s="181" t="s">
        <v>1115</v>
      </c>
      <c r="AL159" s="182" t="n">
        <v>0.321585774699869</v>
      </c>
      <c r="AN159" s="144" t="e">
        <v>#NAME?</v>
      </c>
      <c r="AO159" s="144" t="e">
        <f aca="false">_xlfn.xlookup(AN159,A:A,F:F)</f>
        <v>#NAME?</v>
      </c>
      <c r="AP159" s="144" t="e">
        <f aca="false">_xlfn.xlookup(AN159,A:A,J:J)</f>
        <v>#NAME?</v>
      </c>
      <c r="AQ159" s="144" t="e">
        <f aca="false">_xlfn.xlookup(AN159,A:A,N:N)+_xlfn.xlookup(AN159,A:A,O:O)</f>
        <v>#NAME?</v>
      </c>
      <c r="AR159" s="150" t="e">
        <f aca="false">_xlfn.xlookup(AN159,A:A,AH:AH)</f>
        <v>#NAME?</v>
      </c>
      <c r="AS159" s="150" t="e">
        <f aca="false">_xlfn.xlookup(AN159,A:A,S:S)</f>
        <v>#NAME?</v>
      </c>
      <c r="AT159" s="150" t="e">
        <f aca="false">_xlfn.xlookup(AN159,A:A,AE:AE)</f>
        <v>#NAME?</v>
      </c>
      <c r="AU159" s="150" t="e">
        <f aca="false">_xlfn.xlookup(AN159,A:A,AF:AF)</f>
        <v>#NAME?</v>
      </c>
      <c r="BB159" s="246"/>
      <c r="BC159" s="246"/>
      <c r="BD159" s="246"/>
      <c r="BE159" s="246"/>
      <c r="BF159" s="246"/>
      <c r="BH159" s="152" t="e">
        <f aca="false">_xlfn.xlookup(BG159,A:A,F:F)</f>
        <v>#NAME?</v>
      </c>
      <c r="BI159" s="144" t="e">
        <f aca="false">_xlfn.xlookup(BG159,A:A,J:J)</f>
        <v>#NAME?</v>
      </c>
      <c r="BJ159" s="153" t="e">
        <f aca="false">_xlfn.xlookup(BG159,A:A,N:N)+_xlfn.xlookup(BG159,A:A,O:O)</f>
        <v>#NAME?</v>
      </c>
      <c r="BK159" s="153" t="e">
        <f aca="false">_xlfn.xlookup(BG159,A107:A1102,AB107:AB1102)</f>
        <v>#NAME?</v>
      </c>
      <c r="BQ159" s="144" t="str">
        <f aca="false">IF(VALUE(MONTH(C159))&lt;10,YEAR(C159)&amp;"-0"&amp;MONTH(C159),YEAR(C159)&amp;"-"&amp;MONTH(C159))</f>
        <v>2024-12</v>
      </c>
      <c r="BR159" s="144" t="str">
        <f aca="false">J159</f>
        <v>S21-1</v>
      </c>
      <c r="BS159" s="144" t="str">
        <f aca="false">IF(ISNUMBER(FIND("-", BR159)), LEFT(BR159, FIND("-", BR159) - 1), BR159)</f>
        <v>S21</v>
      </c>
      <c r="BT159" s="189" t="n">
        <f aca="false">L159-M159+O159</f>
        <v>3325.248</v>
      </c>
    </row>
    <row r="160" customFormat="false" ht="16.4" hidden="false" customHeight="false" outlineLevel="0" collapsed="false">
      <c r="A160" s="140" t="s">
        <v>1116</v>
      </c>
      <c r="B160" s="249" t="s">
        <v>893</v>
      </c>
      <c r="C160" s="174" t="n">
        <v>45637</v>
      </c>
      <c r="D160" s="173" t="n">
        <v>282</v>
      </c>
      <c r="E160" s="138" t="s">
        <v>120</v>
      </c>
      <c r="F160" s="138" t="s">
        <v>617</v>
      </c>
      <c r="G160" s="140" t="n">
        <v>14315</v>
      </c>
      <c r="H160" s="173" t="n">
        <v>40171</v>
      </c>
      <c r="I160" s="173" t="n">
        <v>30015</v>
      </c>
      <c r="J160" s="140" t="s">
        <v>762</v>
      </c>
      <c r="K160" s="140"/>
      <c r="L160" s="175" t="n">
        <v>7228.32</v>
      </c>
      <c r="M160" s="175" t="n">
        <v>0</v>
      </c>
      <c r="N160" s="175" t="n">
        <v>7164</v>
      </c>
      <c r="O160" s="175"/>
      <c r="P160" s="175" t="n">
        <v>60</v>
      </c>
      <c r="Q160" s="176" t="n">
        <v>2</v>
      </c>
      <c r="R160" s="138" t="n">
        <v>2.25</v>
      </c>
      <c r="S160" s="177" t="n">
        <v>110.5</v>
      </c>
      <c r="T160" s="215"/>
      <c r="U160" s="178" t="n">
        <v>0.268854241086576</v>
      </c>
      <c r="V160" s="177" t="n">
        <v>1926.07178314423</v>
      </c>
      <c r="W160" s="177" t="n">
        <v>17.2927047866885</v>
      </c>
      <c r="X160" s="179" t="n">
        <v>0.00889833322265751</v>
      </c>
      <c r="Y160" s="177" t="n">
        <v>14.5819058823529</v>
      </c>
      <c r="Z160" s="177" t="n">
        <v>43.4</v>
      </c>
      <c r="AA160" s="177" t="n">
        <v>135.216346153846</v>
      </c>
      <c r="AB160" s="177" t="n">
        <v>2247.06273996712</v>
      </c>
      <c r="AC160" s="215" t="n">
        <v>0.347</v>
      </c>
      <c r="AD160" s="215" t="s">
        <v>88</v>
      </c>
      <c r="AE160" s="177" t="n">
        <v>2485.908</v>
      </c>
      <c r="AF160" s="177" t="n">
        <v>238.845260032879</v>
      </c>
      <c r="AG160" s="181" t="n">
        <v>0.0960796859871237</v>
      </c>
      <c r="AH160" s="180" t="n">
        <v>1943.36448793092</v>
      </c>
      <c r="AI160" s="181" t="n">
        <v>0.781752376970878</v>
      </c>
      <c r="AJ160" s="181"/>
      <c r="AK160" s="181" t="s">
        <v>1116</v>
      </c>
      <c r="AL160" s="182" t="n">
        <v>0.313660348962468</v>
      </c>
      <c r="AN160" s="144" t="e">
        <v>#NAME?</v>
      </c>
      <c r="AO160" s="144" t="e">
        <f aca="false">_xlfn.xlookup(AN160,A:A,F:F)</f>
        <v>#NAME?</v>
      </c>
      <c r="AP160" s="144" t="e">
        <f aca="false">_xlfn.xlookup(AN160,A:A,J:J)</f>
        <v>#NAME?</v>
      </c>
      <c r="AQ160" s="144" t="e">
        <f aca="false">_xlfn.xlookup(AN160,A:A,N:N)+_xlfn.xlookup(AN160,A:A,O:O)</f>
        <v>#NAME?</v>
      </c>
      <c r="AR160" s="150" t="e">
        <f aca="false">_xlfn.xlookup(AN160,A:A,AH:AH)</f>
        <v>#NAME?</v>
      </c>
      <c r="AS160" s="150" t="e">
        <f aca="false">_xlfn.xlookup(AN160,A:A,S:S)</f>
        <v>#NAME?</v>
      </c>
      <c r="AT160" s="150" t="e">
        <f aca="false">_xlfn.xlookup(AN160,A:A,AE:AE)</f>
        <v>#NAME?</v>
      </c>
      <c r="AU160" s="150" t="e">
        <f aca="false">_xlfn.xlookup(AN160,A:A,AF:AF)</f>
        <v>#NAME?</v>
      </c>
      <c r="BB160" s="246"/>
      <c r="BC160" s="246"/>
      <c r="BD160" s="246"/>
      <c r="BE160" s="246"/>
      <c r="BF160" s="246"/>
      <c r="BH160" s="152" t="e">
        <f aca="false">_xlfn.xlookup(BG160,A:A,F:F)</f>
        <v>#NAME?</v>
      </c>
      <c r="BI160" s="144" t="e">
        <f aca="false">_xlfn.xlookup(BG160,A:A,J:J)</f>
        <v>#NAME?</v>
      </c>
      <c r="BJ160" s="153" t="e">
        <f aca="false">_xlfn.xlookup(BG160,A:A,N:N)+_xlfn.xlookup(BG160,A:A,O:O)</f>
        <v>#NAME?</v>
      </c>
      <c r="BK160" s="153" t="e">
        <f aca="false">_xlfn.xlookup(BG160,A108:A1103,AB108:AB1103)</f>
        <v>#NAME?</v>
      </c>
      <c r="BQ160" s="144" t="str">
        <f aca="false">IF(VALUE(MONTH(C160))&lt;10,YEAR(C160)&amp;"-0"&amp;MONTH(C160),YEAR(C160)&amp;"-"&amp;MONTH(C160))</f>
        <v>2024-12</v>
      </c>
      <c r="BR160" s="144" t="str">
        <f aca="false">J160</f>
        <v>S15-3</v>
      </c>
      <c r="BS160" s="144" t="str">
        <f aca="false">IF(ISNUMBER(FIND("-", BR160)), LEFT(BR160, FIND("-", BR160) - 1), BR160)</f>
        <v>S15</v>
      </c>
      <c r="BT160" s="189" t="n">
        <f aca="false">L160-M160+O160</f>
        <v>7228.32</v>
      </c>
    </row>
    <row r="161" customFormat="false" ht="16.4" hidden="false" customHeight="false" outlineLevel="0" collapsed="false">
      <c r="A161" s="140" t="s">
        <v>1117</v>
      </c>
      <c r="B161" s="249" t="s">
        <v>893</v>
      </c>
      <c r="C161" s="174" t="n">
        <v>45637</v>
      </c>
      <c r="D161" s="173" t="n">
        <v>283</v>
      </c>
      <c r="E161" s="138" t="s">
        <v>94</v>
      </c>
      <c r="F161" s="138" t="s">
        <v>522</v>
      </c>
      <c r="G161" s="140" t="n">
        <v>106272</v>
      </c>
      <c r="H161" s="173" t="n">
        <v>40084</v>
      </c>
      <c r="I161" s="173" t="n">
        <v>30027</v>
      </c>
      <c r="J161" s="140" t="s">
        <v>768</v>
      </c>
      <c r="K161" s="140"/>
      <c r="L161" s="175" t="n">
        <v>10517.2056</v>
      </c>
      <c r="M161" s="175" t="n">
        <v>7011.4704</v>
      </c>
      <c r="N161" s="175" t="n">
        <v>3420</v>
      </c>
      <c r="O161" s="175"/>
      <c r="P161" s="175" t="n">
        <v>60</v>
      </c>
      <c r="Q161" s="176" t="n">
        <v>1</v>
      </c>
      <c r="R161" s="138" t="n">
        <v>1.25</v>
      </c>
      <c r="S161" s="177" t="n">
        <v>-30.1266666666667</v>
      </c>
      <c r="T161" s="215" t="n">
        <v>1.4188</v>
      </c>
      <c r="U161" s="178" t="n">
        <v>0.307208514182256</v>
      </c>
      <c r="V161" s="177" t="n">
        <v>1050.65311850332</v>
      </c>
      <c r="W161" s="177" t="n">
        <v>26.3385834051183</v>
      </c>
      <c r="X161" s="179" t="n">
        <v>0.00815189920790359</v>
      </c>
      <c r="Y161" s="177" t="n">
        <v>14.5819058823529</v>
      </c>
      <c r="Z161" s="177" t="n">
        <v>21.7</v>
      </c>
      <c r="AA161" s="177" t="n">
        <v>75.1201923076923</v>
      </c>
      <c r="AB161" s="177" t="n">
        <v>1158.26713343181</v>
      </c>
      <c r="AC161" s="215" t="n">
        <v>0.33</v>
      </c>
      <c r="AD161" s="215" t="s">
        <v>77</v>
      </c>
      <c r="AE161" s="177" t="n">
        <v>1601.25768</v>
      </c>
      <c r="AF161" s="177" t="n">
        <v>442.990546568188</v>
      </c>
      <c r="AG161" s="181" t="n">
        <v>0.276651629591677</v>
      </c>
      <c r="AH161" s="180" t="n">
        <v>1076.99170190843</v>
      </c>
      <c r="AI161" s="181" t="n">
        <v>0.672591123440191</v>
      </c>
      <c r="AJ161" s="181"/>
      <c r="AK161" s="181" t="s">
        <v>1117</v>
      </c>
      <c r="AL161" s="182" t="n">
        <v>0.338674600418659</v>
      </c>
      <c r="AN161" s="144" t="e">
        <v>#NAME?</v>
      </c>
      <c r="AO161" s="144" t="e">
        <f aca="false">_xlfn.xlookup(AN161,A:A,F:F)</f>
        <v>#NAME?</v>
      </c>
      <c r="AP161" s="144" t="e">
        <f aca="false">_xlfn.xlookup(AN161,A:A,J:J)</f>
        <v>#NAME?</v>
      </c>
      <c r="AQ161" s="144" t="e">
        <f aca="false">_xlfn.xlookup(AN161,A:A,N:N)+_xlfn.xlookup(AN161,A:A,O:O)</f>
        <v>#NAME?</v>
      </c>
      <c r="AR161" s="150" t="e">
        <f aca="false">_xlfn.xlookup(AN161,A:A,AH:AH)</f>
        <v>#NAME?</v>
      </c>
      <c r="AS161" s="150" t="e">
        <f aca="false">_xlfn.xlookup(AN161,A:A,S:S)</f>
        <v>#NAME?</v>
      </c>
      <c r="AT161" s="150" t="e">
        <f aca="false">_xlfn.xlookup(AN161,A:A,AE:AE)</f>
        <v>#NAME?</v>
      </c>
      <c r="AU161" s="150" t="e">
        <f aca="false">_xlfn.xlookup(AN161,A:A,AF:AF)</f>
        <v>#NAME?</v>
      </c>
      <c r="BB161" s="246"/>
      <c r="BC161" s="246"/>
      <c r="BD161" s="246"/>
      <c r="BE161" s="246"/>
      <c r="BF161" s="246"/>
      <c r="BH161" s="152" t="e">
        <f aca="false">_xlfn.xlookup(BG161,A:A,F:F)</f>
        <v>#NAME?</v>
      </c>
      <c r="BI161" s="144" t="e">
        <f aca="false">_xlfn.xlookup(BG161,A:A,J:J)</f>
        <v>#NAME?</v>
      </c>
      <c r="BJ161" s="153" t="e">
        <f aca="false">_xlfn.xlookup(BG161,A:A,N:N)+_xlfn.xlookup(BG161,A:A,O:O)</f>
        <v>#NAME?</v>
      </c>
      <c r="BK161" s="153" t="e">
        <f aca="false">_xlfn.xlookup(BG161,A109:A1104,AB109:AB1104)</f>
        <v>#NAME?</v>
      </c>
      <c r="BQ161" s="144" t="str">
        <f aca="false">IF(VALUE(MONTH(C161))&lt;10,YEAR(C161)&amp;"-0"&amp;MONTH(C161),YEAR(C161)&amp;"-"&amp;MONTH(C161))</f>
        <v>2024-12</v>
      </c>
      <c r="BR161" s="144" t="str">
        <f aca="false">J161</f>
        <v>B25-3</v>
      </c>
      <c r="BS161" s="144" t="str">
        <f aca="false">IF(ISNUMBER(FIND("-", BR161)), LEFT(BR161, FIND("-", BR161) - 1), BR161)</f>
        <v>B25</v>
      </c>
      <c r="BT161" s="189" t="n">
        <f aca="false">L161-M161+O161</f>
        <v>3505.7352</v>
      </c>
    </row>
    <row r="162" customFormat="false" ht="16.4" hidden="false" customHeight="false" outlineLevel="0" collapsed="false">
      <c r="A162" s="140" t="s">
        <v>1118</v>
      </c>
      <c r="B162" s="249" t="s">
        <v>893</v>
      </c>
      <c r="C162" s="174" t="n">
        <v>45638</v>
      </c>
      <c r="D162" s="173" t="n">
        <v>284</v>
      </c>
      <c r="E162" s="138" t="s">
        <v>134</v>
      </c>
      <c r="F162" s="138" t="s">
        <v>671</v>
      </c>
      <c r="G162" s="140" t="n">
        <v>9936</v>
      </c>
      <c r="H162" s="173" t="n">
        <v>40206</v>
      </c>
      <c r="I162" s="173" t="n">
        <v>30015</v>
      </c>
      <c r="J162" s="140" t="s">
        <v>762</v>
      </c>
      <c r="K162" s="140"/>
      <c r="L162" s="175" t="n">
        <v>14371.345824</v>
      </c>
      <c r="M162" s="175" t="n">
        <v>0</v>
      </c>
      <c r="N162" s="175" t="n">
        <v>14220</v>
      </c>
      <c r="O162" s="175"/>
      <c r="P162" s="175" t="n">
        <v>120</v>
      </c>
      <c r="Q162" s="176" t="n">
        <v>3</v>
      </c>
      <c r="R162" s="138" t="n">
        <v>4</v>
      </c>
      <c r="S162" s="177" t="n">
        <v>156</v>
      </c>
      <c r="T162" s="215"/>
      <c r="U162" s="178" t="n">
        <v>0.268854241086576</v>
      </c>
      <c r="V162" s="177" t="n">
        <v>3823.10730825112</v>
      </c>
      <c r="W162" s="177" t="n">
        <v>40.6899666531426</v>
      </c>
      <c r="X162" s="179" t="n">
        <v>0.0105310821862803</v>
      </c>
      <c r="Y162" s="177" t="n">
        <v>29.1638117647059</v>
      </c>
      <c r="Z162" s="177" t="n">
        <v>65.1</v>
      </c>
      <c r="AA162" s="177" t="n">
        <v>240.384615384615</v>
      </c>
      <c r="AB162" s="177" t="n">
        <v>4354.44570205358</v>
      </c>
      <c r="AC162" s="215" t="n">
        <v>0.343</v>
      </c>
      <c r="AD162" s="215" t="s">
        <v>88</v>
      </c>
      <c r="AE162" s="177" t="n">
        <v>4877.46</v>
      </c>
      <c r="AF162" s="177" t="n">
        <v>523.01429794642</v>
      </c>
      <c r="AG162" s="181" t="n">
        <v>0.107230873845489</v>
      </c>
      <c r="AH162" s="180" t="n">
        <v>3863.79727490426</v>
      </c>
      <c r="AI162" s="181" t="n">
        <v>0.792174056764025</v>
      </c>
      <c r="AJ162" s="181"/>
      <c r="AK162" s="181" t="s">
        <v>1118</v>
      </c>
      <c r="AL162" s="182" t="n">
        <v>0.306219810270997</v>
      </c>
      <c r="AN162" s="144" t="e">
        <v>#NAME?</v>
      </c>
      <c r="AO162" s="144" t="e">
        <f aca="false">_xlfn.xlookup(AN162,A:A,F:F)</f>
        <v>#NAME?</v>
      </c>
      <c r="AP162" s="144" t="e">
        <f aca="false">_xlfn.xlookup(AN162,A:A,J:J)</f>
        <v>#NAME?</v>
      </c>
      <c r="AQ162" s="144" t="e">
        <f aca="false">_xlfn.xlookup(AN162,A:A,N:N)+_xlfn.xlookup(AN162,A:A,O:O)</f>
        <v>#NAME?</v>
      </c>
      <c r="AR162" s="150" t="e">
        <f aca="false">_xlfn.xlookup(AN162,A:A,AH:AH)</f>
        <v>#NAME?</v>
      </c>
      <c r="AS162" s="150" t="e">
        <f aca="false">_xlfn.xlookup(AN162,A:A,S:S)</f>
        <v>#NAME?</v>
      </c>
      <c r="AT162" s="150" t="e">
        <f aca="false">_xlfn.xlookup(AN162,A:A,AE:AE)</f>
        <v>#NAME?</v>
      </c>
      <c r="AU162" s="150" t="e">
        <f aca="false">_xlfn.xlookup(AN162,A:A,AF:AF)</f>
        <v>#NAME?</v>
      </c>
      <c r="BB162" s="246"/>
      <c r="BC162" s="246"/>
      <c r="BD162" s="246"/>
      <c r="BE162" s="246"/>
      <c r="BF162" s="246"/>
      <c r="BH162" s="152" t="e">
        <f aca="false">_xlfn.xlookup(BG162,A:A,F:F)</f>
        <v>#NAME?</v>
      </c>
      <c r="BI162" s="144" t="e">
        <f aca="false">_xlfn.xlookup(BG162,A:A,J:J)</f>
        <v>#NAME?</v>
      </c>
      <c r="BJ162" s="153" t="e">
        <f aca="false">_xlfn.xlookup(BG162,A:A,N:N)+_xlfn.xlookup(BG162,A:A,O:O)</f>
        <v>#NAME?</v>
      </c>
      <c r="BK162" s="153" t="e">
        <f aca="false">_xlfn.xlookup(BG162,A110:A1105,AB110:AB1105)</f>
        <v>#NAME?</v>
      </c>
      <c r="BQ162" s="144" t="str">
        <f aca="false">IF(VALUE(MONTH(C162))&lt;10,YEAR(C162)&amp;"-0"&amp;MONTH(C162),YEAR(C162)&amp;"-"&amp;MONTH(C162))</f>
        <v>2024-12</v>
      </c>
      <c r="BR162" s="144" t="str">
        <f aca="false">J162</f>
        <v>S15-3</v>
      </c>
      <c r="BS162" s="144" t="str">
        <f aca="false">IF(ISNUMBER(FIND("-", BR162)), LEFT(BR162, FIND("-", BR162) - 1), BR162)</f>
        <v>S15</v>
      </c>
      <c r="BT162" s="189" t="n">
        <f aca="false">L162-M162+O162</f>
        <v>14371.345824</v>
      </c>
    </row>
    <row r="163" customFormat="false" ht="16.4" hidden="false" customHeight="false" outlineLevel="0" collapsed="false">
      <c r="A163" s="140" t="s">
        <v>1119</v>
      </c>
      <c r="B163" s="249" t="s">
        <v>893</v>
      </c>
      <c r="C163" s="174" t="n">
        <v>45639</v>
      </c>
      <c r="D163" s="173" t="n">
        <v>0</v>
      </c>
      <c r="E163" s="138" t="s">
        <v>131</v>
      </c>
      <c r="F163" s="138" t="s">
        <v>131</v>
      </c>
      <c r="G163" s="140" t="s">
        <v>1011</v>
      </c>
      <c r="H163" s="173" t="n">
        <v>0</v>
      </c>
      <c r="I163" s="173" t="n">
        <v>30012</v>
      </c>
      <c r="J163" s="140" t="s">
        <v>908</v>
      </c>
      <c r="K163" s="140"/>
      <c r="L163" s="175" t="n">
        <v>9487.1</v>
      </c>
      <c r="M163" s="175" t="n">
        <v>9440.928</v>
      </c>
      <c r="N163" s="175"/>
      <c r="O163" s="175"/>
      <c r="P163" s="175" t="n">
        <v>80</v>
      </c>
      <c r="Q163" s="176" t="n">
        <v>0</v>
      </c>
      <c r="R163" s="138" t="n">
        <v>4</v>
      </c>
      <c r="S163" s="177" t="n">
        <v>0</v>
      </c>
      <c r="T163" s="215"/>
      <c r="U163" s="178" t="n">
        <v>0.327974576595346</v>
      </c>
      <c r="V163" s="177" t="n">
        <v>0</v>
      </c>
      <c r="W163" s="177" t="n">
        <v>15.1432421505605</v>
      </c>
      <c r="X163" s="179" t="n">
        <v>0.0048668191544308</v>
      </c>
      <c r="Y163" s="177" t="n">
        <v>19.4425411764706</v>
      </c>
      <c r="Z163" s="177" t="n">
        <v>0</v>
      </c>
      <c r="AA163" s="177" t="n">
        <v>240.384615384615</v>
      </c>
      <c r="AB163" s="177" t="n">
        <v>274.970398711646</v>
      </c>
      <c r="AC163" s="215"/>
      <c r="AD163" s="215"/>
      <c r="AE163" s="177" t="n">
        <v>0</v>
      </c>
      <c r="AF163" s="177" t="n">
        <v>-274.970398711646</v>
      </c>
      <c r="AG163" s="181"/>
      <c r="AH163" s="180" t="n">
        <v>15.1432421505605</v>
      </c>
      <c r="AI163" s="181"/>
      <c r="AJ163" s="181" t="s">
        <v>895</v>
      </c>
      <c r="AK163" s="181" t="s">
        <v>1119</v>
      </c>
      <c r="AL163" s="182" t="n">
        <v>0.358703932953345</v>
      </c>
      <c r="AN163" s="144" t="e">
        <v>#NAME?</v>
      </c>
      <c r="AO163" s="144" t="e">
        <f aca="false">_xlfn.xlookup(AN163,A:A,F:F)</f>
        <v>#NAME?</v>
      </c>
      <c r="AP163" s="144" t="e">
        <f aca="false">_xlfn.xlookup(AN163,A:A,J:J)</f>
        <v>#NAME?</v>
      </c>
      <c r="AQ163" s="144" t="e">
        <f aca="false">_xlfn.xlookup(AN163,A:A,N:N)+_xlfn.xlookup(AN163,A:A,O:O)</f>
        <v>#NAME?</v>
      </c>
      <c r="AR163" s="150" t="e">
        <f aca="false">_xlfn.xlookup(AN163,A:A,AH:AH)</f>
        <v>#NAME?</v>
      </c>
      <c r="AS163" s="150" t="e">
        <f aca="false">_xlfn.xlookup(AN163,A:A,S:S)</f>
        <v>#NAME?</v>
      </c>
      <c r="AT163" s="150" t="e">
        <f aca="false">_xlfn.xlookup(AN163,A:A,AE:AE)</f>
        <v>#NAME?</v>
      </c>
      <c r="AU163" s="150" t="e">
        <f aca="false">_xlfn.xlookup(AN163,A:A,AF:AF)</f>
        <v>#NAME?</v>
      </c>
      <c r="BB163" s="246"/>
      <c r="BC163" s="246"/>
      <c r="BD163" s="246"/>
      <c r="BE163" s="246"/>
      <c r="BF163" s="246"/>
      <c r="BH163" s="152" t="e">
        <f aca="false">_xlfn.xlookup(BG163,A:A,F:F)</f>
        <v>#NAME?</v>
      </c>
      <c r="BI163" s="144" t="e">
        <f aca="false">_xlfn.xlookup(BG163,A:A,J:J)</f>
        <v>#NAME?</v>
      </c>
      <c r="BJ163" s="153" t="e">
        <f aca="false">_xlfn.xlookup(BG163,A:A,N:N)+_xlfn.xlookup(BG163,A:A,O:O)</f>
        <v>#NAME?</v>
      </c>
      <c r="BK163" s="153" t="e">
        <f aca="false">_xlfn.xlookup(BG163,A111:A1106,AB111:AB1106)</f>
        <v>#NAME?</v>
      </c>
      <c r="BT163" s="189"/>
    </row>
    <row r="164" customFormat="false" ht="16.4" hidden="false" customHeight="false" outlineLevel="0" collapsed="false">
      <c r="A164" s="140" t="s">
        <v>1120</v>
      </c>
      <c r="B164" s="249" t="s">
        <v>1121</v>
      </c>
      <c r="C164" s="174" t="n">
        <v>45639</v>
      </c>
      <c r="D164" s="173" t="n">
        <v>0</v>
      </c>
      <c r="E164" s="138" t="s">
        <v>131</v>
      </c>
      <c r="F164" s="138" t="s">
        <v>131</v>
      </c>
      <c r="G164" s="140" t="s">
        <v>1011</v>
      </c>
      <c r="H164" s="173" t="n">
        <v>0</v>
      </c>
      <c r="I164" s="173" t="n">
        <v>30029</v>
      </c>
      <c r="J164" s="140" t="s">
        <v>906</v>
      </c>
      <c r="K164" s="140"/>
      <c r="L164" s="253"/>
      <c r="M164" s="253"/>
      <c r="N164" s="253"/>
      <c r="O164" s="253"/>
      <c r="P164" s="253"/>
      <c r="Q164" s="254"/>
      <c r="R164" s="255"/>
      <c r="S164" s="256" t="n">
        <v>0</v>
      </c>
      <c r="T164" s="215"/>
      <c r="U164" s="178" t="n">
        <v>0.285235933537095</v>
      </c>
      <c r="V164" s="177" t="n">
        <v>0</v>
      </c>
      <c r="W164" s="177" t="n">
        <v>0</v>
      </c>
      <c r="X164" s="179"/>
      <c r="Y164" s="177" t="n">
        <v>0</v>
      </c>
      <c r="Z164" s="177" t="n">
        <v>0</v>
      </c>
      <c r="AA164" s="177" t="n">
        <v>0</v>
      </c>
      <c r="AB164" s="177" t="n">
        <v>0</v>
      </c>
      <c r="AC164" s="215"/>
      <c r="AD164" s="215"/>
      <c r="AE164" s="177" t="n">
        <v>0</v>
      </c>
      <c r="AF164" s="177" t="n">
        <v>0</v>
      </c>
      <c r="AG164" s="181"/>
      <c r="AH164" s="180" t="n">
        <v>0</v>
      </c>
      <c r="AI164" s="181"/>
      <c r="AJ164" s="181" t="s">
        <v>895</v>
      </c>
      <c r="AK164" s="181" t="s">
        <v>1120</v>
      </c>
      <c r="AL164" s="182"/>
      <c r="AN164" s="144" t="e">
        <v>#NAME?</v>
      </c>
      <c r="AO164" s="144" t="e">
        <f aca="false">_xlfn.xlookup(AN164,A:A,F:F)</f>
        <v>#NAME?</v>
      </c>
      <c r="AP164" s="144" t="e">
        <f aca="false">_xlfn.xlookup(AN164,A:A,J:J)</f>
        <v>#NAME?</v>
      </c>
      <c r="AQ164" s="144" t="e">
        <f aca="false">_xlfn.xlookup(AN164,A:A,N:N)+_xlfn.xlookup(AN164,A:A,O:O)</f>
        <v>#NAME?</v>
      </c>
      <c r="AR164" s="150" t="e">
        <f aca="false">_xlfn.xlookup(AN164,A:A,AH:AH)</f>
        <v>#NAME?</v>
      </c>
      <c r="AS164" s="150" t="e">
        <f aca="false">_xlfn.xlookup(AN164,A:A,S:S)</f>
        <v>#NAME?</v>
      </c>
      <c r="AT164" s="150" t="e">
        <f aca="false">_xlfn.xlookup(AN164,A:A,AE:AE)</f>
        <v>#NAME?</v>
      </c>
      <c r="AU164" s="150" t="e">
        <f aca="false">_xlfn.xlookup(AN164,A:A,AF:AF)</f>
        <v>#NAME?</v>
      </c>
      <c r="BB164" s="246"/>
      <c r="BC164" s="246"/>
      <c r="BD164" s="246"/>
      <c r="BE164" s="246"/>
      <c r="BF164" s="246"/>
      <c r="BH164" s="152" t="e">
        <f aca="false">_xlfn.xlookup(BG164,A:A,F:F)</f>
        <v>#NAME?</v>
      </c>
      <c r="BI164" s="144" t="e">
        <f aca="false">_xlfn.xlookup(BG164,A:A,J:J)</f>
        <v>#NAME?</v>
      </c>
      <c r="BJ164" s="153" t="e">
        <f aca="false">_xlfn.xlookup(BG164,A:A,N:N)+_xlfn.xlookup(BG164,A:A,O:O)</f>
        <v>#NAME?</v>
      </c>
      <c r="BK164" s="153" t="e">
        <f aca="false">_xlfn.xlookup(BG164,A112:A1107,AB112:AB1107)</f>
        <v>#NAME?</v>
      </c>
      <c r="BT164" s="189"/>
    </row>
    <row r="165" customFormat="false" ht="16.4" hidden="false" customHeight="false" outlineLevel="0" collapsed="false">
      <c r="A165" s="140" t="s">
        <v>1122</v>
      </c>
      <c r="B165" s="249" t="s">
        <v>893</v>
      </c>
      <c r="C165" s="174" t="n">
        <v>45639</v>
      </c>
      <c r="D165" s="173" t="n">
        <v>0</v>
      </c>
      <c r="E165" s="138" t="s">
        <v>1011</v>
      </c>
      <c r="F165" s="138" t="s">
        <v>1011</v>
      </c>
      <c r="G165" s="140" t="s">
        <v>1074</v>
      </c>
      <c r="H165" s="173" t="n">
        <v>0</v>
      </c>
      <c r="I165" s="173" t="n">
        <v>0</v>
      </c>
      <c r="J165" s="140" t="s">
        <v>908</v>
      </c>
      <c r="K165" s="140"/>
      <c r="L165" s="253"/>
      <c r="M165" s="253"/>
      <c r="N165" s="253"/>
      <c r="O165" s="253"/>
      <c r="P165" s="253"/>
      <c r="Q165" s="254"/>
      <c r="R165" s="255"/>
      <c r="S165" s="256" t="n">
        <v>0</v>
      </c>
      <c r="T165" s="215"/>
      <c r="U165" s="178" t="n">
        <v>0</v>
      </c>
      <c r="V165" s="177" t="n">
        <v>0</v>
      </c>
      <c r="W165" s="177" t="n">
        <v>0</v>
      </c>
      <c r="X165" s="179"/>
      <c r="Y165" s="177" t="n">
        <v>0</v>
      </c>
      <c r="Z165" s="177" t="n">
        <v>0</v>
      </c>
      <c r="AA165" s="177" t="n">
        <v>0</v>
      </c>
      <c r="AB165" s="177" t="n">
        <v>0</v>
      </c>
      <c r="AC165" s="215"/>
      <c r="AD165" s="215"/>
      <c r="AE165" s="177" t="n">
        <v>0</v>
      </c>
      <c r="AF165" s="177" t="n">
        <v>0</v>
      </c>
      <c r="AG165" s="181"/>
      <c r="AH165" s="180" t="n">
        <v>0</v>
      </c>
      <c r="AI165" s="181"/>
      <c r="AJ165" s="181" t="s">
        <v>895</v>
      </c>
      <c r="AK165" s="181" t="s">
        <v>1122</v>
      </c>
      <c r="AL165" s="182"/>
      <c r="AN165" s="144" t="e">
        <v>#NAME?</v>
      </c>
      <c r="AO165" s="144" t="e">
        <f aca="false">_xlfn.xlookup(AN165,A:A,F:F)</f>
        <v>#NAME?</v>
      </c>
      <c r="AP165" s="144" t="e">
        <f aca="false">_xlfn.xlookup(AN165,A:A,J:J)</f>
        <v>#NAME?</v>
      </c>
      <c r="AQ165" s="144" t="e">
        <f aca="false">_xlfn.xlookup(AN165,A:A,N:N)+_xlfn.xlookup(AN165,A:A,O:O)</f>
        <v>#NAME?</v>
      </c>
      <c r="AR165" s="150" t="e">
        <f aca="false">_xlfn.xlookup(AN165,A:A,AH:AH)</f>
        <v>#NAME?</v>
      </c>
      <c r="AS165" s="150" t="e">
        <f aca="false">_xlfn.xlookup(AN165,A:A,S:S)</f>
        <v>#NAME?</v>
      </c>
      <c r="AT165" s="150" t="e">
        <f aca="false">_xlfn.xlookup(AN165,A:A,AE:AE)</f>
        <v>#NAME?</v>
      </c>
      <c r="AU165" s="150" t="e">
        <f aca="false">_xlfn.xlookup(AN165,A:A,AF:AF)</f>
        <v>#NAME?</v>
      </c>
      <c r="BB165" s="246"/>
      <c r="BC165" s="246"/>
      <c r="BD165" s="246"/>
      <c r="BE165" s="246"/>
      <c r="BF165" s="246"/>
      <c r="BH165" s="152" t="e">
        <f aca="false">_xlfn.xlookup(BG165,A:A,F:F)</f>
        <v>#NAME?</v>
      </c>
      <c r="BI165" s="144" t="e">
        <f aca="false">_xlfn.xlookup(BG165,A:A,J:J)</f>
        <v>#NAME?</v>
      </c>
      <c r="BJ165" s="153" t="e">
        <f aca="false">_xlfn.xlookup(BG165,A:A,N:N)+_xlfn.xlookup(BG165,A:A,O:O)</f>
        <v>#NAME?</v>
      </c>
      <c r="BK165" s="153" t="e">
        <f aca="false">_xlfn.xlookup(BG165,A113:A1108,AB113:AB1108)</f>
        <v>#NAME?</v>
      </c>
      <c r="BT165" s="189"/>
    </row>
    <row r="166" customFormat="false" ht="16.4" hidden="false" customHeight="false" outlineLevel="0" collapsed="false">
      <c r="A166" s="140" t="s">
        <v>1123</v>
      </c>
      <c r="B166" s="249" t="s">
        <v>893</v>
      </c>
      <c r="C166" s="174" t="n">
        <v>45639</v>
      </c>
      <c r="D166" s="173" t="n">
        <v>0</v>
      </c>
      <c r="E166" s="138" t="s">
        <v>1011</v>
      </c>
      <c r="F166" s="138" t="s">
        <v>1011</v>
      </c>
      <c r="G166" s="140" t="s">
        <v>1074</v>
      </c>
      <c r="H166" s="173" t="n">
        <v>0</v>
      </c>
      <c r="I166" s="173" t="n">
        <v>0</v>
      </c>
      <c r="J166" s="140" t="s">
        <v>906</v>
      </c>
      <c r="K166" s="140"/>
      <c r="L166" s="253"/>
      <c r="M166" s="253"/>
      <c r="N166" s="253"/>
      <c r="O166" s="253"/>
      <c r="P166" s="253"/>
      <c r="Q166" s="254"/>
      <c r="R166" s="255"/>
      <c r="S166" s="256" t="n">
        <v>0</v>
      </c>
      <c r="T166" s="215"/>
      <c r="U166" s="178" t="n">
        <v>0</v>
      </c>
      <c r="V166" s="177" t="n">
        <v>0</v>
      </c>
      <c r="W166" s="177" t="n">
        <v>0</v>
      </c>
      <c r="X166" s="179"/>
      <c r="Y166" s="177" t="n">
        <v>0</v>
      </c>
      <c r="Z166" s="177" t="n">
        <v>0</v>
      </c>
      <c r="AA166" s="177" t="n">
        <v>0</v>
      </c>
      <c r="AB166" s="177" t="n">
        <v>0</v>
      </c>
      <c r="AC166" s="215"/>
      <c r="AD166" s="215"/>
      <c r="AE166" s="177" t="n">
        <v>0</v>
      </c>
      <c r="AF166" s="177" t="n">
        <v>0</v>
      </c>
      <c r="AG166" s="181"/>
      <c r="AH166" s="180" t="n">
        <v>0</v>
      </c>
      <c r="AI166" s="181"/>
      <c r="AJ166" s="181" t="s">
        <v>895</v>
      </c>
      <c r="AK166" s="181" t="s">
        <v>1123</v>
      </c>
      <c r="AL166" s="182"/>
      <c r="AN166" s="144" t="e">
        <v>#NAME?</v>
      </c>
      <c r="AO166" s="144" t="e">
        <f aca="false">_xlfn.xlookup(AN166,A:A,F:F)</f>
        <v>#NAME?</v>
      </c>
      <c r="AP166" s="144" t="e">
        <f aca="false">_xlfn.xlookup(AN166,A:A,J:J)</f>
        <v>#NAME?</v>
      </c>
      <c r="AQ166" s="144" t="e">
        <f aca="false">_xlfn.xlookup(AN166,A:A,N:N)+_xlfn.xlookup(AN166,A:A,O:O)</f>
        <v>#NAME?</v>
      </c>
      <c r="AR166" s="150" t="e">
        <f aca="false">_xlfn.xlookup(AN166,A:A,AH:AH)</f>
        <v>#NAME?</v>
      </c>
      <c r="AS166" s="150" t="e">
        <f aca="false">_xlfn.xlookup(AN166,A:A,S:S)</f>
        <v>#NAME?</v>
      </c>
      <c r="AT166" s="150" t="e">
        <f aca="false">_xlfn.xlookup(AN166,A:A,AE:AE)</f>
        <v>#NAME?</v>
      </c>
      <c r="AU166" s="150" t="e">
        <f aca="false">_xlfn.xlookup(AN166,A:A,AF:AF)</f>
        <v>#NAME?</v>
      </c>
      <c r="BB166" s="246"/>
      <c r="BC166" s="246"/>
      <c r="BD166" s="246"/>
      <c r="BE166" s="246"/>
      <c r="BF166" s="246"/>
      <c r="BH166" s="152" t="e">
        <f aca="false">_xlfn.xlookup(BG166,A:A,F:F)</f>
        <v>#NAME?</v>
      </c>
      <c r="BI166" s="144" t="e">
        <f aca="false">_xlfn.xlookup(BG166,A:A,J:J)</f>
        <v>#NAME?</v>
      </c>
      <c r="BJ166" s="153" t="e">
        <f aca="false">_xlfn.xlookup(BG166,A:A,N:N)+_xlfn.xlookup(BG166,A:A,O:O)</f>
        <v>#NAME?</v>
      </c>
      <c r="BK166" s="153" t="e">
        <f aca="false">_xlfn.xlookup(BG166,A114:A1109,AB114:AB1109)</f>
        <v>#NAME?</v>
      </c>
      <c r="BT166" s="189"/>
    </row>
    <row r="167" customFormat="false" ht="16.4" hidden="false" customHeight="false" outlineLevel="0" collapsed="false">
      <c r="A167" s="140" t="s">
        <v>1124</v>
      </c>
      <c r="B167" s="249" t="s">
        <v>893</v>
      </c>
      <c r="C167" s="174" t="n">
        <v>45643</v>
      </c>
      <c r="D167" s="173" t="n">
        <v>286</v>
      </c>
      <c r="E167" s="138" t="s">
        <v>63</v>
      </c>
      <c r="F167" s="138" t="s">
        <v>500</v>
      </c>
      <c r="G167" s="140" t="n">
        <v>50008960</v>
      </c>
      <c r="H167" s="173" t="n">
        <v>40103</v>
      </c>
      <c r="I167" s="173" t="n">
        <v>30025</v>
      </c>
      <c r="J167" s="140" t="s">
        <v>904</v>
      </c>
      <c r="K167" s="140"/>
      <c r="L167" s="175" t="n">
        <v>68301.118512</v>
      </c>
      <c r="M167" s="175" t="n">
        <v>0</v>
      </c>
      <c r="N167" s="175" t="n">
        <v>66718.2</v>
      </c>
      <c r="O167" s="175"/>
      <c r="P167" s="175" t="n">
        <v>1077.25</v>
      </c>
      <c r="Q167" s="176" t="n">
        <v>10</v>
      </c>
      <c r="R167" s="138" t="n">
        <v>16.5</v>
      </c>
      <c r="S167" s="177" t="n">
        <v>-201.55</v>
      </c>
      <c r="T167" s="215" t="n">
        <v>1.4365</v>
      </c>
      <c r="U167" s="178" t="n">
        <v>0.369342532440358</v>
      </c>
      <c r="V167" s="177" t="n">
        <v>24641.8689478623</v>
      </c>
      <c r="W167" s="177" t="n">
        <v>584.6391318688</v>
      </c>
      <c r="X167" s="179" t="n">
        <v>0.0231755869667329</v>
      </c>
      <c r="Y167" s="177" t="n">
        <v>261.805968529412</v>
      </c>
      <c r="Z167" s="177" t="n">
        <v>217</v>
      </c>
      <c r="AA167" s="177" t="n">
        <v>991.586538461539</v>
      </c>
      <c r="AB167" s="177" t="n">
        <v>26495.3505867221</v>
      </c>
      <c r="AC167" s="215" t="n">
        <v>0.31</v>
      </c>
      <c r="AD167" s="215" t="s">
        <v>77</v>
      </c>
      <c r="AE167" s="177" t="n">
        <v>29710.615233</v>
      </c>
      <c r="AF167" s="177" t="n">
        <v>3215.26464627794</v>
      </c>
      <c r="AG167" s="181" t="n">
        <v>0.108219389637772</v>
      </c>
      <c r="AH167" s="180" t="n">
        <v>25226.5080797311</v>
      </c>
      <c r="AI167" s="181" t="n">
        <v>0.849073904457948</v>
      </c>
      <c r="AJ167" s="181"/>
      <c r="AK167" s="181" t="s">
        <v>1124</v>
      </c>
      <c r="AL167" s="182" t="n">
        <v>0.397123282503456</v>
      </c>
      <c r="AN167" s="144" t="e">
        <v>#NAME?</v>
      </c>
      <c r="AO167" s="144" t="e">
        <f aca="false">_xlfn.xlookup(AN167,A:A,F:F)</f>
        <v>#NAME?</v>
      </c>
      <c r="AP167" s="144" t="e">
        <f aca="false">_xlfn.xlookup(AN167,A:A,J:J)</f>
        <v>#NAME?</v>
      </c>
      <c r="AQ167" s="144" t="e">
        <f aca="false">_xlfn.xlookup(AN167,A:A,N:N)+_xlfn.xlookup(AN167,A:A,O:O)</f>
        <v>#NAME?</v>
      </c>
      <c r="AR167" s="150" t="e">
        <f aca="false">_xlfn.xlookup(AN167,A:A,AH:AH)</f>
        <v>#NAME?</v>
      </c>
      <c r="AS167" s="150" t="e">
        <f aca="false">_xlfn.xlookup(AN167,A:A,S:S)</f>
        <v>#NAME?</v>
      </c>
      <c r="AT167" s="150" t="e">
        <f aca="false">_xlfn.xlookup(AN167,A:A,AE:AE)</f>
        <v>#NAME?</v>
      </c>
      <c r="AU167" s="150" t="e">
        <f aca="false">_xlfn.xlookup(AN167,A:A,AF:AF)</f>
        <v>#NAME?</v>
      </c>
      <c r="BB167" s="246"/>
      <c r="BC167" s="246"/>
      <c r="BD167" s="246"/>
      <c r="BE167" s="246"/>
      <c r="BF167" s="246"/>
      <c r="BH167" s="152" t="e">
        <f aca="false">_xlfn.xlookup(BG167,A:A,F:F)</f>
        <v>#NAME?</v>
      </c>
      <c r="BI167" s="144" t="e">
        <f aca="false">_xlfn.xlookup(BG167,A:A,J:J)</f>
        <v>#NAME?</v>
      </c>
      <c r="BJ167" s="153" t="e">
        <f aca="false">_xlfn.xlookup(BG167,A:A,N:N)+_xlfn.xlookup(BG167,A:A,O:O)</f>
        <v>#NAME?</v>
      </c>
      <c r="BK167" s="153" t="e">
        <f aca="false">_xlfn.xlookup(BG167,A115:A1110,AB115:AB1110)</f>
        <v>#NAME?</v>
      </c>
      <c r="BQ167" s="144" t="str">
        <f aca="false">IF(VALUE(MONTH(C167))&lt;10,YEAR(C167)&amp;"-0"&amp;MONTH(C167),YEAR(C167)&amp;"-"&amp;MONTH(C167))</f>
        <v>2024-12</v>
      </c>
      <c r="BR167" s="144" t="str">
        <f aca="false">J167</f>
        <v>D11-1</v>
      </c>
      <c r="BS167" s="144" t="str">
        <f aca="false">IF(ISNUMBER(FIND("-", BR167)), LEFT(BR167, FIND("-", BR167) - 1), BR167)</f>
        <v>D11</v>
      </c>
      <c r="BT167" s="189" t="n">
        <f aca="false">L167-M167+O167</f>
        <v>68301.118512</v>
      </c>
    </row>
    <row r="168" customFormat="false" ht="16.4" hidden="false" customHeight="false" outlineLevel="0" collapsed="false">
      <c r="A168" s="140" t="s">
        <v>1125</v>
      </c>
      <c r="B168" s="249" t="s">
        <v>893</v>
      </c>
      <c r="C168" s="174" t="n">
        <v>45670</v>
      </c>
      <c r="D168" s="173" t="n">
        <v>264</v>
      </c>
      <c r="E168" s="138" t="s">
        <v>96</v>
      </c>
      <c r="F168" s="138" t="s">
        <v>582</v>
      </c>
      <c r="G168" s="140" t="s">
        <v>1126</v>
      </c>
      <c r="H168" s="173" t="n">
        <v>40181</v>
      </c>
      <c r="I168" s="173" t="n">
        <v>30042</v>
      </c>
      <c r="J168" s="140" t="s">
        <v>754</v>
      </c>
      <c r="K168" s="140"/>
      <c r="L168" s="175" t="n">
        <v>53117.80068</v>
      </c>
      <c r="M168" s="175" t="n">
        <v>3903.552</v>
      </c>
      <c r="N168" s="175" t="n">
        <v>48912.12</v>
      </c>
      <c r="O168" s="175"/>
      <c r="P168" s="175" t="n">
        <v>422</v>
      </c>
      <c r="Q168" s="176" t="n">
        <v>8</v>
      </c>
      <c r="R168" s="138" t="n">
        <v>9</v>
      </c>
      <c r="S168" s="177" t="n">
        <v>363.43</v>
      </c>
      <c r="T168" s="215"/>
      <c r="U168" s="178" t="n">
        <v>0.273486093127953</v>
      </c>
      <c r="V168" s="177" t="n">
        <v>13376.7846054056</v>
      </c>
      <c r="W168" s="177" t="n">
        <v>82.6279923151009</v>
      </c>
      <c r="X168" s="179" t="n">
        <v>0.00568789889890417</v>
      </c>
      <c r="Y168" s="177" t="n">
        <v>102.559404705882</v>
      </c>
      <c r="Z168" s="177" t="n">
        <v>173.6</v>
      </c>
      <c r="AA168" s="177" t="n">
        <v>540.865384615385</v>
      </c>
      <c r="AB168" s="177" t="n">
        <v>14639.867387042</v>
      </c>
      <c r="AC168" s="215" t="n">
        <v>0.438</v>
      </c>
      <c r="AD168" s="215" t="s">
        <v>88</v>
      </c>
      <c r="AE168" s="177" t="n">
        <v>21423.50856</v>
      </c>
      <c r="AF168" s="177" t="n">
        <v>6783.64117295801</v>
      </c>
      <c r="AG168" s="181" t="n">
        <v>0.316644734169444</v>
      </c>
      <c r="AH168" s="180" t="n">
        <v>13459.4125977207</v>
      </c>
      <c r="AI168" s="181" t="n">
        <v>0.628254357124813</v>
      </c>
      <c r="AJ168" s="181"/>
      <c r="AK168" s="181" t="s">
        <v>1125</v>
      </c>
      <c r="AL168" s="182" t="n">
        <v>0.299309606433784</v>
      </c>
      <c r="AN168" s="144" t="e">
        <v>#NAME?</v>
      </c>
      <c r="AO168" s="144" t="e">
        <f aca="false">_xlfn.xlookup(AN168,A:A,F:F)</f>
        <v>#NAME?</v>
      </c>
      <c r="AP168" s="144" t="e">
        <f aca="false">_xlfn.xlookup(AN168,A:A,J:J)</f>
        <v>#NAME?</v>
      </c>
      <c r="AQ168" s="144" t="e">
        <f aca="false">_xlfn.xlookup(AN168,A:A,N:N)+_xlfn.xlookup(AN168,A:A,O:O)</f>
        <v>#NAME?</v>
      </c>
      <c r="AR168" s="150" t="e">
        <f aca="false">_xlfn.xlookup(AN168,A:A,AH:AH)</f>
        <v>#NAME?</v>
      </c>
      <c r="AS168" s="150" t="e">
        <f aca="false">_xlfn.xlookup(AN168,A:A,S:S)</f>
        <v>#NAME?</v>
      </c>
      <c r="AT168" s="150" t="e">
        <f aca="false">_xlfn.xlookup(AN168,A:A,AE:AE)</f>
        <v>#NAME?</v>
      </c>
      <c r="AU168" s="150" t="e">
        <f aca="false">_xlfn.xlookup(AN168,A:A,AF:AF)</f>
        <v>#NAME?</v>
      </c>
      <c r="BB168" s="246"/>
      <c r="BC168" s="246"/>
      <c r="BD168" s="246"/>
      <c r="BE168" s="246"/>
      <c r="BF168" s="246"/>
      <c r="BH168" s="152" t="e">
        <f aca="false">_xlfn.xlookup(BG168,A:A,F:F)</f>
        <v>#NAME?</v>
      </c>
      <c r="BI168" s="144" t="e">
        <f aca="false">_xlfn.xlookup(BG168,A:A,J:J)</f>
        <v>#NAME?</v>
      </c>
      <c r="BJ168" s="153" t="e">
        <f aca="false">_xlfn.xlookup(BG168,A:A,N:N)+_xlfn.xlookup(BG168,A:A,O:O)</f>
        <v>#NAME?</v>
      </c>
      <c r="BK168" s="153" t="e">
        <f aca="false">_xlfn.xlookup(BG168,A116:A1111,AB116:AB1111)</f>
        <v>#NAME?</v>
      </c>
      <c r="BQ168" s="144" t="str">
        <f aca="false">IF(VALUE(MONTH(C168))&lt;10,YEAR(C168)&amp;"-0"&amp;MONTH(C168),YEAR(C168)&amp;"-"&amp;MONTH(C168))</f>
        <v>2025-01</v>
      </c>
      <c r="BR168" s="144" t="str">
        <f aca="false">J168</f>
        <v>T11-1</v>
      </c>
      <c r="BS168" s="144" t="str">
        <f aca="false">IF(ISNUMBER(FIND("-", BR168)), LEFT(BR168, FIND("-", BR168) - 1), BR168)</f>
        <v>T11</v>
      </c>
      <c r="BT168" s="189" t="n">
        <f aca="false">L168-M168+O168</f>
        <v>49214.24868</v>
      </c>
    </row>
    <row r="169" customFormat="false" ht="16.4" hidden="false" customHeight="false" outlineLevel="0" collapsed="false">
      <c r="A169" s="140" t="s">
        <v>1127</v>
      </c>
      <c r="B169" s="249" t="s">
        <v>893</v>
      </c>
      <c r="C169" s="174" t="n">
        <v>45671</v>
      </c>
      <c r="D169" s="173" t="n">
        <v>237</v>
      </c>
      <c r="E169" s="138" t="s">
        <v>159</v>
      </c>
      <c r="F169" s="138" t="s">
        <v>726</v>
      </c>
      <c r="G169" s="140" t="s">
        <v>205</v>
      </c>
      <c r="H169" s="173" t="n">
        <v>40147</v>
      </c>
      <c r="I169" s="173" t="n">
        <v>30042</v>
      </c>
      <c r="J169" s="140" t="s">
        <v>754</v>
      </c>
      <c r="K169" s="140"/>
      <c r="L169" s="175" t="n">
        <v>22915.95732</v>
      </c>
      <c r="M169" s="175" t="n">
        <v>0</v>
      </c>
      <c r="N169" s="175" t="n">
        <v>22537.4397</v>
      </c>
      <c r="O169" s="175"/>
      <c r="P169" s="175" t="n">
        <v>180.0115</v>
      </c>
      <c r="Q169" s="176" t="n">
        <v>5</v>
      </c>
      <c r="R169" s="138" t="n">
        <v>4</v>
      </c>
      <c r="S169" s="260" t="n">
        <v>252.642857142857</v>
      </c>
      <c r="T169" s="215"/>
      <c r="U169" s="178" t="n">
        <v>0.273486093127953</v>
      </c>
      <c r="V169" s="177" t="n">
        <v>6163.67633265983</v>
      </c>
      <c r="W169" s="177" t="n">
        <v>103.519305073894</v>
      </c>
      <c r="X169" s="179" t="n">
        <v>0.0165176437848249</v>
      </c>
      <c r="Y169" s="177" t="n">
        <v>43.7485125123529</v>
      </c>
      <c r="Z169" s="177" t="n">
        <v>108.5</v>
      </c>
      <c r="AA169" s="177" t="n">
        <v>240.384615384615</v>
      </c>
      <c r="AB169" s="177" t="n">
        <v>6912.47162277355</v>
      </c>
      <c r="AC169" s="215" t="n">
        <v>0.37</v>
      </c>
      <c r="AD169" s="215" t="s">
        <v>88</v>
      </c>
      <c r="AE169" s="177" t="n">
        <v>8338.852689</v>
      </c>
      <c r="AF169" s="177" t="n">
        <v>1426.38106622645</v>
      </c>
      <c r="AG169" s="181" t="n">
        <v>0.171052436039316</v>
      </c>
      <c r="AH169" s="180" t="n">
        <v>6267.19563773372</v>
      </c>
      <c r="AI169" s="181" t="n">
        <v>0.751565697521069</v>
      </c>
      <c r="AJ169" s="181"/>
      <c r="AK169" s="181" t="s">
        <v>1127</v>
      </c>
      <c r="AL169" s="182" t="n">
        <v>0.306710598665453</v>
      </c>
      <c r="AN169" s="144" t="e">
        <v>#NAME?</v>
      </c>
      <c r="AO169" s="144" t="e">
        <f aca="false">_xlfn.xlookup(AN169,A:A,F:F)</f>
        <v>#NAME?</v>
      </c>
      <c r="AP169" s="144" t="e">
        <f aca="false">_xlfn.xlookup(AN169,A:A,J:J)</f>
        <v>#NAME?</v>
      </c>
      <c r="AQ169" s="144" t="e">
        <f aca="false">_xlfn.xlookup(AN169,A:A,N:N)+_xlfn.xlookup(AN169,A:A,O:O)</f>
        <v>#NAME?</v>
      </c>
      <c r="AR169" s="150" t="e">
        <f aca="false">_xlfn.xlookup(AN169,A:A,AH:AH)</f>
        <v>#NAME?</v>
      </c>
      <c r="AS169" s="150" t="e">
        <f aca="false">_xlfn.xlookup(AN169,A:A,S:S)</f>
        <v>#NAME?</v>
      </c>
      <c r="AT169" s="150" t="e">
        <f aca="false">_xlfn.xlookup(AN169,A:A,AE:AE)</f>
        <v>#NAME?</v>
      </c>
      <c r="AU169" s="150" t="e">
        <f aca="false">_xlfn.xlookup(AN169,A:A,AF:AF)</f>
        <v>#NAME?</v>
      </c>
      <c r="BB169" s="246"/>
      <c r="BC169" s="246"/>
      <c r="BD169" s="246"/>
      <c r="BE169" s="246"/>
      <c r="BF169" s="246"/>
      <c r="BH169" s="152" t="e">
        <f aca="false">_xlfn.xlookup(BG169,A:A,F:F)</f>
        <v>#NAME?</v>
      </c>
      <c r="BI169" s="144" t="e">
        <f aca="false">_xlfn.xlookup(BG169,A:A,J:J)</f>
        <v>#NAME?</v>
      </c>
      <c r="BJ169" s="153" t="e">
        <f aca="false">_xlfn.xlookup(BG169,A:A,N:N)+_xlfn.xlookup(BG169,A:A,O:O)</f>
        <v>#NAME?</v>
      </c>
      <c r="BK169" s="153" t="e">
        <f aca="false">_xlfn.xlookup(BG169,A117:A1112,AB117:AB1112)</f>
        <v>#NAME?</v>
      </c>
      <c r="BQ169" s="144" t="str">
        <f aca="false">IF(VALUE(MONTH(C169))&lt;10,YEAR(C169)&amp;"-0"&amp;MONTH(C169),YEAR(C169)&amp;"-"&amp;MONTH(C169))</f>
        <v>2025-01</v>
      </c>
      <c r="BR169" s="144" t="str">
        <f aca="false">J169</f>
        <v>T11-1</v>
      </c>
      <c r="BS169" s="144" t="str">
        <f aca="false">IF(ISNUMBER(FIND("-", BR169)), LEFT(BR169, FIND("-", BR169) - 1), BR169)</f>
        <v>T11</v>
      </c>
      <c r="BT169" s="189" t="n">
        <f aca="false">L169-M169+O169</f>
        <v>22915.95732</v>
      </c>
    </row>
    <row r="170" customFormat="false" ht="16.4" hidden="false" customHeight="false" outlineLevel="0" collapsed="false">
      <c r="A170" s="140" t="s">
        <v>1128</v>
      </c>
      <c r="B170" s="249" t="s">
        <v>893</v>
      </c>
      <c r="C170" s="174" t="n">
        <v>45672</v>
      </c>
      <c r="D170" s="173" t="n">
        <v>288</v>
      </c>
      <c r="E170" s="138" t="s">
        <v>115</v>
      </c>
      <c r="F170" s="138" t="s">
        <v>943</v>
      </c>
      <c r="G170" s="140" t="n">
        <v>31758</v>
      </c>
      <c r="H170" s="173" t="n">
        <v>40214</v>
      </c>
      <c r="I170" s="173" t="n">
        <v>30042</v>
      </c>
      <c r="J170" s="140" t="s">
        <v>754</v>
      </c>
      <c r="K170" s="140"/>
      <c r="L170" s="175" t="n">
        <v>7638.65244</v>
      </c>
      <c r="M170" s="175" t="n">
        <v>0</v>
      </c>
      <c r="N170" s="175" t="n">
        <v>7522.695</v>
      </c>
      <c r="O170" s="175"/>
      <c r="P170" s="175" t="n">
        <v>59.875</v>
      </c>
      <c r="Q170" s="176" t="n">
        <v>2</v>
      </c>
      <c r="R170" s="138" t="n">
        <v>1</v>
      </c>
      <c r="S170" s="177" t="n">
        <v>96.81</v>
      </c>
      <c r="T170" s="215"/>
      <c r="U170" s="178" t="n">
        <v>0.273486093127953</v>
      </c>
      <c r="V170" s="177" t="n">
        <v>2057.35246534319</v>
      </c>
      <c r="W170" s="177" t="n">
        <v>31.7127472347191</v>
      </c>
      <c r="X170" s="179" t="n">
        <v>0.015180352936702</v>
      </c>
      <c r="Y170" s="177" t="n">
        <v>14.5515269117647</v>
      </c>
      <c r="Z170" s="177" t="n">
        <v>43.4</v>
      </c>
      <c r="AA170" s="177" t="n">
        <v>60.0961538461539</v>
      </c>
      <c r="AB170" s="177" t="n">
        <v>2303.92289333583</v>
      </c>
      <c r="AC170" s="215" t="n">
        <v>0.377</v>
      </c>
      <c r="AD170" s="215" t="s">
        <v>88</v>
      </c>
      <c r="AE170" s="177" t="n">
        <v>2836.056015</v>
      </c>
      <c r="AF170" s="177" t="n">
        <v>532.133121664174</v>
      </c>
      <c r="AG170" s="181" t="n">
        <v>0.187631386280702</v>
      </c>
      <c r="AH170" s="180" t="n">
        <v>2089.06521257791</v>
      </c>
      <c r="AI170" s="181" t="n">
        <v>0.736609291751915</v>
      </c>
      <c r="AJ170" s="181"/>
      <c r="AK170" s="181" t="s">
        <v>1128</v>
      </c>
      <c r="AL170" s="182" t="n">
        <v>0.306262967372175</v>
      </c>
      <c r="AN170" s="144" t="e">
        <v>#NAME?</v>
      </c>
      <c r="AO170" s="144" t="e">
        <f aca="false">_xlfn.xlookup(AN170,A:A,F:F)</f>
        <v>#NAME?</v>
      </c>
      <c r="AP170" s="144" t="e">
        <f aca="false">_xlfn.xlookup(AN170,A:A,J:J)</f>
        <v>#NAME?</v>
      </c>
      <c r="AQ170" s="144" t="e">
        <f aca="false">_xlfn.xlookup(AN170,A:A,N:N)+_xlfn.xlookup(AN170,A:A,O:O)</f>
        <v>#NAME?</v>
      </c>
      <c r="AR170" s="150" t="e">
        <f aca="false">_xlfn.xlookup(AN170,A:A,AH:AH)</f>
        <v>#NAME?</v>
      </c>
      <c r="AS170" s="150" t="e">
        <f aca="false">_xlfn.xlookup(AN170,A:A,S:S)</f>
        <v>#NAME?</v>
      </c>
      <c r="AT170" s="150" t="e">
        <f aca="false">_xlfn.xlookup(AN170,A:A,AE:AE)</f>
        <v>#NAME?</v>
      </c>
      <c r="AU170" s="150" t="e">
        <f aca="false">_xlfn.xlookup(AN170,A:A,AF:AF)</f>
        <v>#NAME?</v>
      </c>
      <c r="BB170" s="246"/>
      <c r="BC170" s="246"/>
      <c r="BD170" s="246"/>
      <c r="BE170" s="246"/>
      <c r="BF170" s="246"/>
      <c r="BH170" s="152" t="e">
        <f aca="false">_xlfn.xlookup(BG170,A:A,F:F)</f>
        <v>#NAME?</v>
      </c>
      <c r="BI170" s="144" t="e">
        <f aca="false">_xlfn.xlookup(BG170,A:A,J:J)</f>
        <v>#NAME?</v>
      </c>
      <c r="BJ170" s="153" t="e">
        <f aca="false">_xlfn.xlookup(BG170,A:A,N:N)+_xlfn.xlookup(BG170,A:A,O:O)</f>
        <v>#NAME?</v>
      </c>
      <c r="BK170" s="153" t="e">
        <f aca="false">_xlfn.xlookup(BG170,A118:A1113,AB118:AB1113)</f>
        <v>#NAME?</v>
      </c>
      <c r="BQ170" s="144" t="str">
        <f aca="false">IF(VALUE(MONTH(C170))&lt;10,YEAR(C170)&amp;"-0"&amp;MONTH(C170),YEAR(C170)&amp;"-"&amp;MONTH(C170))</f>
        <v>2025-01</v>
      </c>
      <c r="BR170" s="144" t="str">
        <f aca="false">J170</f>
        <v>T11-1</v>
      </c>
      <c r="BS170" s="144" t="str">
        <f aca="false">IF(ISNUMBER(FIND("-", BR170)), LEFT(BR170, FIND("-", BR170) - 1), BR170)</f>
        <v>T11</v>
      </c>
      <c r="BT170" s="189" t="n">
        <f aca="false">L170-M170+O170</f>
        <v>7638.65244</v>
      </c>
    </row>
    <row r="171" customFormat="false" ht="16.4" hidden="false" customHeight="false" outlineLevel="0" collapsed="false">
      <c r="A171" s="140" t="s">
        <v>1129</v>
      </c>
      <c r="B171" s="249" t="s">
        <v>893</v>
      </c>
      <c r="C171" s="174" t="n">
        <v>45645</v>
      </c>
      <c r="D171" s="173" t="n">
        <v>289</v>
      </c>
      <c r="E171" s="138" t="s">
        <v>89</v>
      </c>
      <c r="F171" s="138" t="s">
        <v>938</v>
      </c>
      <c r="G171" s="140" t="s">
        <v>267</v>
      </c>
      <c r="H171" s="173" t="n">
        <v>40089</v>
      </c>
      <c r="I171" s="173" t="n">
        <v>30027</v>
      </c>
      <c r="J171" s="140" t="s">
        <v>768</v>
      </c>
      <c r="K171" s="140"/>
      <c r="L171" s="175" t="n">
        <v>7011.4704</v>
      </c>
      <c r="M171" s="175" t="n">
        <v>3614.16</v>
      </c>
      <c r="N171" s="175" t="n">
        <v>3312</v>
      </c>
      <c r="O171" s="175"/>
      <c r="P171" s="175" t="n">
        <v>60</v>
      </c>
      <c r="Q171" s="176" t="n">
        <v>1</v>
      </c>
      <c r="R171" s="138" t="n">
        <v>1.5</v>
      </c>
      <c r="S171" s="177" t="n">
        <v>0</v>
      </c>
      <c r="T171" s="215" t="n">
        <v>1.4365</v>
      </c>
      <c r="U171" s="178" t="n">
        <v>0.307208514182256</v>
      </c>
      <c r="V171" s="177" t="n">
        <v>1017.47459897163</v>
      </c>
      <c r="W171" s="177" t="n">
        <v>26.208081228294</v>
      </c>
      <c r="X171" s="179" t="n">
        <v>0.0121672623762343</v>
      </c>
      <c r="Y171" s="177" t="n">
        <v>14.5819058823529</v>
      </c>
      <c r="Z171" s="177" t="n">
        <v>21.7</v>
      </c>
      <c r="AA171" s="177" t="n">
        <v>90.1442307692308</v>
      </c>
      <c r="AB171" s="177" t="n">
        <v>1170.10881685151</v>
      </c>
      <c r="AC171" s="215" t="n">
        <v>0.34</v>
      </c>
      <c r="AD171" s="215" t="s">
        <v>77</v>
      </c>
      <c r="AE171" s="177" t="n">
        <v>1617.61392</v>
      </c>
      <c r="AF171" s="177" t="n">
        <v>447.505103148491</v>
      </c>
      <c r="AG171" s="181" t="n">
        <v>0.27664518561295</v>
      </c>
      <c r="AH171" s="180" t="n">
        <v>1043.68268019993</v>
      </c>
      <c r="AI171" s="181" t="n">
        <v>0.645198874277693</v>
      </c>
      <c r="AJ171" s="181"/>
      <c r="AK171" s="181" t="s">
        <v>1129</v>
      </c>
      <c r="AL171" s="182" t="n">
        <v>0.353293724894779</v>
      </c>
      <c r="AN171" s="144" t="e">
        <v>#NAME?</v>
      </c>
      <c r="AO171" s="144" t="e">
        <f aca="false">_xlfn.xlookup(AN171,A:A,F:F)</f>
        <v>#NAME?</v>
      </c>
      <c r="AP171" s="144" t="e">
        <f aca="false">_xlfn.xlookup(AN171,A:A,J:J)</f>
        <v>#NAME?</v>
      </c>
      <c r="AQ171" s="144" t="e">
        <f aca="false">_xlfn.xlookup(AN171,A:A,N:N)+_xlfn.xlookup(AN171,A:A,O:O)</f>
        <v>#NAME?</v>
      </c>
      <c r="AR171" s="150" t="e">
        <f aca="false">_xlfn.xlookup(AN171,A:A,AH:AH)</f>
        <v>#NAME?</v>
      </c>
      <c r="AS171" s="150" t="e">
        <f aca="false">_xlfn.xlookup(AN171,A:A,S:S)</f>
        <v>#NAME?</v>
      </c>
      <c r="AT171" s="150" t="e">
        <f aca="false">_xlfn.xlookup(AN171,A:A,AE:AE)</f>
        <v>#NAME?</v>
      </c>
      <c r="AU171" s="150" t="e">
        <f aca="false">_xlfn.xlookup(AN171,A:A,AF:AF)</f>
        <v>#NAME?</v>
      </c>
      <c r="BB171" s="246"/>
      <c r="BC171" s="246"/>
      <c r="BD171" s="246"/>
      <c r="BE171" s="246"/>
      <c r="BF171" s="246"/>
      <c r="BH171" s="152" t="e">
        <f aca="false">_xlfn.xlookup(BG171,A:A,F:F)</f>
        <v>#NAME?</v>
      </c>
      <c r="BI171" s="144" t="e">
        <f aca="false">_xlfn.xlookup(BG171,A:A,J:J)</f>
        <v>#NAME?</v>
      </c>
      <c r="BJ171" s="153" t="e">
        <f aca="false">_xlfn.xlookup(BG171,A:A,N:N)+_xlfn.xlookup(BG171,A:A,O:O)</f>
        <v>#NAME?</v>
      </c>
      <c r="BK171" s="153" t="e">
        <f aca="false">_xlfn.xlookup(BG171,A119:A1114,AB119:AB1114)</f>
        <v>#NAME?</v>
      </c>
      <c r="BQ171" s="144" t="str">
        <f aca="false">IF(VALUE(MONTH(C171))&lt;10,YEAR(C171)&amp;"-0"&amp;MONTH(C171),YEAR(C171)&amp;"-"&amp;MONTH(C171))</f>
        <v>2024-12</v>
      </c>
      <c r="BR171" s="144" t="str">
        <f aca="false">J171</f>
        <v>B25-3</v>
      </c>
      <c r="BS171" s="144" t="str">
        <f aca="false">IF(ISNUMBER(FIND("-", BR171)), LEFT(BR171, FIND("-", BR171) - 1), BR171)</f>
        <v>B25</v>
      </c>
      <c r="BT171" s="189" t="n">
        <f aca="false">L171-M171+O171</f>
        <v>3397.3104</v>
      </c>
    </row>
    <row r="172" customFormat="false" ht="16.4" hidden="false" customHeight="false" outlineLevel="0" collapsed="false">
      <c r="A172" s="140" t="s">
        <v>1130</v>
      </c>
      <c r="B172" s="249" t="s">
        <v>893</v>
      </c>
      <c r="C172" s="174" t="n">
        <v>45646</v>
      </c>
      <c r="D172" s="173" t="n">
        <v>290</v>
      </c>
      <c r="E172" s="138" t="s">
        <v>221</v>
      </c>
      <c r="F172" s="138" t="s">
        <v>935</v>
      </c>
      <c r="G172" s="140" t="s">
        <v>269</v>
      </c>
      <c r="H172" s="173" t="n">
        <v>40217</v>
      </c>
      <c r="I172" s="173" t="n">
        <v>30026</v>
      </c>
      <c r="J172" s="140" t="s">
        <v>905</v>
      </c>
      <c r="K172" s="140"/>
      <c r="L172" s="175" t="n">
        <v>13185.178512</v>
      </c>
      <c r="M172" s="175" t="n">
        <v>0</v>
      </c>
      <c r="N172" s="175" t="n">
        <v>13032</v>
      </c>
      <c r="O172" s="175"/>
      <c r="P172" s="175" t="n">
        <v>120</v>
      </c>
      <c r="Q172" s="176" t="n">
        <v>3</v>
      </c>
      <c r="R172" s="138" t="n">
        <v>2.75</v>
      </c>
      <c r="S172" s="177" t="n">
        <v>375</v>
      </c>
      <c r="T172" s="215"/>
      <c r="U172" s="259" t="n">
        <v>0.31697056471568</v>
      </c>
      <c r="V172" s="177" t="n">
        <v>4130.76039937474</v>
      </c>
      <c r="W172" s="177" t="n">
        <v>48.5530794509488</v>
      </c>
      <c r="X172" s="179" t="n">
        <v>0.0116174772954795</v>
      </c>
      <c r="Y172" s="177" t="n">
        <v>29.1638117647059</v>
      </c>
      <c r="Z172" s="177" t="n">
        <v>65.1</v>
      </c>
      <c r="AA172" s="177" t="n">
        <v>165.264423076923</v>
      </c>
      <c r="AB172" s="260" t="n">
        <v>4813.84171366732</v>
      </c>
      <c r="AC172" s="215" t="n">
        <v>0.444</v>
      </c>
      <c r="AD172" s="215" t="s">
        <v>88</v>
      </c>
      <c r="AE172" s="177" t="n">
        <v>5786.208</v>
      </c>
      <c r="AF172" s="177" t="n">
        <v>972.366286332683</v>
      </c>
      <c r="AG172" s="181" t="n">
        <v>0.168048968570207</v>
      </c>
      <c r="AH172" s="180" t="n">
        <v>4179.31347882569</v>
      </c>
      <c r="AI172" s="181" t="n">
        <v>0.722288842507163</v>
      </c>
      <c r="AJ172" s="181"/>
      <c r="AK172" s="181" t="s">
        <v>1130</v>
      </c>
      <c r="AL172" s="182" t="n">
        <v>0.369386257954828</v>
      </c>
      <c r="AN172" s="144" t="e">
        <v>#NAME?</v>
      </c>
      <c r="AO172" s="144" t="e">
        <f aca="false">_xlfn.xlookup(AN172,A:A,F:F)</f>
        <v>#NAME?</v>
      </c>
      <c r="AP172" s="144" t="e">
        <f aca="false">_xlfn.xlookup(AN172,A:A,J:J)</f>
        <v>#NAME?</v>
      </c>
      <c r="AQ172" s="144" t="e">
        <f aca="false">_xlfn.xlookup(AN172,A:A,N:N)+_xlfn.xlookup(AN172,A:A,O:O)</f>
        <v>#NAME?</v>
      </c>
      <c r="AR172" s="150" t="e">
        <f aca="false">_xlfn.xlookup(AN172,A:A,AH:AH)</f>
        <v>#NAME?</v>
      </c>
      <c r="AS172" s="150" t="e">
        <f aca="false">_xlfn.xlookup(AN172,A:A,S:S)</f>
        <v>#NAME?</v>
      </c>
      <c r="AT172" s="150" t="e">
        <f aca="false">_xlfn.xlookup(AN172,A:A,AE:AE)</f>
        <v>#NAME?</v>
      </c>
      <c r="AU172" s="150" t="e">
        <f aca="false">_xlfn.xlookup(AN172,A:A,AF:AF)</f>
        <v>#NAME?</v>
      </c>
      <c r="BB172" s="246"/>
      <c r="BC172" s="246"/>
      <c r="BD172" s="246"/>
      <c r="BE172" s="246"/>
      <c r="BF172" s="246"/>
      <c r="BH172" s="152" t="e">
        <f aca="false">_xlfn.xlookup(BG172,A:A,F:F)</f>
        <v>#NAME?</v>
      </c>
      <c r="BI172" s="144" t="e">
        <f aca="false">_xlfn.xlookup(BG172,A:A,J:J)</f>
        <v>#NAME?</v>
      </c>
      <c r="BJ172" s="153" t="e">
        <f aca="false">_xlfn.xlookup(BG172,A:A,N:N)+_xlfn.xlookup(BG172,A:A,O:O)</f>
        <v>#NAME?</v>
      </c>
      <c r="BK172" s="153" t="e">
        <f aca="false">_xlfn.xlookup(BG172,A121:A1115,AB121:AB1115)</f>
        <v>#NAME?</v>
      </c>
      <c r="BQ172" s="144" t="str">
        <f aca="false">IF(VALUE(MONTH(C172))&lt;10,YEAR(C172)&amp;"-0"&amp;MONTH(C172),YEAR(C172)&amp;"-"&amp;MONTH(C172))</f>
        <v>2024-12</v>
      </c>
      <c r="BR172" s="144" t="str">
        <f aca="false">J172</f>
        <v>D11-2</v>
      </c>
      <c r="BS172" s="144" t="str">
        <f aca="false">IF(ISNUMBER(FIND("-", BR172)), LEFT(BR172, FIND("-", BR172) - 1), BR172)</f>
        <v>D11</v>
      </c>
      <c r="BT172" s="189" t="n">
        <f aca="false">L172-M172+O172</f>
        <v>13185.178512</v>
      </c>
    </row>
    <row r="173" customFormat="false" ht="16.4" hidden="false" customHeight="false" outlineLevel="0" collapsed="false">
      <c r="A173" s="140" t="s">
        <v>1131</v>
      </c>
      <c r="B173" s="249" t="s">
        <v>893</v>
      </c>
      <c r="C173" s="174" t="n">
        <v>45663</v>
      </c>
      <c r="D173" s="173" t="n">
        <v>291</v>
      </c>
      <c r="E173" s="138" t="s">
        <v>159</v>
      </c>
      <c r="F173" s="138" t="s">
        <v>726</v>
      </c>
      <c r="G173" s="140" t="n">
        <v>179984</v>
      </c>
      <c r="H173" s="173" t="n">
        <v>40220</v>
      </c>
      <c r="I173" s="173" t="n">
        <v>30025</v>
      </c>
      <c r="J173" s="140" t="s">
        <v>904</v>
      </c>
      <c r="K173" s="140"/>
      <c r="L173" s="175" t="n">
        <v>7589.013168</v>
      </c>
      <c r="M173" s="175" t="n">
        <v>0</v>
      </c>
      <c r="N173" s="175" t="n">
        <v>7344</v>
      </c>
      <c r="O173" s="175"/>
      <c r="P173" s="175" t="n">
        <v>120</v>
      </c>
      <c r="Q173" s="176" t="n">
        <v>2</v>
      </c>
      <c r="R173" s="138" t="n">
        <v>2.75</v>
      </c>
      <c r="S173" s="177" t="n">
        <v>123.5</v>
      </c>
      <c r="T173" s="215"/>
      <c r="U173" s="178" t="n">
        <v>0.369342532440358</v>
      </c>
      <c r="V173" s="177" t="n">
        <v>2712.45155824199</v>
      </c>
      <c r="W173" s="177" t="n">
        <v>90.4937839503548</v>
      </c>
      <c r="X173" s="179" t="n">
        <v>0.032285247446022</v>
      </c>
      <c r="Y173" s="177" t="n">
        <v>29.1638117647059</v>
      </c>
      <c r="Z173" s="177" t="n">
        <v>43.4</v>
      </c>
      <c r="AA173" s="177" t="n">
        <v>165.264423076923</v>
      </c>
      <c r="AB173" s="177" t="n">
        <v>3164.27357703397</v>
      </c>
      <c r="AC173" s="215" t="n">
        <v>0.431</v>
      </c>
      <c r="AD173" s="215" t="s">
        <v>88</v>
      </c>
      <c r="AE173" s="177" t="n">
        <v>3165.264</v>
      </c>
      <c r="AF173" s="177" t="n">
        <v>0.990422966026017</v>
      </c>
      <c r="AG173" s="181" t="n">
        <v>0.000312903747057391</v>
      </c>
      <c r="AH173" s="180" t="n">
        <v>2802.94534219235</v>
      </c>
      <c r="AI173" s="181" t="n">
        <v>0.88553287883486</v>
      </c>
      <c r="AJ173" s="181"/>
      <c r="AK173" s="181" t="s">
        <v>1131</v>
      </c>
      <c r="AL173" s="182" t="n">
        <v>0.430865138485018</v>
      </c>
      <c r="AN173" s="144" t="e">
        <v>#NAME?</v>
      </c>
      <c r="AO173" s="144" t="e">
        <f aca="false">_xlfn.xlookup(AN173,A:A,F:F)</f>
        <v>#NAME?</v>
      </c>
      <c r="AP173" s="144" t="e">
        <f aca="false">_xlfn.xlookup(AN173,A:A,J:J)</f>
        <v>#NAME?</v>
      </c>
      <c r="AQ173" s="144" t="e">
        <f aca="false">_xlfn.xlookup(AN173,A:A,N:N)+_xlfn.xlookup(AN173,A:A,O:O)</f>
        <v>#NAME?</v>
      </c>
      <c r="AR173" s="150" t="e">
        <f aca="false">_xlfn.xlookup(AN173,A:A,AH:AH)</f>
        <v>#NAME?</v>
      </c>
      <c r="AS173" s="150" t="e">
        <f aca="false">_xlfn.xlookup(AN173,A:A,S:S)</f>
        <v>#NAME?</v>
      </c>
      <c r="AT173" s="150" t="e">
        <f aca="false">_xlfn.xlookup(AN173,A:A,AE:AE)</f>
        <v>#NAME?</v>
      </c>
      <c r="AU173" s="150" t="e">
        <f aca="false">_xlfn.xlookup(AN173,A:A,AF:AF)</f>
        <v>#NAME?</v>
      </c>
      <c r="BB173" s="246"/>
      <c r="BC173" s="246"/>
      <c r="BD173" s="246"/>
      <c r="BE173" s="246"/>
      <c r="BF173" s="246"/>
      <c r="BH173" s="152" t="e">
        <f aca="false">_xlfn.xlookup(BG173,A:A,F:F)</f>
        <v>#NAME?</v>
      </c>
      <c r="BI173" s="144" t="e">
        <f aca="false">_xlfn.xlookup(BG173,A:A,J:J)</f>
        <v>#NAME?</v>
      </c>
      <c r="BJ173" s="153" t="e">
        <f aca="false">_xlfn.xlookup(BG173,A:A,N:N)+_xlfn.xlookup(BG173,A:A,O:O)</f>
        <v>#NAME?</v>
      </c>
      <c r="BK173" s="153" t="e">
        <f aca="false">_xlfn.xlookup(BG173,A122:A1116,AB122:AB1116)</f>
        <v>#NAME?</v>
      </c>
      <c r="BQ173" s="144" t="str">
        <f aca="false">IF(VALUE(MONTH(C173))&lt;10,YEAR(C173)&amp;"-0"&amp;MONTH(C173),YEAR(C173)&amp;"-"&amp;MONTH(C173))</f>
        <v>2025-01</v>
      </c>
      <c r="BR173" s="144" t="str">
        <f aca="false">J173</f>
        <v>D11-1</v>
      </c>
      <c r="BS173" s="144" t="str">
        <f aca="false">IF(ISNUMBER(FIND("-", BR173)), LEFT(BR173, FIND("-", BR173) - 1), BR173)</f>
        <v>D11</v>
      </c>
      <c r="BT173" s="189" t="n">
        <f aca="false">L173-M173+O173</f>
        <v>7589.013168</v>
      </c>
    </row>
    <row r="174" customFormat="false" ht="16.4" hidden="false" customHeight="false" outlineLevel="0" collapsed="false">
      <c r="A174" s="140" t="s">
        <v>1132</v>
      </c>
      <c r="B174" s="249" t="s">
        <v>893</v>
      </c>
      <c r="C174" s="174" t="n">
        <v>45664</v>
      </c>
      <c r="D174" s="173" t="n">
        <v>292</v>
      </c>
      <c r="E174" s="138" t="s">
        <v>94</v>
      </c>
      <c r="F174" s="138" t="s">
        <v>522</v>
      </c>
      <c r="G174" s="140" t="n">
        <v>106618</v>
      </c>
      <c r="H174" s="173" t="n">
        <v>40173</v>
      </c>
      <c r="I174" s="173" t="n">
        <v>30011</v>
      </c>
      <c r="J174" s="140" t="s">
        <v>760</v>
      </c>
      <c r="K174" s="140"/>
      <c r="L174" s="175" t="n">
        <v>14230.61568</v>
      </c>
      <c r="M174" s="175" t="n">
        <v>0</v>
      </c>
      <c r="N174" s="175" t="n">
        <v>13932</v>
      </c>
      <c r="O174" s="175"/>
      <c r="P174" s="175" t="n">
        <v>180</v>
      </c>
      <c r="Q174" s="176" t="n">
        <v>3</v>
      </c>
      <c r="R174" s="138" t="n">
        <v>3.25</v>
      </c>
      <c r="S174" s="177" t="n">
        <v>-35.5875</v>
      </c>
      <c r="T174" s="215" t="n">
        <v>1.439</v>
      </c>
      <c r="U174" s="178" t="n">
        <v>0.28357864079936</v>
      </c>
      <c r="V174" s="177" t="n">
        <v>3950.81762361668</v>
      </c>
      <c r="W174" s="177" t="n">
        <v>84.6810286557768</v>
      </c>
      <c r="X174" s="179" t="n">
        <v>0.0209840309593689</v>
      </c>
      <c r="Y174" s="177" t="n">
        <v>43.7457176470588</v>
      </c>
      <c r="Z174" s="177" t="n">
        <v>65.1</v>
      </c>
      <c r="AA174" s="177" t="n">
        <v>195.3125</v>
      </c>
      <c r="AB174" s="177" t="n">
        <v>4304.06936991952</v>
      </c>
      <c r="AC174" s="215" t="n">
        <v>0.27</v>
      </c>
      <c r="AD174" s="215" t="s">
        <v>77</v>
      </c>
      <c r="AE174" s="177" t="n">
        <v>5412.99996</v>
      </c>
      <c r="AF174" s="177" t="n">
        <v>1108.93059008048</v>
      </c>
      <c r="AG174" s="181" t="n">
        <v>0.20486432630243</v>
      </c>
      <c r="AH174" s="180" t="n">
        <v>4035.49865227246</v>
      </c>
      <c r="AI174" s="181" t="n">
        <v>0.745519800867033</v>
      </c>
      <c r="AJ174" s="181"/>
      <c r="AK174" s="181" t="s">
        <v>1132</v>
      </c>
      <c r="AL174" s="182" t="n">
        <v>0.308934063301717</v>
      </c>
      <c r="AN174" s="144" t="e">
        <v>#NAME?</v>
      </c>
      <c r="AO174" s="144" t="e">
        <f aca="false">_xlfn.xlookup(AN174,A:A,F:F)</f>
        <v>#NAME?</v>
      </c>
      <c r="AP174" s="144" t="e">
        <f aca="false">_xlfn.xlookup(AN174,A:A,J:J)</f>
        <v>#NAME?</v>
      </c>
      <c r="AQ174" s="144" t="e">
        <f aca="false">_xlfn.xlookup(AN174,A:A,N:N)+_xlfn.xlookup(AN174,A:A,O:O)</f>
        <v>#NAME?</v>
      </c>
      <c r="AR174" s="150" t="e">
        <f aca="false">_xlfn.xlookup(AN174,A:A,AH:AH)</f>
        <v>#NAME?</v>
      </c>
      <c r="AS174" s="150" t="e">
        <f aca="false">_xlfn.xlookup(AN174,A:A,S:S)</f>
        <v>#NAME?</v>
      </c>
      <c r="AT174" s="150" t="e">
        <f aca="false">_xlfn.xlookup(AN174,A:A,AE:AE)</f>
        <v>#NAME?</v>
      </c>
      <c r="AU174" s="150" t="e">
        <f aca="false">_xlfn.xlookup(AN174,A:A,AF:AF)</f>
        <v>#NAME?</v>
      </c>
      <c r="BB174" s="246"/>
      <c r="BC174" s="246"/>
      <c r="BD174" s="246"/>
      <c r="BE174" s="246"/>
      <c r="BF174" s="246"/>
      <c r="BH174" s="152" t="e">
        <f aca="false">_xlfn.xlookup(BG174,A:A,F:F)</f>
        <v>#NAME?</v>
      </c>
      <c r="BI174" s="144" t="e">
        <f aca="false">_xlfn.xlookup(BG174,A:A,J:J)</f>
        <v>#NAME?</v>
      </c>
      <c r="BJ174" s="153" t="e">
        <f aca="false">_xlfn.xlookup(BG174,A:A,N:N)+_xlfn.xlookup(BG174,A:A,O:O)</f>
        <v>#NAME?</v>
      </c>
      <c r="BK174" s="153" t="e">
        <f aca="false">_xlfn.xlookup(BG174,A123:A1117,AB123:AB1117)</f>
        <v>#NAME?</v>
      </c>
      <c r="BQ174" s="144" t="str">
        <f aca="false">IF(VALUE(MONTH(C174))&lt;10,YEAR(C174)&amp;"-0"&amp;MONTH(C174),YEAR(C174)&amp;"-"&amp;MONTH(C174))</f>
        <v>2025-01</v>
      </c>
      <c r="BR174" s="144" t="str">
        <f aca="false">J174</f>
        <v>S21-1</v>
      </c>
      <c r="BS174" s="144" t="str">
        <f aca="false">IF(ISNUMBER(FIND("-", BR174)), LEFT(BR174, FIND("-", BR174) - 1), BR174)</f>
        <v>S21</v>
      </c>
      <c r="BT174" s="189" t="n">
        <f aca="false">L174-M174+O174</f>
        <v>14230.61568</v>
      </c>
    </row>
    <row r="175" customFormat="false" ht="16.4" hidden="false" customHeight="false" outlineLevel="0" collapsed="false">
      <c r="A175" s="140" t="s">
        <v>1133</v>
      </c>
      <c r="B175" s="249" t="s">
        <v>893</v>
      </c>
      <c r="C175" s="174" t="n">
        <v>45664</v>
      </c>
      <c r="D175" s="173" t="n">
        <v>293</v>
      </c>
      <c r="E175" s="138" t="s">
        <v>94</v>
      </c>
      <c r="F175" s="138" t="s">
        <v>522</v>
      </c>
      <c r="G175" s="140" t="n">
        <v>106246</v>
      </c>
      <c r="H175" s="173" t="n">
        <v>40067</v>
      </c>
      <c r="I175" s="173" t="n">
        <v>30031</v>
      </c>
      <c r="J175" s="140" t="s">
        <v>762</v>
      </c>
      <c r="K175" s="140"/>
      <c r="L175" s="175" t="n">
        <v>3758.7264</v>
      </c>
      <c r="M175" s="175" t="n">
        <v>0</v>
      </c>
      <c r="N175" s="175" t="n">
        <v>3708</v>
      </c>
      <c r="O175" s="175"/>
      <c r="P175" s="175" t="n">
        <v>60</v>
      </c>
      <c r="Q175" s="176" t="n">
        <v>1</v>
      </c>
      <c r="R175" s="138" t="n">
        <v>1.5</v>
      </c>
      <c r="S175" s="177" t="n">
        <v>-11.8625</v>
      </c>
      <c r="T175" s="215" t="n">
        <v>1.439</v>
      </c>
      <c r="U175" s="178" t="n">
        <v>0.258868836762901</v>
      </c>
      <c r="V175" s="177" t="n">
        <v>959.885646716837</v>
      </c>
      <c r="W175" s="177" t="n">
        <v>13.1314841611696</v>
      </c>
      <c r="X175" s="179" t="n">
        <v>0.0134956351172567</v>
      </c>
      <c r="Y175" s="177" t="n">
        <v>14.5819058823529</v>
      </c>
      <c r="Z175" s="177" t="n">
        <v>21.7</v>
      </c>
      <c r="AA175" s="177" t="n">
        <v>90.1442307692308</v>
      </c>
      <c r="AB175" s="177" t="n">
        <v>1087.58076752959</v>
      </c>
      <c r="AC175" s="215" t="n">
        <v>0.28</v>
      </c>
      <c r="AD175" s="215" t="s">
        <v>77</v>
      </c>
      <c r="AE175" s="177" t="n">
        <v>1494.02736</v>
      </c>
      <c r="AF175" s="177" t="n">
        <v>406.44659247041</v>
      </c>
      <c r="AG175" s="181" t="n">
        <v>0.272047623324923</v>
      </c>
      <c r="AH175" s="180" t="n">
        <v>973.017130878007</v>
      </c>
      <c r="AI175" s="181" t="n">
        <v>0.651271293236562</v>
      </c>
      <c r="AJ175" s="181"/>
      <c r="AK175" s="181" t="s">
        <v>1133</v>
      </c>
      <c r="AL175" s="182" t="n">
        <v>0.293306571609922</v>
      </c>
      <c r="AN175" s="144" t="e">
        <v>#NAME?</v>
      </c>
      <c r="AO175" s="144" t="e">
        <f aca="false">_xlfn.xlookup(AN175,A:A,F:F)</f>
        <v>#NAME?</v>
      </c>
      <c r="AP175" s="144" t="e">
        <f aca="false">_xlfn.xlookup(AN175,A:A,J:J)</f>
        <v>#NAME?</v>
      </c>
      <c r="AQ175" s="144" t="e">
        <f aca="false">_xlfn.xlookup(AN175,A:A,N:N)+_xlfn.xlookup(AN175,A:A,O:O)</f>
        <v>#NAME?</v>
      </c>
      <c r="AR175" s="150" t="e">
        <f aca="false">_xlfn.xlookup(AN175,A:A,AH:AH)</f>
        <v>#NAME?</v>
      </c>
      <c r="AS175" s="150" t="e">
        <f aca="false">_xlfn.xlookup(AN175,A:A,S:S)</f>
        <v>#NAME?</v>
      </c>
      <c r="AT175" s="150" t="e">
        <f aca="false">_xlfn.xlookup(AN175,A:A,AE:AE)</f>
        <v>#NAME?</v>
      </c>
      <c r="AU175" s="150" t="e">
        <f aca="false">_xlfn.xlookup(AN175,A:A,AF:AF)</f>
        <v>#NAME?</v>
      </c>
      <c r="BB175" s="246"/>
      <c r="BC175" s="246"/>
      <c r="BD175" s="246"/>
      <c r="BE175" s="246"/>
      <c r="BF175" s="246"/>
      <c r="BH175" s="152" t="e">
        <f aca="false">_xlfn.xlookup(BG175,A:A,F:F)</f>
        <v>#NAME?</v>
      </c>
      <c r="BI175" s="144" t="e">
        <f aca="false">_xlfn.xlookup(BG175,A:A,J:J)</f>
        <v>#NAME?</v>
      </c>
      <c r="BJ175" s="153" t="e">
        <f aca="false">_xlfn.xlookup(BG175,A:A,N:N)+_xlfn.xlookup(BG175,A:A,O:O)</f>
        <v>#NAME?</v>
      </c>
      <c r="BK175" s="153" t="e">
        <f aca="false">_xlfn.xlookup(BG175,A124:A1118,AB124:AB1118)</f>
        <v>#NAME?</v>
      </c>
      <c r="BQ175" s="144" t="str">
        <f aca="false">IF(VALUE(MONTH(C175))&lt;10,YEAR(C175)&amp;"-0"&amp;MONTH(C175),YEAR(C175)&amp;"-"&amp;MONTH(C175))</f>
        <v>2025-01</v>
      </c>
      <c r="BR175" s="144" t="str">
        <f aca="false">J175</f>
        <v>S15-3</v>
      </c>
      <c r="BS175" s="144" t="str">
        <f aca="false">IF(ISNUMBER(FIND("-", BR175)), LEFT(BR175, FIND("-", BR175) - 1), BR175)</f>
        <v>S15</v>
      </c>
      <c r="BT175" s="189" t="n">
        <f aca="false">L175-M175+O175</f>
        <v>3758.7264</v>
      </c>
    </row>
    <row r="176" customFormat="false" ht="16.4" hidden="false" customHeight="false" outlineLevel="0" collapsed="false">
      <c r="A176" s="140" t="s">
        <v>1134</v>
      </c>
      <c r="B176" s="249" t="s">
        <v>893</v>
      </c>
      <c r="C176" s="174" t="n">
        <v>45665</v>
      </c>
      <c r="D176" s="173" t="n">
        <v>287</v>
      </c>
      <c r="E176" s="138" t="s">
        <v>96</v>
      </c>
      <c r="F176" s="138" t="s">
        <v>582</v>
      </c>
      <c r="G176" s="140" t="n">
        <v>1966</v>
      </c>
      <c r="H176" s="173" t="n">
        <v>40212</v>
      </c>
      <c r="I176" s="173" t="n">
        <v>30011</v>
      </c>
      <c r="J176" s="140" t="s">
        <v>760</v>
      </c>
      <c r="K176" s="140"/>
      <c r="L176" s="175" t="n">
        <v>7115.30784</v>
      </c>
      <c r="M176" s="175" t="n">
        <v>3542.112</v>
      </c>
      <c r="N176" s="175" t="n">
        <v>3463.5</v>
      </c>
      <c r="O176" s="175"/>
      <c r="P176" s="175" t="n">
        <v>60</v>
      </c>
      <c r="Q176" s="176" t="n">
        <v>1</v>
      </c>
      <c r="R176" s="138" t="n">
        <v>4</v>
      </c>
      <c r="S176" s="177" t="n">
        <v>0</v>
      </c>
      <c r="T176" s="215"/>
      <c r="U176" s="178" t="n">
        <v>0.28357864079936</v>
      </c>
      <c r="V176" s="177" t="n">
        <v>982.174622408583</v>
      </c>
      <c r="W176" s="177" t="n">
        <v>31.1073972085439</v>
      </c>
      <c r="X176" s="179" t="n">
        <v>0.0154168789976063</v>
      </c>
      <c r="Y176" s="177" t="n">
        <v>14.5819058823529</v>
      </c>
      <c r="Z176" s="177" t="n">
        <v>21.7</v>
      </c>
      <c r="AA176" s="177" t="n">
        <v>240.384615384615</v>
      </c>
      <c r="AB176" s="177" t="n">
        <v>1289.9485408841</v>
      </c>
      <c r="AC176" s="215" t="n">
        <v>0.37</v>
      </c>
      <c r="AD176" s="215" t="s">
        <v>88</v>
      </c>
      <c r="AE176" s="177" t="n">
        <v>1281.495</v>
      </c>
      <c r="AF176" s="177" t="n">
        <v>-8.45354088409545</v>
      </c>
      <c r="AG176" s="181" t="n">
        <v>-0.00659662416481965</v>
      </c>
      <c r="AH176" s="180" t="n">
        <v>1013.28201961713</v>
      </c>
      <c r="AI176" s="181" t="n">
        <v>0.790703061359683</v>
      </c>
      <c r="AJ176" s="181"/>
      <c r="AK176" s="181" t="s">
        <v>1134</v>
      </c>
      <c r="AL176" s="182" t="n">
        <v>0.372440750940983</v>
      </c>
      <c r="AN176" s="144" t="e">
        <v>#NAME?</v>
      </c>
      <c r="AO176" s="144" t="e">
        <f aca="false">_xlfn.xlookup(AN176,A:A,F:F)</f>
        <v>#NAME?</v>
      </c>
      <c r="AP176" s="144" t="e">
        <f aca="false">_xlfn.xlookup(AN176,A:A,J:J)</f>
        <v>#NAME?</v>
      </c>
      <c r="AQ176" s="144" t="e">
        <f aca="false">_xlfn.xlookup(AN176,A:A,N:N)+_xlfn.xlookup(AN176,A:A,O:O)</f>
        <v>#NAME?</v>
      </c>
      <c r="AR176" s="150" t="e">
        <f aca="false">_xlfn.xlookup(AN176,A:A,AH:AH)</f>
        <v>#NAME?</v>
      </c>
      <c r="AS176" s="150" t="e">
        <f aca="false">_xlfn.xlookup(AN176,A:A,S:S)</f>
        <v>#NAME?</v>
      </c>
      <c r="AT176" s="150" t="e">
        <f aca="false">_xlfn.xlookup(AN176,A:A,AE:AE)</f>
        <v>#NAME?</v>
      </c>
      <c r="AU176" s="150" t="e">
        <f aca="false">_xlfn.xlookup(AN176,A:A,AF:AF)</f>
        <v>#NAME?</v>
      </c>
      <c r="BB176" s="246"/>
      <c r="BC176" s="246"/>
      <c r="BD176" s="246"/>
      <c r="BE176" s="246"/>
      <c r="BF176" s="246"/>
      <c r="BH176" s="152" t="e">
        <f aca="false">_xlfn.xlookup(BG176,A:A,F:F)</f>
        <v>#NAME?</v>
      </c>
      <c r="BI176" s="144" t="e">
        <f aca="false">_xlfn.xlookup(BG176,A:A,J:J)</f>
        <v>#NAME?</v>
      </c>
      <c r="BJ176" s="153" t="e">
        <f aca="false">_xlfn.xlookup(BG176,A:A,N:N)+_xlfn.xlookup(BG176,A:A,O:O)</f>
        <v>#NAME?</v>
      </c>
      <c r="BK176" s="153" t="e">
        <f aca="false">_xlfn.xlookup(BG176,A125:A1119,AB125:AB1119)</f>
        <v>#NAME?</v>
      </c>
      <c r="BQ176" s="144" t="str">
        <f aca="false">IF(VALUE(MONTH(C176))&lt;10,YEAR(C176)&amp;"-0"&amp;MONTH(C176),YEAR(C176)&amp;"-"&amp;MONTH(C176))</f>
        <v>2025-01</v>
      </c>
      <c r="BR176" s="144" t="str">
        <f aca="false">J176</f>
        <v>S21-1</v>
      </c>
      <c r="BS176" s="144" t="str">
        <f aca="false">IF(ISNUMBER(FIND("-", BR176)), LEFT(BR176, FIND("-", BR176) - 1), BR176)</f>
        <v>S21</v>
      </c>
      <c r="BT176" s="189" t="n">
        <f aca="false">L176-M176+O176</f>
        <v>3573.19584</v>
      </c>
    </row>
    <row r="177" customFormat="false" ht="16.4" hidden="false" customHeight="false" outlineLevel="0" collapsed="false">
      <c r="A177" s="140" t="s">
        <v>1135</v>
      </c>
      <c r="B177" s="249" t="s">
        <v>893</v>
      </c>
      <c r="C177" s="174" t="n">
        <v>45665</v>
      </c>
      <c r="D177" s="173" t="n">
        <v>0</v>
      </c>
      <c r="E177" s="138" t="s">
        <v>248</v>
      </c>
      <c r="F177" s="138" t="s">
        <v>527</v>
      </c>
      <c r="G177" s="261" t="b">
        <f aca="false">FALSE()</f>
        <v>0</v>
      </c>
      <c r="H177" s="173" t="n">
        <v>0</v>
      </c>
      <c r="I177" s="173" t="n">
        <v>30015</v>
      </c>
      <c r="J177" s="140" t="s">
        <v>762</v>
      </c>
      <c r="K177" s="140"/>
      <c r="L177" s="175" t="n">
        <v>558.9</v>
      </c>
      <c r="M177" s="175" t="n">
        <v>191.16</v>
      </c>
      <c r="N177" s="175" t="n">
        <v>351</v>
      </c>
      <c r="O177" s="175"/>
      <c r="P177" s="175" t="n">
        <v>13</v>
      </c>
      <c r="Q177" s="176" t="n">
        <v>1</v>
      </c>
      <c r="R177" s="138" t="n">
        <v>1</v>
      </c>
      <c r="S177" s="177" t="n">
        <v>0</v>
      </c>
      <c r="T177" s="215"/>
      <c r="U177" s="178" t="n">
        <v>0.268854241086576</v>
      </c>
      <c r="V177" s="177" t="n">
        <v>94.3678386213883</v>
      </c>
      <c r="W177" s="177" t="n">
        <v>4.50061999578926</v>
      </c>
      <c r="X177" s="179" t="n">
        <v>0.0299516908212559</v>
      </c>
      <c r="Y177" s="177" t="n">
        <v>3.15941294117647</v>
      </c>
      <c r="Z177" s="177" t="n">
        <v>21.7</v>
      </c>
      <c r="AA177" s="177" t="n">
        <v>60.0961538461539</v>
      </c>
      <c r="AB177" s="177" t="n">
        <v>183.824025404508</v>
      </c>
      <c r="AC177" s="215"/>
      <c r="AD177" s="215"/>
      <c r="AE177" s="177" t="n">
        <v>0</v>
      </c>
      <c r="AF177" s="177" t="n">
        <v>-183.824025404508</v>
      </c>
      <c r="AG177" s="181"/>
      <c r="AH177" s="180" t="n">
        <v>98.8684586171776</v>
      </c>
      <c r="AI177" s="181"/>
      <c r="AJ177" s="181" t="s">
        <v>895</v>
      </c>
      <c r="AK177" s="181" t="s">
        <v>1135</v>
      </c>
      <c r="AL177" s="182" t="n">
        <v>0.523715172092615</v>
      </c>
      <c r="AN177" s="144" t="e">
        <v>#NAME?</v>
      </c>
      <c r="AO177" s="144" t="e">
        <f aca="false">_xlfn.xlookup(AN177,A:A,F:F)</f>
        <v>#NAME?</v>
      </c>
      <c r="AP177" s="144" t="e">
        <f aca="false">_xlfn.xlookup(AN177,A:A,J:J)</f>
        <v>#NAME?</v>
      </c>
      <c r="AQ177" s="144" t="e">
        <f aca="false">_xlfn.xlookup(AN177,A:A,N:N)+_xlfn.xlookup(AN177,A:A,O:O)</f>
        <v>#NAME?</v>
      </c>
      <c r="AR177" s="150" t="e">
        <f aca="false">_xlfn.xlookup(AN177,A:A,AH:AH)</f>
        <v>#NAME?</v>
      </c>
      <c r="AS177" s="150" t="e">
        <f aca="false">_xlfn.xlookup(AN177,A:A,S:S)</f>
        <v>#NAME?</v>
      </c>
      <c r="AT177" s="150" t="e">
        <f aca="false">_xlfn.xlookup(AN177,A:A,AE:AE)</f>
        <v>#NAME?</v>
      </c>
      <c r="AU177" s="150" t="e">
        <f aca="false">_xlfn.xlookup(AN177,A:A,AF:AF)</f>
        <v>#NAME?</v>
      </c>
      <c r="BB177" s="246"/>
      <c r="BC177" s="246"/>
      <c r="BD177" s="246"/>
      <c r="BE177" s="246"/>
      <c r="BF177" s="246"/>
      <c r="BH177" s="152" t="e">
        <f aca="false">_xlfn.xlookup(BG177,A:A,F:F)</f>
        <v>#NAME?</v>
      </c>
      <c r="BI177" s="144" t="e">
        <f aca="false">_xlfn.xlookup(BG177,A:A,J:J)</f>
        <v>#NAME?</v>
      </c>
      <c r="BJ177" s="153" t="e">
        <f aca="false">_xlfn.xlookup(BG177,A:A,N:N)+_xlfn.xlookup(BG177,A:A,O:O)</f>
        <v>#NAME?</v>
      </c>
      <c r="BK177" s="153" t="e">
        <f aca="false">_xlfn.xlookup(BG177,A126:A1120,AB126:AB1120)</f>
        <v>#NAME?</v>
      </c>
      <c r="BQ177" s="144" t="str">
        <f aca="false">IF(VALUE(MONTH(C177))&lt;10,YEAR(C177)&amp;"-0"&amp;MONTH(C177),YEAR(C177)&amp;"-"&amp;MONTH(C177))</f>
        <v>2025-01</v>
      </c>
      <c r="BR177" s="144" t="str">
        <f aca="false">J177</f>
        <v>S15-3</v>
      </c>
      <c r="BS177" s="144" t="str">
        <f aca="false">IF(ISNUMBER(FIND("-", BR177)), LEFT(BR177, FIND("-", BR177) - 1), BR177)</f>
        <v>S15</v>
      </c>
      <c r="BT177" s="189" t="n">
        <f aca="false">L177-M177+O177</f>
        <v>367.74</v>
      </c>
    </row>
    <row r="178" customFormat="false" ht="16.4" hidden="false" customHeight="false" outlineLevel="0" collapsed="false">
      <c r="A178" s="140" t="s">
        <v>1136</v>
      </c>
      <c r="B178" s="249" t="s">
        <v>893</v>
      </c>
      <c r="C178" s="174" t="n">
        <v>45666</v>
      </c>
      <c r="D178" s="173" t="n">
        <v>294</v>
      </c>
      <c r="E178" s="138" t="s">
        <v>63</v>
      </c>
      <c r="F178" s="138" t="s">
        <v>500</v>
      </c>
      <c r="G178" s="140" t="n">
        <v>50009018</v>
      </c>
      <c r="H178" s="173" t="n">
        <v>40103</v>
      </c>
      <c r="I178" s="173" t="n">
        <v>30025</v>
      </c>
      <c r="J178" s="140" t="s">
        <v>904</v>
      </c>
      <c r="K178" s="140"/>
      <c r="L178" s="175" t="n">
        <v>45534.079008</v>
      </c>
      <c r="M178" s="175" t="n">
        <v>0</v>
      </c>
      <c r="N178" s="175" t="n">
        <v>45036</v>
      </c>
      <c r="O178" s="175"/>
      <c r="P178" s="175" t="n">
        <v>720</v>
      </c>
      <c r="Q178" s="176" t="n">
        <v>6</v>
      </c>
      <c r="R178" s="138" t="n">
        <v>8</v>
      </c>
      <c r="S178" s="177" t="n">
        <v>-161.5</v>
      </c>
      <c r="T178" s="215" t="n">
        <v>1.4422</v>
      </c>
      <c r="U178" s="178" t="n">
        <v>0.369342532440358</v>
      </c>
      <c r="V178" s="177" t="n">
        <v>16633.710290984</v>
      </c>
      <c r="W178" s="177" t="n">
        <v>183.961762170099</v>
      </c>
      <c r="X178" s="179" t="n">
        <v>0.0109385984926254</v>
      </c>
      <c r="Y178" s="177" t="n">
        <v>174.982870588235</v>
      </c>
      <c r="Z178" s="177" t="n">
        <v>130.2</v>
      </c>
      <c r="AA178" s="177" t="n">
        <v>480.769230769231</v>
      </c>
      <c r="AB178" s="177" t="n">
        <v>17442.1241545115</v>
      </c>
      <c r="AC178" s="215" t="n">
        <v>0.31</v>
      </c>
      <c r="AD178" s="215" t="s">
        <v>77</v>
      </c>
      <c r="AE178" s="177" t="n">
        <v>20134.784952</v>
      </c>
      <c r="AF178" s="177" t="n">
        <v>2692.66079748846</v>
      </c>
      <c r="AG178" s="181" t="n">
        <v>0.133731788241473</v>
      </c>
      <c r="AH178" s="180" t="n">
        <v>16817.6720531541</v>
      </c>
      <c r="AI178" s="181" t="n">
        <v>0.835254614998188</v>
      </c>
      <c r="AJ178" s="181"/>
      <c r="AK178" s="181" t="s">
        <v>1136</v>
      </c>
      <c r="AL178" s="182" t="n">
        <v>0.387292924649426</v>
      </c>
      <c r="AN178" s="144" t="e">
        <v>#NAME?</v>
      </c>
      <c r="AO178" s="144" t="e">
        <f aca="false">_xlfn.xlookup(AN178,A:A,F:F)</f>
        <v>#NAME?</v>
      </c>
      <c r="AP178" s="144" t="e">
        <f aca="false">_xlfn.xlookup(AN178,A:A,J:J)</f>
        <v>#NAME?</v>
      </c>
      <c r="AQ178" s="144" t="e">
        <f aca="false">_xlfn.xlookup(AN178,A:A,N:N)+_xlfn.xlookup(AN178,A:A,O:O)</f>
        <v>#NAME?</v>
      </c>
      <c r="AR178" s="150" t="e">
        <f aca="false">_xlfn.xlookup(AN178,A:A,AH:AH)</f>
        <v>#NAME?</v>
      </c>
      <c r="AS178" s="150" t="e">
        <f aca="false">_xlfn.xlookup(AN178,A:A,S:S)</f>
        <v>#NAME?</v>
      </c>
      <c r="AT178" s="150" t="e">
        <f aca="false">_xlfn.xlookup(AN178,A:A,AE:AE)</f>
        <v>#NAME?</v>
      </c>
      <c r="AU178" s="150" t="e">
        <f aca="false">_xlfn.xlookup(AN178,A:A,AF:AF)</f>
        <v>#NAME?</v>
      </c>
      <c r="BB178" s="246"/>
      <c r="BC178" s="246"/>
      <c r="BD178" s="246"/>
      <c r="BE178" s="246"/>
      <c r="BF178" s="246"/>
      <c r="BH178" s="152" t="e">
        <f aca="false">_xlfn.xlookup(BG178,A:A,F:F)</f>
        <v>#NAME?</v>
      </c>
      <c r="BI178" s="144" t="e">
        <f aca="false">_xlfn.xlookup(BG178,A:A,J:J)</f>
        <v>#NAME?</v>
      </c>
      <c r="BJ178" s="153" t="e">
        <f aca="false">_xlfn.xlookup(BG178,A:A,N:N)+_xlfn.xlookup(BG178,A:A,O:O)</f>
        <v>#NAME?</v>
      </c>
      <c r="BK178" s="153" t="e">
        <f aca="false">_xlfn.xlookup(BG178,A127:A1121,AB127:AB1121)</f>
        <v>#NAME?</v>
      </c>
      <c r="BQ178" s="144" t="str">
        <f aca="false">IF(VALUE(MONTH(C178))&lt;10,YEAR(C178)&amp;"-0"&amp;MONTH(C178),YEAR(C178)&amp;"-"&amp;MONTH(C178))</f>
        <v>2025-01</v>
      </c>
      <c r="BR178" s="144" t="str">
        <f aca="false">J178</f>
        <v>D11-1</v>
      </c>
      <c r="BS178" s="144" t="str">
        <f aca="false">IF(ISNUMBER(FIND("-", BR178)), LEFT(BR178, FIND("-", BR178) - 1), BR178)</f>
        <v>D11</v>
      </c>
      <c r="BT178" s="189" t="n">
        <f aca="false">L178-M178+O178</f>
        <v>45534.079008</v>
      </c>
    </row>
    <row r="179" customFormat="false" ht="16.4" hidden="false" customHeight="false" outlineLevel="0" collapsed="false">
      <c r="A179" s="140" t="s">
        <v>1137</v>
      </c>
      <c r="B179" s="249" t="s">
        <v>893</v>
      </c>
      <c r="C179" s="174" t="n">
        <v>45672</v>
      </c>
      <c r="D179" s="173" t="n">
        <v>295</v>
      </c>
      <c r="E179" s="138" t="s">
        <v>194</v>
      </c>
      <c r="F179" s="138" t="s">
        <v>194</v>
      </c>
      <c r="G179" s="140" t="n">
        <v>2501687</v>
      </c>
      <c r="H179" s="173" t="n">
        <v>40223</v>
      </c>
      <c r="I179" s="173" t="n">
        <v>30042</v>
      </c>
      <c r="J179" s="140" t="s">
        <v>754</v>
      </c>
      <c r="K179" s="140"/>
      <c r="L179" s="175" t="n">
        <v>7638.65244</v>
      </c>
      <c r="M179" s="175" t="n">
        <v>0</v>
      </c>
      <c r="N179" s="175" t="n">
        <v>7524</v>
      </c>
      <c r="O179" s="175"/>
      <c r="P179" s="175" t="n">
        <v>60</v>
      </c>
      <c r="Q179" s="176" t="n">
        <v>2</v>
      </c>
      <c r="R179" s="138" t="n">
        <v>1.75</v>
      </c>
      <c r="S179" s="177" t="n">
        <v>101.525</v>
      </c>
      <c r="T179" s="215"/>
      <c r="U179" s="178" t="n">
        <v>0.273486093127953</v>
      </c>
      <c r="V179" s="177" t="n">
        <v>2057.70936469472</v>
      </c>
      <c r="W179" s="177" t="n">
        <v>31.3558478831873</v>
      </c>
      <c r="X179" s="179" t="n">
        <v>0.0150095112849513</v>
      </c>
      <c r="Y179" s="177" t="n">
        <v>14.5819058823529</v>
      </c>
      <c r="Z179" s="177" t="n">
        <v>43.4</v>
      </c>
      <c r="AA179" s="177" t="n">
        <v>105.168269230769</v>
      </c>
      <c r="AB179" s="177" t="n">
        <v>2353.74038769103</v>
      </c>
      <c r="AC179" s="215" t="n">
        <v>0.375</v>
      </c>
      <c r="AD179" s="215" t="s">
        <v>88</v>
      </c>
      <c r="AE179" s="177" t="n">
        <v>2821.5</v>
      </c>
      <c r="AF179" s="177" t="n">
        <v>467.75961230897</v>
      </c>
      <c r="AG179" s="181" t="n">
        <v>0.165784019957104</v>
      </c>
      <c r="AH179" s="180" t="n">
        <v>2089.06521257791</v>
      </c>
      <c r="AI179" s="181" t="n">
        <v>0.740409432067308</v>
      </c>
      <c r="AJ179" s="181"/>
      <c r="AK179" s="181" t="s">
        <v>1137</v>
      </c>
      <c r="AL179" s="182" t="n">
        <v>0.312830992516086</v>
      </c>
      <c r="AN179" s="144" t="e">
        <v>#NAME?</v>
      </c>
      <c r="AO179" s="144" t="e">
        <f aca="false">_xlfn.xlookup(AN179,A:A,F:F)</f>
        <v>#NAME?</v>
      </c>
      <c r="AP179" s="144" t="e">
        <f aca="false">_xlfn.xlookup(AN179,A:A,J:J)</f>
        <v>#NAME?</v>
      </c>
      <c r="AQ179" s="144" t="e">
        <f aca="false">_xlfn.xlookup(AN179,A:A,N:N)+_xlfn.xlookup(AN179,A:A,O:O)</f>
        <v>#NAME?</v>
      </c>
      <c r="AR179" s="150" t="e">
        <f aca="false">_xlfn.xlookup(AN179,A:A,AH:AH)</f>
        <v>#NAME?</v>
      </c>
      <c r="AS179" s="150" t="e">
        <f aca="false">_xlfn.xlookup(AN179,A:A,S:S)</f>
        <v>#NAME?</v>
      </c>
      <c r="AT179" s="150" t="e">
        <f aca="false">_xlfn.xlookup(AN179,A:A,AE:AE)</f>
        <v>#NAME?</v>
      </c>
      <c r="AU179" s="150" t="e">
        <f aca="false">_xlfn.xlookup(AN179,A:A,AF:AF)</f>
        <v>#NAME?</v>
      </c>
      <c r="BB179" s="246"/>
      <c r="BC179" s="246"/>
      <c r="BD179" s="246"/>
      <c r="BE179" s="246"/>
      <c r="BF179" s="246"/>
      <c r="BH179" s="152" t="e">
        <f aca="false">_xlfn.xlookup(BG179,A:A,F:F)</f>
        <v>#NAME?</v>
      </c>
      <c r="BI179" s="144" t="e">
        <f aca="false">_xlfn.xlookup(BG179,A:A,J:J)</f>
        <v>#NAME?</v>
      </c>
      <c r="BJ179" s="153" t="e">
        <f aca="false">_xlfn.xlookup(BG179,A:A,N:N)+_xlfn.xlookup(BG179,A:A,O:O)</f>
        <v>#NAME?</v>
      </c>
      <c r="BK179" s="153" t="e">
        <f aca="false">_xlfn.xlookup(BG179,A128:A1122,AB128:AB1122)</f>
        <v>#NAME?</v>
      </c>
      <c r="BQ179" s="144" t="str">
        <f aca="false">IF(VALUE(MONTH(C179))&lt;10,YEAR(C179)&amp;"-0"&amp;MONTH(C179),YEAR(C179)&amp;"-"&amp;MONTH(C179))</f>
        <v>2025-01</v>
      </c>
      <c r="BR179" s="144" t="str">
        <f aca="false">J179</f>
        <v>T11-1</v>
      </c>
      <c r="BS179" s="144" t="str">
        <f aca="false">IF(ISNUMBER(FIND("-", BR179)), LEFT(BR179, FIND("-", BR179) - 1), BR179)</f>
        <v>T11</v>
      </c>
      <c r="BT179" s="189" t="n">
        <f aca="false">L179-M179+O179</f>
        <v>7638.65244</v>
      </c>
    </row>
    <row r="180" customFormat="false" ht="16.4" hidden="false" customHeight="false" outlineLevel="0" collapsed="false">
      <c r="A180" s="140" t="s">
        <v>1138</v>
      </c>
      <c r="B180" s="249" t="s">
        <v>893</v>
      </c>
      <c r="C180" s="174" t="n">
        <v>45672</v>
      </c>
      <c r="D180" s="173" t="n">
        <v>296</v>
      </c>
      <c r="E180" s="138" t="s">
        <v>194</v>
      </c>
      <c r="F180" s="138" t="s">
        <v>194</v>
      </c>
      <c r="G180" s="140" t="n">
        <v>2501688</v>
      </c>
      <c r="H180" s="173" t="n">
        <v>40224</v>
      </c>
      <c r="I180" s="173" t="n">
        <v>30042</v>
      </c>
      <c r="J180" s="140" t="s">
        <v>754</v>
      </c>
      <c r="K180" s="140"/>
      <c r="L180" s="175" t="n">
        <v>7638.65244</v>
      </c>
      <c r="M180" s="175" t="n">
        <v>0</v>
      </c>
      <c r="N180" s="175" t="n">
        <v>7488</v>
      </c>
      <c r="O180" s="175"/>
      <c r="P180" s="175" t="n">
        <v>60</v>
      </c>
      <c r="Q180" s="176" t="n">
        <v>2</v>
      </c>
      <c r="R180" s="138" t="n">
        <v>0.75</v>
      </c>
      <c r="S180" s="177" t="n">
        <v>101.525</v>
      </c>
      <c r="T180" s="215"/>
      <c r="U180" s="178" t="n">
        <v>0.273486093127953</v>
      </c>
      <c r="V180" s="177" t="n">
        <v>2047.86386534211</v>
      </c>
      <c r="W180" s="177" t="n">
        <v>41.2013472357939</v>
      </c>
      <c r="X180" s="179" t="n">
        <v>0.0197223844366981</v>
      </c>
      <c r="Y180" s="177" t="n">
        <v>14.5819058823529</v>
      </c>
      <c r="Z180" s="177" t="n">
        <v>43.4</v>
      </c>
      <c r="AA180" s="177" t="n">
        <v>45.0721153846154</v>
      </c>
      <c r="AB180" s="177" t="n">
        <v>2293.64423384488</v>
      </c>
      <c r="AC180" s="215" t="n">
        <v>0.388</v>
      </c>
      <c r="AD180" s="215" t="s">
        <v>88</v>
      </c>
      <c r="AE180" s="177" t="n">
        <v>2905.344</v>
      </c>
      <c r="AF180" s="177" t="n">
        <v>611.699766155123</v>
      </c>
      <c r="AG180" s="181" t="n">
        <v>0.210542973966292</v>
      </c>
      <c r="AH180" s="180" t="n">
        <v>2089.06521257791</v>
      </c>
      <c r="AI180" s="181" t="n">
        <v>0.719042293297423</v>
      </c>
      <c r="AJ180" s="181"/>
      <c r="AK180" s="181" t="s">
        <v>1138</v>
      </c>
      <c r="AL180" s="182" t="n">
        <v>0.306309326101079</v>
      </c>
      <c r="AN180" s="144" t="e">
        <v>#NAME?</v>
      </c>
      <c r="AO180" s="144" t="e">
        <f aca="false">_xlfn.xlookup(AN180,A:A,F:F)</f>
        <v>#NAME?</v>
      </c>
      <c r="AP180" s="144" t="e">
        <f aca="false">_xlfn.xlookup(AN180,A:A,J:J)</f>
        <v>#NAME?</v>
      </c>
      <c r="AQ180" s="144" t="e">
        <f aca="false">_xlfn.xlookup(AN180,A:A,N:N)+_xlfn.xlookup(AN180,A:A,O:O)</f>
        <v>#NAME?</v>
      </c>
      <c r="AR180" s="150" t="e">
        <f aca="false">_xlfn.xlookup(AN180,A:A,AH:AH)</f>
        <v>#NAME?</v>
      </c>
      <c r="AS180" s="150" t="e">
        <f aca="false">_xlfn.xlookup(AN180,A:A,S:S)</f>
        <v>#NAME?</v>
      </c>
      <c r="AT180" s="150" t="e">
        <f aca="false">_xlfn.xlookup(AN180,A:A,AE:AE)</f>
        <v>#NAME?</v>
      </c>
      <c r="AU180" s="150" t="e">
        <f aca="false">_xlfn.xlookup(AN180,A:A,AF:AF)</f>
        <v>#NAME?</v>
      </c>
      <c r="BB180" s="246"/>
      <c r="BC180" s="246"/>
      <c r="BD180" s="246"/>
      <c r="BE180" s="246"/>
      <c r="BF180" s="246"/>
      <c r="BH180" s="152" t="e">
        <f aca="false">_xlfn.xlookup(BG180,A:A,F:F)</f>
        <v>#NAME?</v>
      </c>
      <c r="BI180" s="144" t="e">
        <f aca="false">_xlfn.xlookup(BG180,A:A,J:J)</f>
        <v>#NAME?</v>
      </c>
      <c r="BJ180" s="153" t="e">
        <f aca="false">_xlfn.xlookup(BG180,A:A,N:N)+_xlfn.xlookup(BG180,A:A,O:O)</f>
        <v>#NAME?</v>
      </c>
      <c r="BK180" s="153" t="e">
        <f aca="false">_xlfn.xlookup(BG180,A129:A1123,AB129:AB1123)</f>
        <v>#NAME?</v>
      </c>
      <c r="BQ180" s="144" t="str">
        <f aca="false">IF(VALUE(MONTH(C180))&lt;10,YEAR(C180)&amp;"-0"&amp;MONTH(C180),YEAR(C180)&amp;"-"&amp;MONTH(C180))</f>
        <v>2025-01</v>
      </c>
      <c r="BR180" s="144" t="str">
        <f aca="false">J180</f>
        <v>T11-1</v>
      </c>
      <c r="BS180" s="144" t="str">
        <f aca="false">IF(ISNUMBER(FIND("-", BR180)), LEFT(BR180, FIND("-", BR180) - 1), BR180)</f>
        <v>T11</v>
      </c>
      <c r="BT180" s="189" t="n">
        <f aca="false">L180-M180+O180</f>
        <v>7638.65244</v>
      </c>
    </row>
    <row r="181" customFormat="false" ht="16.4" hidden="false" customHeight="false" outlineLevel="0" collapsed="false">
      <c r="A181" s="140" t="s">
        <v>1139</v>
      </c>
      <c r="B181" s="249" t="s">
        <v>893</v>
      </c>
      <c r="C181" s="174" t="n">
        <v>45667</v>
      </c>
      <c r="D181" s="173" t="n">
        <v>297</v>
      </c>
      <c r="E181" s="138" t="s">
        <v>94</v>
      </c>
      <c r="F181" s="138" t="s">
        <v>522</v>
      </c>
      <c r="G181" s="140" t="n">
        <v>106713</v>
      </c>
      <c r="H181" s="173" t="n">
        <v>40117</v>
      </c>
      <c r="I181" s="173" t="n">
        <v>30036</v>
      </c>
      <c r="J181" s="140" t="s">
        <v>762</v>
      </c>
      <c r="K181" s="140"/>
      <c r="L181" s="175" t="n">
        <v>14228.94792</v>
      </c>
      <c r="M181" s="175" t="n">
        <v>10625.6304</v>
      </c>
      <c r="N181" s="175" t="n">
        <v>3456</v>
      </c>
      <c r="O181" s="175"/>
      <c r="P181" s="175" t="n">
        <v>60</v>
      </c>
      <c r="Q181" s="176" t="n">
        <v>1</v>
      </c>
      <c r="R181" s="138" t="n">
        <v>1.5</v>
      </c>
      <c r="S181" s="177" t="n">
        <v>-10.77</v>
      </c>
      <c r="T181" s="215" t="n">
        <v>1.4411</v>
      </c>
      <c r="U181" s="178" t="n">
        <v>0.258256828537349</v>
      </c>
      <c r="V181" s="177" t="n">
        <v>892.535599425077</v>
      </c>
      <c r="W181" s="177" t="n">
        <v>38.0457555031876</v>
      </c>
      <c r="X181" s="179" t="n">
        <v>0.0103533670112696</v>
      </c>
      <c r="Y181" s="177" t="n">
        <v>14.5819058823529</v>
      </c>
      <c r="Z181" s="177" t="n">
        <v>21.7</v>
      </c>
      <c r="AA181" s="177" t="n">
        <v>90.1442307692308</v>
      </c>
      <c r="AB181" s="177" t="n">
        <v>1046.23749157985</v>
      </c>
      <c r="AC181" s="215" t="n">
        <v>0.28</v>
      </c>
      <c r="AD181" s="215" t="s">
        <v>77</v>
      </c>
      <c r="AE181" s="177" t="n">
        <v>1394.523648</v>
      </c>
      <c r="AF181" s="177" t="n">
        <v>348.286156420152</v>
      </c>
      <c r="AG181" s="181" t="n">
        <v>0.249752778964815</v>
      </c>
      <c r="AH181" s="180" t="n">
        <v>930.581354928264</v>
      </c>
      <c r="AI181" s="181" t="n">
        <v>0.66731127597792</v>
      </c>
      <c r="AJ181" s="181"/>
      <c r="AK181" s="181" t="s">
        <v>1139</v>
      </c>
      <c r="AL181" s="182" t="n">
        <v>0.302730755665465</v>
      </c>
      <c r="AN181" s="144" t="e">
        <v>#NAME?</v>
      </c>
      <c r="AO181" s="144" t="e">
        <f aca="false">_xlfn.xlookup(AN181,A:A,F:F)</f>
        <v>#NAME?</v>
      </c>
      <c r="AP181" s="144" t="e">
        <f aca="false">_xlfn.xlookup(AN181,A:A,J:J)</f>
        <v>#NAME?</v>
      </c>
      <c r="AQ181" s="144" t="e">
        <f aca="false">_xlfn.xlookup(AN181,A:A,N:N)+_xlfn.xlookup(AN181,A:A,O:O)</f>
        <v>#NAME?</v>
      </c>
      <c r="AR181" s="150" t="e">
        <f aca="false">_xlfn.xlookup(AN181,A:A,AH:AH)</f>
        <v>#NAME?</v>
      </c>
      <c r="AS181" s="150" t="e">
        <f aca="false">_xlfn.xlookup(AN181,A:A,S:S)</f>
        <v>#NAME?</v>
      </c>
      <c r="AT181" s="150" t="e">
        <f aca="false">_xlfn.xlookup(AN181,A:A,AE:AE)</f>
        <v>#NAME?</v>
      </c>
      <c r="AU181" s="150" t="e">
        <f aca="false">_xlfn.xlookup(AN181,A:A,AF:AF)</f>
        <v>#NAME?</v>
      </c>
      <c r="BB181" s="246"/>
      <c r="BC181" s="246"/>
      <c r="BD181" s="246"/>
      <c r="BE181" s="246"/>
      <c r="BF181" s="246"/>
      <c r="BH181" s="152" t="e">
        <f aca="false">_xlfn.xlookup(BG181,A:A,F:F)</f>
        <v>#NAME?</v>
      </c>
      <c r="BI181" s="144" t="e">
        <f aca="false">_xlfn.xlookup(BG181,A:A,J:J)</f>
        <v>#NAME?</v>
      </c>
      <c r="BJ181" s="153" t="e">
        <f aca="false">_xlfn.xlookup(BG181,A:A,N:N)+_xlfn.xlookup(BG181,A:A,O:O)</f>
        <v>#NAME?</v>
      </c>
      <c r="BK181" s="153" t="e">
        <f aca="false">_xlfn.xlookup(BG181,A130:A1124,AB130:AB1124)</f>
        <v>#NAME?</v>
      </c>
      <c r="BQ181" s="144" t="str">
        <f aca="false">IF(VALUE(MONTH(C181))&lt;10,YEAR(C181)&amp;"-0"&amp;MONTH(C181),YEAR(C181)&amp;"-"&amp;MONTH(C181))</f>
        <v>2025-01</v>
      </c>
      <c r="BR181" s="144" t="str">
        <f aca="false">J181</f>
        <v>S15-3</v>
      </c>
      <c r="BS181" s="144" t="str">
        <f aca="false">IF(ISNUMBER(FIND("-", BR181)), LEFT(BR181, FIND("-", BR181) - 1), BR181)</f>
        <v>S15</v>
      </c>
      <c r="BT181" s="189" t="n">
        <f aca="false">L181-M181+O181</f>
        <v>3603.31752</v>
      </c>
    </row>
    <row r="182" customFormat="false" ht="16.4" hidden="false" customHeight="false" outlineLevel="0" collapsed="false">
      <c r="A182" s="140" t="s">
        <v>1140</v>
      </c>
      <c r="B182" s="249" t="s">
        <v>893</v>
      </c>
      <c r="C182" s="174" t="n">
        <v>45670</v>
      </c>
      <c r="D182" s="173" t="n">
        <v>298</v>
      </c>
      <c r="E182" s="138" t="s">
        <v>210</v>
      </c>
      <c r="F182" s="138" t="s">
        <v>575</v>
      </c>
      <c r="G182" s="140" t="n">
        <v>2985</v>
      </c>
      <c r="H182" s="173" t="n">
        <v>40227</v>
      </c>
      <c r="I182" s="173" t="n">
        <v>30036</v>
      </c>
      <c r="J182" s="140" t="s">
        <v>762</v>
      </c>
      <c r="K182" s="140"/>
      <c r="L182" s="175" t="n">
        <v>10625.6304</v>
      </c>
      <c r="M182" s="175" t="n">
        <v>3614.16</v>
      </c>
      <c r="N182" s="175" t="n">
        <v>6912</v>
      </c>
      <c r="O182" s="175"/>
      <c r="P182" s="175" t="n">
        <v>60</v>
      </c>
      <c r="Q182" s="176" t="n">
        <v>2</v>
      </c>
      <c r="R182" s="138" t="n">
        <v>2</v>
      </c>
      <c r="S182" s="177" t="n">
        <v>285.02</v>
      </c>
      <c r="T182" s="215"/>
      <c r="U182" s="178" t="n">
        <v>0.258256828537349</v>
      </c>
      <c r="V182" s="177" t="n">
        <v>1785.07119885015</v>
      </c>
      <c r="W182" s="177" t="n">
        <v>25.6889100373415</v>
      </c>
      <c r="X182" s="179" t="n">
        <v>0.0093613645737198</v>
      </c>
      <c r="Y182" s="177" t="n">
        <v>14.5819058823529</v>
      </c>
      <c r="Z182" s="177" t="n">
        <v>43.4</v>
      </c>
      <c r="AA182" s="177" t="n">
        <v>120.192307692308</v>
      </c>
      <c r="AB182" s="177" t="n">
        <v>2273.95432246216</v>
      </c>
      <c r="AC182" s="215" t="n">
        <v>0.363</v>
      </c>
      <c r="AD182" s="215" t="s">
        <v>88</v>
      </c>
      <c r="AE182" s="177" t="n">
        <v>2509.056</v>
      </c>
      <c r="AF182" s="177" t="n">
        <v>235.101677537844</v>
      </c>
      <c r="AG182" s="181" t="n">
        <v>0.0937012476157744</v>
      </c>
      <c r="AH182" s="180" t="n">
        <v>1810.76010888749</v>
      </c>
      <c r="AI182" s="181" t="n">
        <v>0.721689794443605</v>
      </c>
      <c r="AJ182" s="181"/>
      <c r="AK182" s="181" t="s">
        <v>1140</v>
      </c>
      <c r="AL182" s="182" t="n">
        <v>0.328986447115474</v>
      </c>
      <c r="AN182" s="144" t="e">
        <v>#NAME?</v>
      </c>
      <c r="AO182" s="144" t="e">
        <f aca="false">_xlfn.xlookup(AN182,A:A,F:F)</f>
        <v>#NAME?</v>
      </c>
      <c r="AP182" s="144" t="e">
        <f aca="false">_xlfn.xlookup(AN182,A:A,J:J)</f>
        <v>#NAME?</v>
      </c>
      <c r="AQ182" s="144" t="e">
        <f aca="false">_xlfn.xlookup(AN182,A:A,N:N)+_xlfn.xlookup(AN182,A:A,O:O)</f>
        <v>#NAME?</v>
      </c>
      <c r="AR182" s="150" t="e">
        <f aca="false">_xlfn.xlookup(AN182,A:A,AH:AH)</f>
        <v>#NAME?</v>
      </c>
      <c r="AS182" s="150" t="e">
        <f aca="false">_xlfn.xlookup(AN182,A:A,S:S)</f>
        <v>#NAME?</v>
      </c>
      <c r="AT182" s="150" t="e">
        <f aca="false">_xlfn.xlookup(AN182,A:A,AE:AE)</f>
        <v>#NAME?</v>
      </c>
      <c r="AU182" s="150" t="e">
        <f aca="false">_xlfn.xlookup(AN182,A:A,AF:AF)</f>
        <v>#NAME?</v>
      </c>
      <c r="BB182" s="246"/>
      <c r="BC182" s="246"/>
      <c r="BD182" s="246"/>
      <c r="BE182" s="246"/>
      <c r="BF182" s="246"/>
      <c r="BH182" s="152" t="e">
        <f aca="false">_xlfn.xlookup(BG182,A:A,F:F)</f>
        <v>#NAME?</v>
      </c>
      <c r="BI182" s="144" t="e">
        <f aca="false">_xlfn.xlookup(BG182,A:A,J:J)</f>
        <v>#NAME?</v>
      </c>
      <c r="BJ182" s="153" t="e">
        <f aca="false">_xlfn.xlookup(BG182,A:A,N:N)+_xlfn.xlookup(BG182,A:A,O:O)</f>
        <v>#NAME?</v>
      </c>
      <c r="BK182" s="153" t="e">
        <f aca="false">_xlfn.xlookup(BG182,A131:A1125,AB131:AB1125)</f>
        <v>#NAME?</v>
      </c>
      <c r="BQ182" s="144" t="str">
        <f aca="false">IF(VALUE(MONTH(C182))&lt;10,YEAR(C182)&amp;"-0"&amp;MONTH(C182),YEAR(C182)&amp;"-"&amp;MONTH(C182))</f>
        <v>2025-01</v>
      </c>
      <c r="BR182" s="144" t="str">
        <f aca="false">J182</f>
        <v>S15-3</v>
      </c>
      <c r="BS182" s="144" t="str">
        <f aca="false">IF(ISNUMBER(FIND("-", BR182)), LEFT(BR182, FIND("-", BR182) - 1), BR182)</f>
        <v>S15</v>
      </c>
      <c r="BT182" s="189" t="n">
        <f aca="false">L182-M182+O182</f>
        <v>7011.4704</v>
      </c>
    </row>
    <row r="183" customFormat="false" ht="16.4" hidden="false" customHeight="false" outlineLevel="0" collapsed="false">
      <c r="A183" s="140" t="s">
        <v>1141</v>
      </c>
      <c r="B183" s="249" t="s">
        <v>893</v>
      </c>
      <c r="C183" s="174" t="n">
        <v>45671</v>
      </c>
      <c r="D183" s="173" t="n">
        <v>299</v>
      </c>
      <c r="E183" s="138" t="s">
        <v>131</v>
      </c>
      <c r="F183" s="138" t="s">
        <v>131</v>
      </c>
      <c r="G183" s="140" t="s">
        <v>208</v>
      </c>
      <c r="H183" s="173" t="n">
        <v>40230</v>
      </c>
      <c r="I183" s="173" t="n">
        <v>30025</v>
      </c>
      <c r="J183" s="140" t="s">
        <v>904</v>
      </c>
      <c r="K183" s="140"/>
      <c r="L183" s="175" t="n">
        <v>2636.7</v>
      </c>
      <c r="M183" s="175" t="n">
        <v>2601</v>
      </c>
      <c r="N183" s="175" t="n">
        <v>0</v>
      </c>
      <c r="O183" s="175"/>
      <c r="P183" s="175" t="n">
        <v>42.501</v>
      </c>
      <c r="Q183" s="176" t="n">
        <v>1</v>
      </c>
      <c r="R183" s="138" t="n">
        <v>1</v>
      </c>
      <c r="S183" s="177" t="n">
        <v>0</v>
      </c>
      <c r="T183" s="215"/>
      <c r="U183" s="178" t="n">
        <v>0.369342532440358</v>
      </c>
      <c r="V183" s="177" t="n">
        <v>0</v>
      </c>
      <c r="W183" s="177" t="n">
        <v>13.1855284081207</v>
      </c>
      <c r="X183" s="179" t="n">
        <v>0.0135396518375241</v>
      </c>
      <c r="Y183" s="177" t="n">
        <v>10.3290930317647</v>
      </c>
      <c r="Z183" s="177" t="n">
        <v>21.7</v>
      </c>
      <c r="AA183" s="177" t="n">
        <v>60.0961538461539</v>
      </c>
      <c r="AB183" s="177" t="n">
        <v>105.310775286039</v>
      </c>
      <c r="AC183" s="215" t="n">
        <v>0</v>
      </c>
      <c r="AD183" s="215" t="s">
        <v>88</v>
      </c>
      <c r="AE183" s="177" t="n">
        <v>0</v>
      </c>
      <c r="AF183" s="177" t="n">
        <v>-105.310775286039</v>
      </c>
      <c r="AG183" s="181"/>
      <c r="AH183" s="180" t="n">
        <v>13.1855284081207</v>
      </c>
      <c r="AI183" s="181"/>
      <c r="AJ183" s="181" t="s">
        <v>895</v>
      </c>
      <c r="AK183" s="181" t="s">
        <v>1141</v>
      </c>
      <c r="AL183" s="182" t="n">
        <v>0.414900511561527</v>
      </c>
      <c r="AN183" s="144" t="e">
        <v>#NAME?</v>
      </c>
      <c r="AO183" s="144" t="e">
        <f aca="false">_xlfn.xlookup(AN183,A:A,F:F)</f>
        <v>#NAME?</v>
      </c>
      <c r="AP183" s="144" t="e">
        <f aca="false">_xlfn.xlookup(AN183,A:A,J:J)</f>
        <v>#NAME?</v>
      </c>
      <c r="AQ183" s="144" t="e">
        <f aca="false">_xlfn.xlookup(AN183,A:A,N:N)+_xlfn.xlookup(AN183,A:A,O:O)</f>
        <v>#NAME?</v>
      </c>
      <c r="AR183" s="150" t="e">
        <f aca="false">_xlfn.xlookup(AN183,A:A,AH:AH)</f>
        <v>#NAME?</v>
      </c>
      <c r="AS183" s="150" t="e">
        <f aca="false">_xlfn.xlookup(AN183,A:A,S:S)</f>
        <v>#NAME?</v>
      </c>
      <c r="AT183" s="150" t="e">
        <f aca="false">_xlfn.xlookup(AN183,A:A,AE:AE)</f>
        <v>#NAME?</v>
      </c>
      <c r="AU183" s="150" t="e">
        <f aca="false">_xlfn.xlookup(AN183,A:A,AF:AF)</f>
        <v>#NAME?</v>
      </c>
      <c r="BB183" s="246"/>
      <c r="BC183" s="246"/>
      <c r="BD183" s="246"/>
      <c r="BE183" s="246"/>
      <c r="BF183" s="246"/>
      <c r="BH183" s="152" t="e">
        <f aca="false">_xlfn.xlookup(BG183,A:A,F:F)</f>
        <v>#NAME?</v>
      </c>
      <c r="BI183" s="144" t="e">
        <f aca="false">_xlfn.xlookup(BG183,A:A,J:J)</f>
        <v>#NAME?</v>
      </c>
      <c r="BJ183" s="153" t="e">
        <f aca="false">_xlfn.xlookup(BG183,A:A,N:N)+_xlfn.xlookup(BG183,A:A,O:O)</f>
        <v>#NAME?</v>
      </c>
      <c r="BK183" s="153" t="e">
        <f aca="false">_xlfn.xlookup(BG183,A132:A1126,AB132:AB1126)</f>
        <v>#NAME?</v>
      </c>
      <c r="BQ183" s="144" t="str">
        <f aca="false">IF(VALUE(MONTH(C183))&lt;10,YEAR(C183)&amp;"-0"&amp;MONTH(C183),YEAR(C183)&amp;"-"&amp;MONTH(C183))</f>
        <v>2025-01</v>
      </c>
      <c r="BR183" s="144" t="str">
        <f aca="false">J183</f>
        <v>D11-1</v>
      </c>
      <c r="BS183" s="144" t="str">
        <f aca="false">IF(ISNUMBER(FIND("-", BR183)), LEFT(BR183, FIND("-", BR183) - 1), BR183)</f>
        <v>D11</v>
      </c>
      <c r="BT183" s="189" t="n">
        <f aca="false">L183-M183+O183</f>
        <v>35.6999999999998</v>
      </c>
    </row>
    <row r="184" customFormat="false" ht="16.4" hidden="false" customHeight="false" outlineLevel="0" collapsed="false">
      <c r="A184" s="140" t="s">
        <v>1142</v>
      </c>
      <c r="B184" s="249" t="s">
        <v>893</v>
      </c>
      <c r="C184" s="174" t="n">
        <v>45671</v>
      </c>
      <c r="D184" s="173" t="n">
        <v>300</v>
      </c>
      <c r="E184" s="138" t="s">
        <v>159</v>
      </c>
      <c r="F184" s="138" t="s">
        <v>726</v>
      </c>
      <c r="G184" s="140" t="n">
        <v>179986</v>
      </c>
      <c r="H184" s="173" t="n">
        <v>40228</v>
      </c>
      <c r="I184" s="173" t="n">
        <v>30025</v>
      </c>
      <c r="J184" s="140" t="s">
        <v>904</v>
      </c>
      <c r="K184" s="140"/>
      <c r="L184" s="175" t="n">
        <v>7589.013168</v>
      </c>
      <c r="M184" s="175" t="n">
        <v>0</v>
      </c>
      <c r="N184" s="175" t="n">
        <v>7488</v>
      </c>
      <c r="O184" s="175"/>
      <c r="P184" s="175" t="n">
        <v>60</v>
      </c>
      <c r="Q184" s="176" t="n">
        <v>2</v>
      </c>
      <c r="R184" s="138" t="n">
        <v>2</v>
      </c>
      <c r="S184" s="177" t="n">
        <v>124.45</v>
      </c>
      <c r="T184" s="215"/>
      <c r="U184" s="178" t="n">
        <v>0.369342532440358</v>
      </c>
      <c r="V184" s="177" t="n">
        <v>2765.6368829134</v>
      </c>
      <c r="W184" s="177" t="n">
        <v>37.3084592789435</v>
      </c>
      <c r="X184" s="179" t="n">
        <v>0.0133104483763363</v>
      </c>
      <c r="Y184" s="177" t="n">
        <v>14.5819058823529</v>
      </c>
      <c r="Z184" s="177" t="n">
        <v>43.4</v>
      </c>
      <c r="AA184" s="177" t="n">
        <v>120.192307692308</v>
      </c>
      <c r="AB184" s="177" t="n">
        <v>3105.56955576701</v>
      </c>
      <c r="AC184" s="215" t="n">
        <v>0.431</v>
      </c>
      <c r="AD184" s="215" t="s">
        <v>88</v>
      </c>
      <c r="AE184" s="177" t="n">
        <v>3227.328</v>
      </c>
      <c r="AF184" s="177" t="n">
        <v>121.758444232993</v>
      </c>
      <c r="AG184" s="181" t="n">
        <v>0.0377273224887563</v>
      </c>
      <c r="AH184" s="180" t="n">
        <v>2802.94534219235</v>
      </c>
      <c r="AI184" s="181" t="n">
        <v>0.868503400395729</v>
      </c>
      <c r="AJ184" s="181"/>
      <c r="AK184" s="181" t="s">
        <v>1142</v>
      </c>
      <c r="AL184" s="182" t="n">
        <v>0.414739524007346</v>
      </c>
      <c r="AN184" s="144" t="e">
        <v>#NAME?</v>
      </c>
      <c r="AO184" s="144" t="e">
        <f aca="false">_xlfn.xlookup(AN184,A:A,F:F)</f>
        <v>#NAME?</v>
      </c>
      <c r="AP184" s="144" t="e">
        <f aca="false">_xlfn.xlookup(AN184,A:A,J:J)</f>
        <v>#NAME?</v>
      </c>
      <c r="AQ184" s="144" t="e">
        <f aca="false">_xlfn.xlookup(AN184,A:A,N:N)+_xlfn.xlookup(AN184,A:A,O:O)</f>
        <v>#NAME?</v>
      </c>
      <c r="AR184" s="150" t="e">
        <f aca="false">_xlfn.xlookup(AN184,A:A,AH:AH)</f>
        <v>#NAME?</v>
      </c>
      <c r="AS184" s="150" t="e">
        <f aca="false">_xlfn.xlookup(AN184,A:A,S:S)</f>
        <v>#NAME?</v>
      </c>
      <c r="AT184" s="150" t="e">
        <f aca="false">_xlfn.xlookup(AN184,A:A,AE:AE)</f>
        <v>#NAME?</v>
      </c>
      <c r="AU184" s="150" t="e">
        <f aca="false">_xlfn.xlookup(AN184,A:A,AF:AF)</f>
        <v>#NAME?</v>
      </c>
      <c r="BB184" s="246"/>
      <c r="BC184" s="246"/>
      <c r="BD184" s="246"/>
      <c r="BE184" s="246"/>
      <c r="BF184" s="246"/>
      <c r="BH184" s="152" t="e">
        <f aca="false">_xlfn.xlookup(BG184,A:A,F:F)</f>
        <v>#NAME?</v>
      </c>
      <c r="BI184" s="144" t="e">
        <f aca="false">_xlfn.xlookup(BG184,A:A,J:J)</f>
        <v>#NAME?</v>
      </c>
      <c r="BJ184" s="153" t="e">
        <f aca="false">_xlfn.xlookup(BG184,A:A,N:N)+_xlfn.xlookup(BG184,A:A,O:O)</f>
        <v>#NAME?</v>
      </c>
      <c r="BK184" s="153" t="e">
        <f aca="false">_xlfn.xlookup(BG184,A133:A1127,AB133:AB1127)</f>
        <v>#NAME?</v>
      </c>
      <c r="BQ184" s="144" t="str">
        <f aca="false">IF(VALUE(MONTH(C184))&lt;10,YEAR(C184)&amp;"-0"&amp;MONTH(C184),YEAR(C184)&amp;"-"&amp;MONTH(C184))</f>
        <v>2025-01</v>
      </c>
      <c r="BR184" s="144" t="str">
        <f aca="false">J184</f>
        <v>D11-1</v>
      </c>
      <c r="BS184" s="144" t="str">
        <f aca="false">IF(ISNUMBER(FIND("-", BR184)), LEFT(BR184, FIND("-", BR184) - 1), BR184)</f>
        <v>D11</v>
      </c>
      <c r="BT184" s="189" t="n">
        <f aca="false">L184-M184+O184</f>
        <v>7589.013168</v>
      </c>
    </row>
    <row r="185" customFormat="false" ht="16.4" hidden="false" customHeight="false" outlineLevel="0" collapsed="false">
      <c r="A185" s="140" t="s">
        <v>1143</v>
      </c>
      <c r="B185" s="249" t="s">
        <v>893</v>
      </c>
      <c r="C185" s="174" t="n">
        <v>45673</v>
      </c>
      <c r="D185" s="173" t="n">
        <v>301</v>
      </c>
      <c r="E185" s="138" t="s">
        <v>120</v>
      </c>
      <c r="F185" s="138" t="s">
        <v>617</v>
      </c>
      <c r="G185" s="140" t="n">
        <v>14339</v>
      </c>
      <c r="H185" s="173" t="n">
        <v>40231</v>
      </c>
      <c r="I185" s="173" t="n">
        <v>30042</v>
      </c>
      <c r="J185" s="140" t="s">
        <v>754</v>
      </c>
      <c r="K185" s="140"/>
      <c r="L185" s="175" t="n">
        <v>7638.65244</v>
      </c>
      <c r="M185" s="175" t="n">
        <v>0</v>
      </c>
      <c r="N185" s="175" t="n">
        <v>7488</v>
      </c>
      <c r="O185" s="175"/>
      <c r="P185" s="175" t="n">
        <v>60</v>
      </c>
      <c r="Q185" s="176" t="n">
        <v>2</v>
      </c>
      <c r="R185" s="138" t="n">
        <v>1</v>
      </c>
      <c r="S185" s="177" t="n">
        <v>88.248</v>
      </c>
      <c r="T185" s="215"/>
      <c r="U185" s="178" t="n">
        <v>0.273486093127953</v>
      </c>
      <c r="V185" s="177" t="n">
        <v>2047.86386534211</v>
      </c>
      <c r="W185" s="177" t="n">
        <v>41.2013472357936</v>
      </c>
      <c r="X185" s="179" t="n">
        <v>0.0197223844366979</v>
      </c>
      <c r="Y185" s="177" t="n">
        <v>14.5819058823529</v>
      </c>
      <c r="Z185" s="177" t="n">
        <v>43.4</v>
      </c>
      <c r="AA185" s="177" t="n">
        <v>60.0961538461539</v>
      </c>
      <c r="AB185" s="177" t="n">
        <v>2295.39127230642</v>
      </c>
      <c r="AC185" s="215" t="n">
        <v>0.374</v>
      </c>
      <c r="AD185" s="215" t="s">
        <v>88</v>
      </c>
      <c r="AE185" s="177" t="n">
        <v>2800.512</v>
      </c>
      <c r="AF185" s="177" t="n">
        <v>505.120727693585</v>
      </c>
      <c r="AG185" s="181" t="n">
        <v>0.180367278445365</v>
      </c>
      <c r="AH185" s="180" t="n">
        <v>2089.06521257791</v>
      </c>
      <c r="AI185" s="181" t="n">
        <v>0.745958314971658</v>
      </c>
      <c r="AJ185" s="181"/>
      <c r="AK185" s="181" t="s">
        <v>1143</v>
      </c>
      <c r="AL185" s="182" t="n">
        <v>0.306542637861434</v>
      </c>
      <c r="AN185" s="144" t="e">
        <v>#NAME?</v>
      </c>
      <c r="AO185" s="144" t="e">
        <f aca="false">_xlfn.xlookup(AN185,A:A,F:F)</f>
        <v>#NAME?</v>
      </c>
      <c r="AP185" s="144" t="e">
        <f aca="false">_xlfn.xlookup(AN185,A:A,J:J)</f>
        <v>#NAME?</v>
      </c>
      <c r="AQ185" s="144" t="e">
        <f aca="false">_xlfn.xlookup(AN185,A:A,N:N)+_xlfn.xlookup(AN185,A:A,O:O)</f>
        <v>#NAME?</v>
      </c>
      <c r="AR185" s="150" t="e">
        <f aca="false">_xlfn.xlookup(AN185,A:A,AH:AH)</f>
        <v>#NAME?</v>
      </c>
      <c r="AS185" s="150" t="e">
        <f aca="false">_xlfn.xlookup(AN185,A:A,S:S)</f>
        <v>#NAME?</v>
      </c>
      <c r="AT185" s="150" t="e">
        <f aca="false">_xlfn.xlookup(AN185,A:A,AE:AE)</f>
        <v>#NAME?</v>
      </c>
      <c r="AU185" s="150" t="e">
        <f aca="false">_xlfn.xlookup(AN185,A:A,AF:AF)</f>
        <v>#NAME?</v>
      </c>
      <c r="BB185" s="246"/>
      <c r="BC185" s="246"/>
      <c r="BD185" s="246"/>
      <c r="BE185" s="246"/>
      <c r="BF185" s="246"/>
      <c r="BH185" s="152" t="e">
        <f aca="false">_xlfn.xlookup(BG185,A:A,F:F)</f>
        <v>#NAME?</v>
      </c>
      <c r="BI185" s="144" t="e">
        <f aca="false">_xlfn.xlookup(BG185,A:A,J:J)</f>
        <v>#NAME?</v>
      </c>
      <c r="BJ185" s="153" t="e">
        <f aca="false">_xlfn.xlookup(BG185,A:A,N:N)+_xlfn.xlookup(BG185,A:A,O:O)</f>
        <v>#NAME?</v>
      </c>
      <c r="BK185" s="153" t="e">
        <f aca="false">_xlfn.xlookup(BG185,A134:A1128,AB134:AB1128)</f>
        <v>#NAME?</v>
      </c>
      <c r="BQ185" s="144" t="str">
        <f aca="false">IF(VALUE(MONTH(C185))&lt;10,YEAR(C185)&amp;"-0"&amp;MONTH(C185),YEAR(C185)&amp;"-"&amp;MONTH(C185))</f>
        <v>2025-01</v>
      </c>
      <c r="BR185" s="144" t="str">
        <f aca="false">J185</f>
        <v>T11-1</v>
      </c>
      <c r="BS185" s="144" t="str">
        <f aca="false">IF(ISNUMBER(FIND("-", BR185)), LEFT(BR185, FIND("-", BR185) - 1), BR185)</f>
        <v>T11</v>
      </c>
      <c r="BT185" s="189" t="n">
        <f aca="false">L185-M185+O185</f>
        <v>7638.65244</v>
      </c>
    </row>
    <row r="186" customFormat="false" ht="16.4" hidden="false" customHeight="false" outlineLevel="0" collapsed="false">
      <c r="A186" s="140" t="s">
        <v>1144</v>
      </c>
      <c r="B186" s="249" t="s">
        <v>893</v>
      </c>
      <c r="C186" s="174" t="n">
        <v>45677</v>
      </c>
      <c r="D186" s="173" t="n">
        <v>302</v>
      </c>
      <c r="E186" s="138" t="s">
        <v>94</v>
      </c>
      <c r="F186" s="138" t="s">
        <v>522</v>
      </c>
      <c r="G186" s="140" t="n">
        <v>106855</v>
      </c>
      <c r="H186" s="173" t="n">
        <v>40081</v>
      </c>
      <c r="I186" s="173" t="n">
        <v>30011</v>
      </c>
      <c r="J186" s="140" t="s">
        <v>760</v>
      </c>
      <c r="K186" s="140"/>
      <c r="L186" s="175" t="n">
        <v>7115.30784</v>
      </c>
      <c r="M186" s="175" t="n">
        <v>0</v>
      </c>
      <c r="N186" s="175" t="n">
        <v>6912</v>
      </c>
      <c r="O186" s="175"/>
      <c r="P186" s="175" t="n">
        <v>120</v>
      </c>
      <c r="Q186" s="176" t="n">
        <v>2</v>
      </c>
      <c r="R186" s="138" t="n">
        <v>1.5</v>
      </c>
      <c r="S186" s="177" t="n">
        <v>-30.8</v>
      </c>
      <c r="T186" s="215" t="n">
        <v>1.4366</v>
      </c>
      <c r="U186" s="178" t="n">
        <v>0.28357864079936</v>
      </c>
      <c r="V186" s="177" t="n">
        <v>1960.09556520518</v>
      </c>
      <c r="W186" s="177" t="n">
        <v>57.6537609310538</v>
      </c>
      <c r="X186" s="179" t="n">
        <v>0.0285733020372033</v>
      </c>
      <c r="Y186" s="177" t="n">
        <v>29.1638117647059</v>
      </c>
      <c r="Z186" s="177" t="n">
        <v>43.4</v>
      </c>
      <c r="AA186" s="177" t="n">
        <v>90.1442307692308</v>
      </c>
      <c r="AB186" s="177" t="n">
        <v>2149.65736867017</v>
      </c>
      <c r="AC186" s="215" t="n">
        <v>0.27</v>
      </c>
      <c r="AD186" s="215" t="s">
        <v>77</v>
      </c>
      <c r="AE186" s="177" t="n">
        <v>2681.040384</v>
      </c>
      <c r="AF186" s="177" t="n">
        <v>531.383015329834</v>
      </c>
      <c r="AG186" s="181" t="n">
        <v>0.198200302576954</v>
      </c>
      <c r="AH186" s="180" t="n">
        <v>2017.74932613623</v>
      </c>
      <c r="AI186" s="181" t="n">
        <v>0.752599378277858</v>
      </c>
      <c r="AJ186" s="181"/>
      <c r="AK186" s="181" t="s">
        <v>1144</v>
      </c>
      <c r="AL186" s="182" t="n">
        <v>0.311003670235846</v>
      </c>
      <c r="AN186" s="144" t="e">
        <v>#NAME?</v>
      </c>
      <c r="AO186" s="144" t="e">
        <f aca="false">_xlfn.xlookup(AN186,A:A,F:F)</f>
        <v>#NAME?</v>
      </c>
      <c r="AP186" s="144" t="e">
        <f aca="false">_xlfn.xlookup(AN186,A:A,J:J)</f>
        <v>#NAME?</v>
      </c>
      <c r="AQ186" s="144" t="e">
        <f aca="false">_xlfn.xlookup(AN186,A:A,N:N)+_xlfn.xlookup(AN186,A:A,O:O)</f>
        <v>#NAME?</v>
      </c>
      <c r="AR186" s="150" t="e">
        <f aca="false">_xlfn.xlookup(AN186,A:A,AH:AH)</f>
        <v>#NAME?</v>
      </c>
      <c r="AS186" s="150" t="e">
        <f aca="false">_xlfn.xlookup(AN186,A:A,S:S)</f>
        <v>#NAME?</v>
      </c>
      <c r="AT186" s="150" t="e">
        <f aca="false">_xlfn.xlookup(AN186,A:A,AE:AE)</f>
        <v>#NAME?</v>
      </c>
      <c r="AU186" s="150" t="e">
        <f aca="false">_xlfn.xlookup(AN186,A:A,AF:AF)</f>
        <v>#NAME?</v>
      </c>
      <c r="BB186" s="246"/>
      <c r="BC186" s="246"/>
      <c r="BD186" s="246"/>
      <c r="BE186" s="246"/>
      <c r="BF186" s="246"/>
      <c r="BH186" s="152" t="e">
        <f aca="false">_xlfn.xlookup(BG186,A:A,F:F)</f>
        <v>#NAME?</v>
      </c>
      <c r="BI186" s="144" t="e">
        <f aca="false">_xlfn.xlookup(BG186,A:A,J:J)</f>
        <v>#NAME?</v>
      </c>
      <c r="BJ186" s="153" t="e">
        <f aca="false">_xlfn.xlookup(BG186,A:A,N:N)+_xlfn.xlookup(BG186,A:A,O:O)</f>
        <v>#NAME?</v>
      </c>
      <c r="BK186" s="153" t="e">
        <f aca="false">_xlfn.xlookup(BG186,A135:A1129,AB135:AB1129)</f>
        <v>#NAME?</v>
      </c>
      <c r="BQ186" s="144" t="str">
        <f aca="false">IF(VALUE(MONTH(C186))&lt;10,YEAR(C186)&amp;"-0"&amp;MONTH(C186),YEAR(C186)&amp;"-"&amp;MONTH(C186))</f>
        <v>2025-01</v>
      </c>
      <c r="BR186" s="144" t="str">
        <f aca="false">J186</f>
        <v>S21-1</v>
      </c>
      <c r="BS186" s="144" t="str">
        <f aca="false">IF(ISNUMBER(FIND("-", BR186)), LEFT(BR186, FIND("-", BR186) - 1), BR186)</f>
        <v>S21</v>
      </c>
      <c r="BT186" s="189" t="n">
        <f aca="false">L186-M186+O186</f>
        <v>7115.30784</v>
      </c>
    </row>
    <row r="187" customFormat="false" ht="16.4" hidden="false" customHeight="false" outlineLevel="0" collapsed="false">
      <c r="A187" s="140" t="s">
        <v>1145</v>
      </c>
      <c r="B187" s="249" t="s">
        <v>893</v>
      </c>
      <c r="C187" s="174" t="n">
        <v>45677</v>
      </c>
      <c r="D187" s="173" t="n">
        <v>303</v>
      </c>
      <c r="E187" s="138" t="s">
        <v>120</v>
      </c>
      <c r="F187" s="138" t="s">
        <v>617</v>
      </c>
      <c r="G187" s="140" t="n">
        <v>14342</v>
      </c>
      <c r="H187" s="173" t="n">
        <v>40126</v>
      </c>
      <c r="I187" s="173" t="n">
        <v>30036</v>
      </c>
      <c r="J187" s="140" t="s">
        <v>762</v>
      </c>
      <c r="K187" s="140"/>
      <c r="L187" s="175" t="n">
        <v>14347.492368</v>
      </c>
      <c r="M187" s="175" t="n">
        <v>0</v>
      </c>
      <c r="N187" s="175" t="n">
        <v>13996.8</v>
      </c>
      <c r="O187" s="175"/>
      <c r="P187" s="175" t="n">
        <v>120</v>
      </c>
      <c r="Q187" s="176" t="n">
        <v>3</v>
      </c>
      <c r="R187" s="138" t="n">
        <v>2</v>
      </c>
      <c r="S187" s="177" t="n">
        <v>132.372</v>
      </c>
      <c r="T187" s="215"/>
      <c r="U187" s="178" t="n">
        <v>0.258256828537349</v>
      </c>
      <c r="V187" s="177" t="n">
        <v>3614.76917767156</v>
      </c>
      <c r="W187" s="177" t="n">
        <v>90.5686987519337</v>
      </c>
      <c r="X187" s="179" t="n">
        <v>0.0244427638645881</v>
      </c>
      <c r="Y187" s="177" t="n">
        <v>29.1638117647059</v>
      </c>
      <c r="Z187" s="177" t="n">
        <v>65.1</v>
      </c>
      <c r="AA187" s="177" t="n">
        <v>120.192307692308</v>
      </c>
      <c r="AB187" s="177" t="n">
        <v>4052.16599588051</v>
      </c>
      <c r="AC187" s="215" t="n">
        <v>0.347</v>
      </c>
      <c r="AD187" s="215" t="s">
        <v>88</v>
      </c>
      <c r="AE187" s="177" t="n">
        <v>4856.8896</v>
      </c>
      <c r="AF187" s="177" t="n">
        <v>804.723604119492</v>
      </c>
      <c r="AG187" s="181" t="n">
        <v>0.165687028200001</v>
      </c>
      <c r="AH187" s="180" t="n">
        <v>3705.33787642349</v>
      </c>
      <c r="AI187" s="181" t="n">
        <v>0.762903459124024</v>
      </c>
      <c r="AJ187" s="181"/>
      <c r="AK187" s="181" t="s">
        <v>1145</v>
      </c>
      <c r="AL187" s="182" t="n">
        <v>0.2895066012146</v>
      </c>
      <c r="AN187" s="144" t="e">
        <v>#NAME?</v>
      </c>
      <c r="AO187" s="144" t="e">
        <f aca="false">_xlfn.xlookup(AN187,A:A,F:F)</f>
        <v>#NAME?</v>
      </c>
      <c r="AP187" s="144" t="e">
        <f aca="false">_xlfn.xlookup(AN187,A:A,J:J)</f>
        <v>#NAME?</v>
      </c>
      <c r="AQ187" s="144" t="e">
        <f aca="false">_xlfn.xlookup(AN187,A:A,N:N)+_xlfn.xlookup(AN187,A:A,O:O)</f>
        <v>#NAME?</v>
      </c>
      <c r="AR187" s="150" t="e">
        <f aca="false">_xlfn.xlookup(AN187,A:A,AH:AH)</f>
        <v>#NAME?</v>
      </c>
      <c r="AS187" s="150" t="e">
        <f aca="false">_xlfn.xlookup(AN187,A:A,S:S)</f>
        <v>#NAME?</v>
      </c>
      <c r="AT187" s="150" t="e">
        <f aca="false">_xlfn.xlookup(AN187,A:A,AE:AE)</f>
        <v>#NAME?</v>
      </c>
      <c r="AU187" s="150" t="e">
        <f aca="false">_xlfn.xlookup(AN187,A:A,AF:AF)</f>
        <v>#NAME?</v>
      </c>
      <c r="BB187" s="246"/>
      <c r="BC187" s="246"/>
      <c r="BD187" s="246"/>
      <c r="BE187" s="246"/>
      <c r="BF187" s="246"/>
      <c r="BH187" s="152" t="e">
        <f aca="false">_xlfn.xlookup(BG187,A:A,F:F)</f>
        <v>#NAME?</v>
      </c>
      <c r="BI187" s="144" t="e">
        <f aca="false">_xlfn.xlookup(BG187,A:A,J:J)</f>
        <v>#NAME?</v>
      </c>
      <c r="BJ187" s="153" t="e">
        <f aca="false">_xlfn.xlookup(BG187,A:A,N:N)+_xlfn.xlookup(BG187,A:A,O:O)</f>
        <v>#NAME?</v>
      </c>
      <c r="BK187" s="153" t="e">
        <f aca="false">_xlfn.xlookup(BG187,A136:A1130,AB136:AB1130)</f>
        <v>#NAME?</v>
      </c>
      <c r="BQ187" s="144" t="str">
        <f aca="false">IF(VALUE(MONTH(C187))&lt;10,YEAR(C187)&amp;"-0"&amp;MONTH(C187),YEAR(C187)&amp;"-"&amp;MONTH(C187))</f>
        <v>2025-01</v>
      </c>
      <c r="BR187" s="144" t="str">
        <f aca="false">J187</f>
        <v>S15-3</v>
      </c>
      <c r="BS187" s="144" t="str">
        <f aca="false">IF(ISNUMBER(FIND("-", BR187)), LEFT(BR187, FIND("-", BR187) - 1), BR187)</f>
        <v>S15</v>
      </c>
      <c r="BT187" s="189" t="n">
        <f aca="false">L187-M187+O187</f>
        <v>14347.492368</v>
      </c>
    </row>
    <row r="188" customFormat="false" ht="16.4" hidden="false" customHeight="false" outlineLevel="0" collapsed="false">
      <c r="A188" s="140" t="s">
        <v>1146</v>
      </c>
      <c r="B188" s="249" t="s">
        <v>893</v>
      </c>
      <c r="C188" s="174" t="n">
        <v>45678</v>
      </c>
      <c r="D188" s="173" t="n">
        <v>304</v>
      </c>
      <c r="E188" s="138" t="s">
        <v>159</v>
      </c>
      <c r="F188" s="138" t="s">
        <v>726</v>
      </c>
      <c r="G188" s="140" t="n">
        <v>179989</v>
      </c>
      <c r="H188" s="173" t="n">
        <v>40145</v>
      </c>
      <c r="I188" s="173" t="n">
        <v>30025</v>
      </c>
      <c r="J188" s="140" t="s">
        <v>904</v>
      </c>
      <c r="K188" s="140"/>
      <c r="L188" s="175" t="n">
        <v>7589.013168</v>
      </c>
      <c r="M188" s="175" t="n">
        <v>0</v>
      </c>
      <c r="N188" s="175" t="n">
        <v>7425.6</v>
      </c>
      <c r="O188" s="175"/>
      <c r="P188" s="175" t="n">
        <v>119</v>
      </c>
      <c r="Q188" s="176" t="n">
        <v>2</v>
      </c>
      <c r="R188" s="138" t="n">
        <v>1</v>
      </c>
      <c r="S188" s="177" t="n">
        <v>101.057142857143</v>
      </c>
      <c r="T188" s="215"/>
      <c r="U188" s="178" t="n">
        <v>0.369342532440358</v>
      </c>
      <c r="V188" s="177" t="n">
        <v>2742.58990888912</v>
      </c>
      <c r="W188" s="177" t="n">
        <v>60.3554333032211</v>
      </c>
      <c r="X188" s="179" t="n">
        <v>0.0215328613065332</v>
      </c>
      <c r="Y188" s="177" t="n">
        <v>28.92078</v>
      </c>
      <c r="Z188" s="177" t="n">
        <v>43.4</v>
      </c>
      <c r="AA188" s="177" t="n">
        <v>60.0961538461539</v>
      </c>
      <c r="AB188" s="177" t="n">
        <v>3036.41941889564</v>
      </c>
      <c r="AC188" s="215" t="n">
        <v>0.431</v>
      </c>
      <c r="AD188" s="215" t="s">
        <v>88</v>
      </c>
      <c r="AE188" s="177" t="n">
        <v>3200.4336</v>
      </c>
      <c r="AF188" s="177" t="n">
        <v>164.014181104358</v>
      </c>
      <c r="AG188" s="181" t="n">
        <v>0.0512474875605473</v>
      </c>
      <c r="AH188" s="180" t="n">
        <v>2802.94534219235</v>
      </c>
      <c r="AI188" s="181" t="n">
        <v>0.875801748298214</v>
      </c>
      <c r="AJ188" s="181"/>
      <c r="AK188" s="181" t="s">
        <v>1146</v>
      </c>
      <c r="AL188" s="182" t="n">
        <v>0.408912332861404</v>
      </c>
      <c r="AN188" s="144" t="e">
        <v>#NAME?</v>
      </c>
      <c r="AO188" s="144" t="e">
        <f aca="false">_xlfn.xlookup(AN188,A:A,F:F)</f>
        <v>#NAME?</v>
      </c>
      <c r="AP188" s="144" t="e">
        <f aca="false">_xlfn.xlookup(AN188,A:A,J:J)</f>
        <v>#NAME?</v>
      </c>
      <c r="AQ188" s="144" t="e">
        <f aca="false">_xlfn.xlookup(AN188,A:A,N:N)+_xlfn.xlookup(AN188,A:A,O:O)</f>
        <v>#NAME?</v>
      </c>
      <c r="AR188" s="150" t="e">
        <f aca="false">_xlfn.xlookup(AN188,A:A,AH:AH)</f>
        <v>#NAME?</v>
      </c>
      <c r="AS188" s="150" t="e">
        <f aca="false">_xlfn.xlookup(AN188,A:A,S:S)</f>
        <v>#NAME?</v>
      </c>
      <c r="AT188" s="150" t="e">
        <f aca="false">_xlfn.xlookup(AN188,A:A,AE:AE)</f>
        <v>#NAME?</v>
      </c>
      <c r="AU188" s="150" t="e">
        <f aca="false">_xlfn.xlookup(AN188,A:A,AF:AF)</f>
        <v>#NAME?</v>
      </c>
      <c r="BB188" s="246"/>
      <c r="BC188" s="246"/>
      <c r="BD188" s="246"/>
      <c r="BE188" s="246"/>
      <c r="BF188" s="246"/>
      <c r="BH188" s="152" t="e">
        <f aca="false">_xlfn.xlookup(BG188,A:A,F:F)</f>
        <v>#NAME?</v>
      </c>
      <c r="BI188" s="144" t="e">
        <f aca="false">_xlfn.xlookup(BG188,A:A,J:J)</f>
        <v>#NAME?</v>
      </c>
      <c r="BJ188" s="153" t="e">
        <f aca="false">_xlfn.xlookup(BG188,A:A,N:N)+_xlfn.xlookup(BG188,A:A,O:O)</f>
        <v>#NAME?</v>
      </c>
      <c r="BK188" s="153" t="e">
        <f aca="false">_xlfn.xlookup(BG188,A137:A1131,AB137:AB1131)</f>
        <v>#NAME?</v>
      </c>
      <c r="BQ188" s="144" t="str">
        <f aca="false">IF(VALUE(MONTH(C188))&lt;10,YEAR(C188)&amp;"-0"&amp;MONTH(C188),YEAR(C188)&amp;"-"&amp;MONTH(C188))</f>
        <v>2025-01</v>
      </c>
      <c r="BR188" s="144" t="str">
        <f aca="false">J188</f>
        <v>D11-1</v>
      </c>
      <c r="BS188" s="144" t="str">
        <f aca="false">IF(ISNUMBER(FIND("-", BR188)), LEFT(BR188, FIND("-", BR188) - 1), BR188)</f>
        <v>D11</v>
      </c>
      <c r="BT188" s="189" t="n">
        <f aca="false">L188-M188+O188</f>
        <v>7589.013168</v>
      </c>
    </row>
    <row r="189" customFormat="false" ht="16.4" hidden="false" customHeight="false" outlineLevel="0" collapsed="false">
      <c r="A189" s="140" t="s">
        <v>1147</v>
      </c>
      <c r="B189" s="249" t="s">
        <v>893</v>
      </c>
      <c r="C189" s="174" t="n">
        <v>45677</v>
      </c>
      <c r="D189" s="173" t="n">
        <v>305</v>
      </c>
      <c r="E189" s="138" t="s">
        <v>115</v>
      </c>
      <c r="F189" s="138" t="s">
        <v>943</v>
      </c>
      <c r="G189" s="140" t="n">
        <v>31970</v>
      </c>
      <c r="H189" s="173" t="n">
        <v>40234</v>
      </c>
      <c r="I189" s="173" t="n">
        <v>30042</v>
      </c>
      <c r="J189" s="140" t="s">
        <v>754</v>
      </c>
      <c r="K189" s="140"/>
      <c r="L189" s="175" t="n">
        <v>7638.65244</v>
      </c>
      <c r="M189" s="175" t="n">
        <v>0</v>
      </c>
      <c r="N189" s="175" t="n">
        <v>7480.8</v>
      </c>
      <c r="O189" s="175"/>
      <c r="P189" s="175" t="n">
        <v>60</v>
      </c>
      <c r="Q189" s="176" t="n">
        <v>2</v>
      </c>
      <c r="R189" s="138" t="n">
        <v>1.5</v>
      </c>
      <c r="S189" s="177" t="n">
        <v>96.81</v>
      </c>
      <c r="T189" s="215"/>
      <c r="U189" s="178" t="n">
        <v>0.273486093127953</v>
      </c>
      <c r="V189" s="177" t="n">
        <v>2045.89476547159</v>
      </c>
      <c r="W189" s="177" t="n">
        <v>43.1704471063148</v>
      </c>
      <c r="X189" s="179" t="n">
        <v>0.0206649590670472</v>
      </c>
      <c r="Y189" s="177" t="n">
        <v>14.5819058823529</v>
      </c>
      <c r="Z189" s="177" t="n">
        <v>43.4</v>
      </c>
      <c r="AA189" s="177" t="n">
        <v>90.1442307692308</v>
      </c>
      <c r="AB189" s="177" t="n">
        <v>2334.00134922949</v>
      </c>
      <c r="AC189" s="215" t="n">
        <v>0.377</v>
      </c>
      <c r="AD189" s="215" t="s">
        <v>88</v>
      </c>
      <c r="AE189" s="177" t="n">
        <v>2820.2616</v>
      </c>
      <c r="AF189" s="177" t="n">
        <v>486.260250770508</v>
      </c>
      <c r="AG189" s="181" t="n">
        <v>0.172416718637203</v>
      </c>
      <c r="AH189" s="180" t="n">
        <v>2089.06521257791</v>
      </c>
      <c r="AI189" s="181" t="n">
        <v>0.740734551921676</v>
      </c>
      <c r="AJ189" s="181"/>
      <c r="AK189" s="181" t="s">
        <v>1147</v>
      </c>
      <c r="AL189" s="182" t="n">
        <v>0.311998897073774</v>
      </c>
      <c r="AN189" s="144" t="e">
        <v>#NAME?</v>
      </c>
      <c r="AO189" s="144" t="e">
        <f aca="false">_xlfn.xlookup(AN189,A:A,F:F)</f>
        <v>#NAME?</v>
      </c>
      <c r="AP189" s="144" t="e">
        <f aca="false">_xlfn.xlookup(AN189,A:A,J:J)</f>
        <v>#NAME?</v>
      </c>
      <c r="AQ189" s="144" t="e">
        <f aca="false">_xlfn.xlookup(AN189,A:A,N:N)+_xlfn.xlookup(AN189,A:A,O:O)</f>
        <v>#NAME?</v>
      </c>
      <c r="AR189" s="150" t="e">
        <f aca="false">_xlfn.xlookup(AN189,A:A,AH:AH)</f>
        <v>#NAME?</v>
      </c>
      <c r="AS189" s="150" t="e">
        <f aca="false">_xlfn.xlookup(AN189,A:A,S:S)</f>
        <v>#NAME?</v>
      </c>
      <c r="AT189" s="150" t="e">
        <f aca="false">_xlfn.xlookup(AN189,A:A,AE:AE)</f>
        <v>#NAME?</v>
      </c>
      <c r="AU189" s="150" t="e">
        <f aca="false">_xlfn.xlookup(AN189,A:A,AF:AF)</f>
        <v>#NAME?</v>
      </c>
      <c r="BB189" s="246"/>
      <c r="BC189" s="246"/>
      <c r="BD189" s="246"/>
      <c r="BE189" s="246"/>
      <c r="BF189" s="246"/>
      <c r="BH189" s="152" t="e">
        <f aca="false">_xlfn.xlookup(BG189,A:A,F:F)</f>
        <v>#NAME?</v>
      </c>
      <c r="BI189" s="144" t="e">
        <f aca="false">_xlfn.xlookup(BG189,A:A,J:J)</f>
        <v>#NAME?</v>
      </c>
      <c r="BJ189" s="153" t="e">
        <f aca="false">_xlfn.xlookup(BG189,A:A,N:N)+_xlfn.xlookup(BG189,A:A,O:O)</f>
        <v>#NAME?</v>
      </c>
      <c r="BK189" s="153" t="e">
        <f aca="false">_xlfn.xlookup(BG189,A138:A1132,AB138:AB1132)</f>
        <v>#NAME?</v>
      </c>
      <c r="BQ189" s="144" t="str">
        <f aca="false">IF(VALUE(MONTH(C189))&lt;10,YEAR(C189)&amp;"-0"&amp;MONTH(C189),YEAR(C189)&amp;"-"&amp;MONTH(C189))</f>
        <v>2025-01</v>
      </c>
      <c r="BR189" s="144" t="str">
        <f aca="false">J189</f>
        <v>T11-1</v>
      </c>
      <c r="BS189" s="144" t="str">
        <f aca="false">IF(ISNUMBER(FIND("-", BR189)), LEFT(BR189, FIND("-", BR189) - 1), BR189)</f>
        <v>T11</v>
      </c>
      <c r="BT189" s="189" t="n">
        <f aca="false">L189-M189+O189</f>
        <v>7638.65244</v>
      </c>
    </row>
    <row r="190" customFormat="false" ht="16.4" hidden="false" customHeight="false" outlineLevel="0" collapsed="false">
      <c r="A190" s="140" t="s">
        <v>1148</v>
      </c>
      <c r="B190" s="249" t="s">
        <v>893</v>
      </c>
      <c r="C190" s="174" t="n">
        <v>45678</v>
      </c>
      <c r="D190" s="173" t="n">
        <v>306</v>
      </c>
      <c r="E190" s="138" t="s">
        <v>94</v>
      </c>
      <c r="F190" s="138" t="s">
        <v>522</v>
      </c>
      <c r="G190" s="140" t="n">
        <v>106925</v>
      </c>
      <c r="H190" s="173" t="n">
        <v>40052</v>
      </c>
      <c r="I190" s="173" t="n">
        <v>30036</v>
      </c>
      <c r="J190" s="140" t="s">
        <v>762</v>
      </c>
      <c r="K190" s="140"/>
      <c r="L190" s="175" t="n">
        <v>3614.16</v>
      </c>
      <c r="M190" s="175" t="n">
        <v>0</v>
      </c>
      <c r="N190" s="175" t="n">
        <v>3600</v>
      </c>
      <c r="O190" s="175"/>
      <c r="P190" s="175" t="n">
        <v>60</v>
      </c>
      <c r="Q190" s="176" t="n">
        <v>1</v>
      </c>
      <c r="R190" s="138" t="n">
        <v>1.5</v>
      </c>
      <c r="S190" s="177" t="n">
        <v>-15.4</v>
      </c>
      <c r="T190" s="215" t="n">
        <v>1.4366</v>
      </c>
      <c r="U190" s="178" t="n">
        <v>0.258256828537349</v>
      </c>
      <c r="V190" s="177" t="n">
        <v>929.724582734455</v>
      </c>
      <c r="W190" s="177" t="n">
        <v>3.65691669208882</v>
      </c>
      <c r="X190" s="179" t="n">
        <v>0.00391792283684172</v>
      </c>
      <c r="Y190" s="177" t="n">
        <v>14.5819058823529</v>
      </c>
      <c r="Z190" s="177" t="n">
        <v>21.7</v>
      </c>
      <c r="AA190" s="177" t="n">
        <v>90.1442307692308</v>
      </c>
      <c r="AB190" s="177" t="n">
        <v>1044.40763607813</v>
      </c>
      <c r="AC190" s="215" t="n">
        <v>0.28</v>
      </c>
      <c r="AD190" s="215" t="s">
        <v>77</v>
      </c>
      <c r="AE190" s="177" t="n">
        <v>1448.0928</v>
      </c>
      <c r="AF190" s="177" t="n">
        <v>403.685163921873</v>
      </c>
      <c r="AG190" s="181" t="n">
        <v>0.278770230693691</v>
      </c>
      <c r="AH190" s="180" t="n">
        <v>933.381499426544</v>
      </c>
      <c r="AI190" s="181" t="n">
        <v>0.644559174264621</v>
      </c>
      <c r="AJ190" s="181"/>
      <c r="AK190" s="181" t="s">
        <v>1148</v>
      </c>
      <c r="AL190" s="182" t="n">
        <v>0.290113232243924</v>
      </c>
      <c r="AN190" s="144" t="e">
        <v>#NAME?</v>
      </c>
      <c r="AO190" s="144" t="e">
        <f aca="false">_xlfn.xlookup(AN190,A:A,F:F)</f>
        <v>#NAME?</v>
      </c>
      <c r="AP190" s="144" t="e">
        <f aca="false">_xlfn.xlookup(AN190,A:A,J:J)</f>
        <v>#NAME?</v>
      </c>
      <c r="AQ190" s="144" t="e">
        <f aca="false">_xlfn.xlookup(AN190,A:A,N:N)+_xlfn.xlookup(AN190,A:A,O:O)</f>
        <v>#NAME?</v>
      </c>
      <c r="AR190" s="150" t="e">
        <f aca="false">_xlfn.xlookup(AN190,A:A,AH:AH)</f>
        <v>#NAME?</v>
      </c>
      <c r="AS190" s="150" t="e">
        <f aca="false">_xlfn.xlookup(AN190,A:A,S:S)</f>
        <v>#NAME?</v>
      </c>
      <c r="AT190" s="150" t="e">
        <f aca="false">_xlfn.xlookup(AN190,A:A,AE:AE)</f>
        <v>#NAME?</v>
      </c>
      <c r="AU190" s="150" t="e">
        <f aca="false">_xlfn.xlookup(AN190,A:A,AF:AF)</f>
        <v>#NAME?</v>
      </c>
      <c r="BB190" s="246"/>
      <c r="BC190" s="246"/>
      <c r="BD190" s="246"/>
      <c r="BE190" s="246"/>
      <c r="BF190" s="246"/>
      <c r="BH190" s="152" t="e">
        <f aca="false">_xlfn.xlookup(BG190,A:A,F:F)</f>
        <v>#NAME?</v>
      </c>
      <c r="BI190" s="144" t="e">
        <f aca="false">_xlfn.xlookup(BG190,A:A,J:J)</f>
        <v>#NAME?</v>
      </c>
      <c r="BJ190" s="153" t="e">
        <f aca="false">_xlfn.xlookup(BG190,A:A,N:N)+_xlfn.xlookup(BG190,A:A,O:O)</f>
        <v>#NAME?</v>
      </c>
      <c r="BK190" s="153" t="e">
        <f aca="false">_xlfn.xlookup(BG190,A139:A1133,AB139:AB1133)</f>
        <v>#NAME?</v>
      </c>
      <c r="BQ190" s="144" t="str">
        <f aca="false">IF(VALUE(MONTH(C190))&lt;10,YEAR(C190)&amp;"-0"&amp;MONTH(C190),YEAR(C190)&amp;"-"&amp;MONTH(C190))</f>
        <v>2025-01</v>
      </c>
      <c r="BR190" s="144" t="str">
        <f aca="false">J190</f>
        <v>S15-3</v>
      </c>
      <c r="BS190" s="144" t="str">
        <f aca="false">IF(ISNUMBER(FIND("-", BR190)), LEFT(BR190, FIND("-", BR190) - 1), BR190)</f>
        <v>S15</v>
      </c>
      <c r="BT190" s="189" t="n">
        <f aca="false">L190-M190+O190</f>
        <v>3614.16</v>
      </c>
    </row>
    <row r="191" customFormat="false" ht="16.4" hidden="false" customHeight="false" outlineLevel="0" collapsed="false">
      <c r="A191" s="140" t="s">
        <v>1149</v>
      </c>
      <c r="B191" s="249" t="s">
        <v>1121</v>
      </c>
      <c r="C191" s="174" t="s">
        <v>133</v>
      </c>
      <c r="D191" s="173" t="n">
        <v>307</v>
      </c>
      <c r="E191" s="138" t="s">
        <v>94</v>
      </c>
      <c r="F191" s="138" t="s">
        <v>522</v>
      </c>
      <c r="G191" s="140" t="s">
        <v>292</v>
      </c>
      <c r="H191" s="173" t="n">
        <v>0</v>
      </c>
      <c r="I191" s="173" t="n">
        <v>0</v>
      </c>
      <c r="J191" s="261" t="b">
        <f aca="false">FALSE()</f>
        <v>0</v>
      </c>
      <c r="K191" s="140"/>
      <c r="L191" s="253"/>
      <c r="M191" s="253"/>
      <c r="N191" s="253"/>
      <c r="O191" s="253"/>
      <c r="P191" s="253"/>
      <c r="Q191" s="254"/>
      <c r="R191" s="255"/>
      <c r="S191" s="256" t="n">
        <v>0</v>
      </c>
      <c r="T191" s="215"/>
      <c r="U191" s="178" t="n">
        <v>0</v>
      </c>
      <c r="V191" s="177" t="n">
        <v>0</v>
      </c>
      <c r="W191" s="177" t="n">
        <v>0</v>
      </c>
      <c r="X191" s="179"/>
      <c r="Y191" s="177" t="n">
        <v>0</v>
      </c>
      <c r="Z191" s="177" t="n">
        <v>0</v>
      </c>
      <c r="AA191" s="177" t="n">
        <v>0</v>
      </c>
      <c r="AB191" s="177" t="n">
        <v>0</v>
      </c>
      <c r="AC191" s="215"/>
      <c r="AD191" s="215"/>
      <c r="AE191" s="177" t="n">
        <v>0</v>
      </c>
      <c r="AF191" s="177" t="n">
        <v>0</v>
      </c>
      <c r="AG191" s="181"/>
      <c r="AH191" s="180" t="n">
        <v>0</v>
      </c>
      <c r="AI191" s="181"/>
      <c r="AJ191" s="181" t="s">
        <v>895</v>
      </c>
      <c r="AK191" s="181" t="s">
        <v>1149</v>
      </c>
      <c r="AL191" s="182"/>
      <c r="AN191" s="144" t="e">
        <v>#NAME?</v>
      </c>
      <c r="AO191" s="144" t="e">
        <f aca="false">_xlfn.xlookup(AN191,A:A,F:F)</f>
        <v>#NAME?</v>
      </c>
      <c r="AP191" s="144" t="e">
        <f aca="false">_xlfn.xlookup(AN191,A:A,J:J)</f>
        <v>#NAME?</v>
      </c>
      <c r="AQ191" s="144" t="e">
        <f aca="false">_xlfn.xlookup(AN191,A:A,N:N)+_xlfn.xlookup(AN191,A:A,O:O)</f>
        <v>#NAME?</v>
      </c>
      <c r="AR191" s="150" t="e">
        <f aca="false">_xlfn.xlookup(AN191,A:A,AH:AH)</f>
        <v>#NAME?</v>
      </c>
      <c r="AS191" s="150" t="e">
        <f aca="false">_xlfn.xlookup(AN191,A:A,S:S)</f>
        <v>#NAME?</v>
      </c>
      <c r="AT191" s="150" t="e">
        <f aca="false">_xlfn.xlookup(AN191,A:A,AE:AE)</f>
        <v>#NAME?</v>
      </c>
      <c r="AU191" s="150" t="e">
        <f aca="false">_xlfn.xlookup(AN191,A:A,AF:AF)</f>
        <v>#NAME?</v>
      </c>
      <c r="BB191" s="246"/>
      <c r="BC191" s="246"/>
      <c r="BD191" s="246"/>
      <c r="BE191" s="246"/>
      <c r="BF191" s="246"/>
      <c r="BH191" s="152" t="e">
        <f aca="false">_xlfn.xlookup(BG191,A:A,F:F)</f>
        <v>#NAME?</v>
      </c>
      <c r="BI191" s="144" t="e">
        <f aca="false">_xlfn.xlookup(BG191,A:A,J:J)</f>
        <v>#NAME?</v>
      </c>
      <c r="BJ191" s="153" t="e">
        <f aca="false">_xlfn.xlookup(BG191,A:A,N:N)+_xlfn.xlookup(BG191,A:A,O:O)</f>
        <v>#NAME?</v>
      </c>
      <c r="BK191" s="153" t="e">
        <f aca="false">_xlfn.xlookup(BG191,A140:A1134,AB140:AB1134)</f>
        <v>#NAME?</v>
      </c>
      <c r="BT191" s="189"/>
    </row>
    <row r="192" customFormat="false" ht="16.4" hidden="false" customHeight="false" outlineLevel="0" collapsed="false">
      <c r="A192" s="140" t="s">
        <v>1150</v>
      </c>
      <c r="B192" s="249" t="s">
        <v>893</v>
      </c>
      <c r="C192" s="174" t="n">
        <v>45678</v>
      </c>
      <c r="D192" s="173" t="n">
        <v>308</v>
      </c>
      <c r="E192" s="138" t="s">
        <v>120</v>
      </c>
      <c r="F192" s="138" t="s">
        <v>617</v>
      </c>
      <c r="G192" s="140" t="n">
        <v>14344</v>
      </c>
      <c r="H192" s="173" t="n">
        <v>40240</v>
      </c>
      <c r="I192" s="173" t="n">
        <v>30011</v>
      </c>
      <c r="J192" s="140" t="s">
        <v>760</v>
      </c>
      <c r="K192" s="140"/>
      <c r="L192" s="175" t="n">
        <v>14230.61568</v>
      </c>
      <c r="M192" s="175" t="n">
        <v>0</v>
      </c>
      <c r="N192" s="175" t="n">
        <v>13881.6</v>
      </c>
      <c r="O192" s="175"/>
      <c r="P192" s="175" t="n">
        <v>120</v>
      </c>
      <c r="Q192" s="176" t="n">
        <v>3</v>
      </c>
      <c r="R192" s="138" t="n">
        <v>3</v>
      </c>
      <c r="S192" s="177" t="n">
        <v>157.2</v>
      </c>
      <c r="T192" s="215"/>
      <c r="U192" s="178" t="n">
        <v>0.28357864079936</v>
      </c>
      <c r="V192" s="177" t="n">
        <v>3936.52526012039</v>
      </c>
      <c r="W192" s="177" t="n">
        <v>98.973392152064</v>
      </c>
      <c r="X192" s="179" t="n">
        <v>0.0245256907956915</v>
      </c>
      <c r="Y192" s="177" t="n">
        <v>20.3</v>
      </c>
      <c r="Z192" s="177" t="n">
        <v>65.1</v>
      </c>
      <c r="AA192" s="177" t="n">
        <v>180.288461538462</v>
      </c>
      <c r="AB192" s="177" t="n">
        <v>4458.38711381092</v>
      </c>
      <c r="AC192" s="215" t="n">
        <v>0.333</v>
      </c>
      <c r="AD192" s="215" t="s">
        <v>88</v>
      </c>
      <c r="AE192" s="177" t="n">
        <v>4622.5728</v>
      </c>
      <c r="AF192" s="177" t="n">
        <v>164.18568618908</v>
      </c>
      <c r="AG192" s="181" t="n">
        <v>0.035518247801112</v>
      </c>
      <c r="AH192" s="180" t="n">
        <v>4035.49865227246</v>
      </c>
      <c r="AI192" s="181" t="n">
        <v>0.872998398699629</v>
      </c>
      <c r="AJ192" s="181"/>
      <c r="AK192" s="181" t="s">
        <v>1150</v>
      </c>
      <c r="AL192" s="182" t="n">
        <v>0.32117242348223</v>
      </c>
      <c r="AN192" s="144" t="e">
        <v>#NAME?</v>
      </c>
      <c r="AO192" s="144" t="e">
        <f aca="false">_xlfn.xlookup(AN192,A:A,F:F)</f>
        <v>#NAME?</v>
      </c>
      <c r="AP192" s="144" t="e">
        <f aca="false">_xlfn.xlookup(AN192,A:A,J:J)</f>
        <v>#NAME?</v>
      </c>
      <c r="AQ192" s="144" t="e">
        <f aca="false">_xlfn.xlookup(AN192,A:A,N:N)+_xlfn.xlookup(AN192,A:A,O:O)</f>
        <v>#NAME?</v>
      </c>
      <c r="AR192" s="150" t="e">
        <f aca="false">_xlfn.xlookup(AN192,A:A,AH:AH)</f>
        <v>#NAME?</v>
      </c>
      <c r="AS192" s="150" t="e">
        <f aca="false">_xlfn.xlookup(AN192,A:A,S:S)</f>
        <v>#NAME?</v>
      </c>
      <c r="AT192" s="150" t="e">
        <f aca="false">_xlfn.xlookup(AN192,A:A,AE:AE)</f>
        <v>#NAME?</v>
      </c>
      <c r="AU192" s="150" t="e">
        <f aca="false">_xlfn.xlookup(AN192,A:A,AF:AF)</f>
        <v>#NAME?</v>
      </c>
      <c r="BB192" s="246"/>
      <c r="BC192" s="246"/>
      <c r="BD192" s="246"/>
      <c r="BE192" s="246"/>
      <c r="BF192" s="246"/>
      <c r="BH192" s="152" t="e">
        <f aca="false">_xlfn.xlookup(BG192,A:A,F:F)</f>
        <v>#NAME?</v>
      </c>
      <c r="BI192" s="144" t="e">
        <f aca="false">_xlfn.xlookup(BG192,A:A,J:J)</f>
        <v>#NAME?</v>
      </c>
      <c r="BJ192" s="153" t="e">
        <f aca="false">_xlfn.xlookup(BG192,A:A,N:N)+_xlfn.xlookup(BG192,A:A,O:O)</f>
        <v>#NAME?</v>
      </c>
      <c r="BK192" s="153" t="e">
        <f aca="false">_xlfn.xlookup(BG192,A141:A1135,AB141:AB1135)</f>
        <v>#NAME?</v>
      </c>
      <c r="BQ192" s="144" t="str">
        <f aca="false">IF(VALUE(MONTH(C192))&lt;10,YEAR(C192)&amp;"-0"&amp;MONTH(C192),YEAR(C192)&amp;"-"&amp;MONTH(C192))</f>
        <v>2025-01</v>
      </c>
      <c r="BR192" s="144" t="str">
        <f aca="false">J192</f>
        <v>S21-1</v>
      </c>
      <c r="BS192" s="144" t="str">
        <f aca="false">IF(ISNUMBER(FIND("-", BR192)), LEFT(BR192, FIND("-", BR192) - 1), BR192)</f>
        <v>S21</v>
      </c>
      <c r="BT192" s="189" t="n">
        <f aca="false">L192-M192+O192</f>
        <v>14230.61568</v>
      </c>
    </row>
    <row r="193" customFormat="false" ht="16.4" hidden="false" customHeight="false" outlineLevel="0" collapsed="false">
      <c r="A193" s="140" t="s">
        <v>1151</v>
      </c>
      <c r="B193" s="249" t="s">
        <v>893</v>
      </c>
      <c r="C193" s="174" t="n">
        <v>45679</v>
      </c>
      <c r="D193" s="173" t="n">
        <v>309</v>
      </c>
      <c r="E193" s="138" t="s">
        <v>89</v>
      </c>
      <c r="F193" s="138" t="s">
        <v>938</v>
      </c>
      <c r="G193" s="140" t="n">
        <v>32556</v>
      </c>
      <c r="H193" s="173" t="n">
        <v>40089</v>
      </c>
      <c r="I193" s="173" t="n">
        <v>30027</v>
      </c>
      <c r="J193" s="140" t="s">
        <v>768</v>
      </c>
      <c r="K193" s="140"/>
      <c r="L193" s="175" t="n">
        <v>3614.16</v>
      </c>
      <c r="M193" s="175" t="n">
        <v>0</v>
      </c>
      <c r="N193" s="175" t="n">
        <v>3600</v>
      </c>
      <c r="O193" s="175"/>
      <c r="P193" s="175" t="n">
        <v>60</v>
      </c>
      <c r="Q193" s="176" t="n">
        <v>1</v>
      </c>
      <c r="R193" s="138" t="n">
        <v>1</v>
      </c>
      <c r="S193" s="177" t="n">
        <v>0</v>
      </c>
      <c r="T193" s="215" t="n">
        <v>1.4371</v>
      </c>
      <c r="U193" s="178" t="n">
        <v>0.307208514182256</v>
      </c>
      <c r="V193" s="177" t="n">
        <v>1105.95065105612</v>
      </c>
      <c r="W193" s="177" t="n">
        <v>4.3500725608207</v>
      </c>
      <c r="X193" s="179" t="n">
        <v>0.00391792283684172</v>
      </c>
      <c r="Y193" s="177" t="n">
        <v>10.15</v>
      </c>
      <c r="Z193" s="177" t="n">
        <v>21.7</v>
      </c>
      <c r="AA193" s="177" t="n">
        <v>60.0961538461539</v>
      </c>
      <c r="AB193" s="177" t="n">
        <v>1202.2468774631</v>
      </c>
      <c r="AC193" s="215" t="n">
        <v>0.34</v>
      </c>
      <c r="AD193" s="215" t="s">
        <v>77</v>
      </c>
      <c r="AE193" s="177" t="n">
        <v>1759.0104</v>
      </c>
      <c r="AF193" s="177" t="n">
        <v>556.763522536904</v>
      </c>
      <c r="AG193" s="181" t="n">
        <v>0.316520881591663</v>
      </c>
      <c r="AH193" s="180" t="n">
        <v>1110.30072361694</v>
      </c>
      <c r="AI193" s="181" t="n">
        <v>0.631207594689004</v>
      </c>
      <c r="AJ193" s="181"/>
      <c r="AK193" s="181" t="s">
        <v>1151</v>
      </c>
      <c r="AL193" s="182" t="n">
        <v>0.333957465961971</v>
      </c>
      <c r="AN193" s="144" t="e">
        <v>#NAME?</v>
      </c>
      <c r="AO193" s="144" t="e">
        <f aca="false">_xlfn.xlookup(AN193,A:A,F:F)</f>
        <v>#NAME?</v>
      </c>
      <c r="AP193" s="144" t="e">
        <f aca="false">_xlfn.xlookup(AN193,A:A,J:J)</f>
        <v>#NAME?</v>
      </c>
      <c r="AQ193" s="144" t="e">
        <f aca="false">_xlfn.xlookup(AN193,A:A,N:N)+_xlfn.xlookup(AN193,A:A,O:O)</f>
        <v>#NAME?</v>
      </c>
      <c r="AR193" s="150" t="e">
        <f aca="false">_xlfn.xlookup(AN193,A:A,AH:AH)</f>
        <v>#NAME?</v>
      </c>
      <c r="AS193" s="150" t="e">
        <f aca="false">_xlfn.xlookup(AN193,A:A,S:S)</f>
        <v>#NAME?</v>
      </c>
      <c r="AT193" s="150" t="e">
        <f aca="false">_xlfn.xlookup(AN193,A:A,AE:AE)</f>
        <v>#NAME?</v>
      </c>
      <c r="AU193" s="150" t="e">
        <f aca="false">_xlfn.xlookup(AN193,A:A,AF:AF)</f>
        <v>#NAME?</v>
      </c>
      <c r="BB193" s="246"/>
      <c r="BC193" s="246"/>
      <c r="BD193" s="246"/>
      <c r="BE193" s="246"/>
      <c r="BF193" s="246"/>
      <c r="BH193" s="152" t="e">
        <f aca="false">_xlfn.xlookup(BG193,A:A,F:F)</f>
        <v>#NAME?</v>
      </c>
      <c r="BI193" s="144" t="e">
        <f aca="false">_xlfn.xlookup(BG193,A:A,J:J)</f>
        <v>#NAME?</v>
      </c>
      <c r="BJ193" s="153" t="e">
        <f aca="false">_xlfn.xlookup(BG193,A:A,N:N)+_xlfn.xlookup(BG193,A:A,O:O)</f>
        <v>#NAME?</v>
      </c>
      <c r="BK193" s="153" t="e">
        <f aca="false">_xlfn.xlookup(BG193,A142:A1136,AB142:AB1136)</f>
        <v>#NAME?</v>
      </c>
      <c r="BQ193" s="144" t="str">
        <f aca="false">IF(VALUE(MONTH(C193))&lt;10,YEAR(C193)&amp;"-0"&amp;MONTH(C193),YEAR(C193)&amp;"-"&amp;MONTH(C193))</f>
        <v>2025-01</v>
      </c>
      <c r="BR193" s="144" t="str">
        <f aca="false">J193</f>
        <v>B25-3</v>
      </c>
      <c r="BS193" s="144" t="str">
        <f aca="false">IF(ISNUMBER(FIND("-", BR193)), LEFT(BR193, FIND("-", BR193) - 1), BR193)</f>
        <v>B25</v>
      </c>
      <c r="BT193" s="189" t="n">
        <f aca="false">L193-M193+O193</f>
        <v>3614.16</v>
      </c>
    </row>
    <row r="194" customFormat="false" ht="16.4" hidden="false" customHeight="false" outlineLevel="0" collapsed="false">
      <c r="A194" s="140" t="s">
        <v>1152</v>
      </c>
      <c r="B194" s="249" t="s">
        <v>893</v>
      </c>
      <c r="C194" s="174" t="n">
        <v>45679</v>
      </c>
      <c r="D194" s="173" t="n">
        <v>310</v>
      </c>
      <c r="E194" s="138" t="s">
        <v>134</v>
      </c>
      <c r="F194" s="138" t="s">
        <v>671</v>
      </c>
      <c r="G194" s="140" t="n">
        <v>10025</v>
      </c>
      <c r="H194" s="173" t="n">
        <v>40096</v>
      </c>
      <c r="I194" s="173" t="n">
        <v>30039</v>
      </c>
      <c r="J194" s="140" t="s">
        <v>768</v>
      </c>
      <c r="K194" s="140"/>
      <c r="L194" s="175" t="n">
        <v>14228.94792</v>
      </c>
      <c r="M194" s="175" t="n">
        <v>0</v>
      </c>
      <c r="N194" s="175" t="n">
        <v>14116.8</v>
      </c>
      <c r="O194" s="175"/>
      <c r="P194" s="175" t="n">
        <v>240</v>
      </c>
      <c r="Q194" s="176" t="n">
        <v>3</v>
      </c>
      <c r="R194" s="138" t="n">
        <v>3.5</v>
      </c>
      <c r="S194" s="177" t="n">
        <v>157.2</v>
      </c>
      <c r="T194" s="215"/>
      <c r="U194" s="178" t="n">
        <v>0.289910376924445</v>
      </c>
      <c r="V194" s="177" t="n">
        <v>4092.60680896701</v>
      </c>
      <c r="W194" s="177" t="n">
        <v>32.5128457584919</v>
      </c>
      <c r="X194" s="179" t="n">
        <v>0.00788167337673393</v>
      </c>
      <c r="Y194" s="177" t="n">
        <v>40.6</v>
      </c>
      <c r="Z194" s="177" t="n">
        <v>65.1</v>
      </c>
      <c r="AA194" s="177" t="n">
        <v>210.336538461538</v>
      </c>
      <c r="AB194" s="177" t="n">
        <v>4598.35619318704</v>
      </c>
      <c r="AC194" s="215" t="n">
        <v>0.452</v>
      </c>
      <c r="AD194" s="215" t="s">
        <v>88</v>
      </c>
      <c r="AE194" s="177" t="n">
        <v>6380.7936</v>
      </c>
      <c r="AF194" s="177" t="n">
        <v>1782.43740681296</v>
      </c>
      <c r="AG194" s="181" t="n">
        <v>0.279344156628567</v>
      </c>
      <c r="AH194" s="180" t="n">
        <v>4125.1196547255</v>
      </c>
      <c r="AI194" s="181" t="n">
        <v>0.64649006272911</v>
      </c>
      <c r="AJ194" s="181"/>
      <c r="AK194" s="181" t="s">
        <v>1152</v>
      </c>
      <c r="AL194" s="182" t="n">
        <v>0.325736441203888</v>
      </c>
      <c r="AN194" s="144" t="e">
        <v>#NAME?</v>
      </c>
      <c r="AO194" s="144" t="e">
        <f aca="false">_xlfn.xlookup(AN194,A:A,F:F)</f>
        <v>#NAME?</v>
      </c>
      <c r="AP194" s="144" t="e">
        <f aca="false">_xlfn.xlookup(AN194,A:A,J:J)</f>
        <v>#NAME?</v>
      </c>
      <c r="AQ194" s="144" t="e">
        <f aca="false">_xlfn.xlookup(AN194,A:A,N:N)+_xlfn.xlookup(AN194,A:A,O:O)</f>
        <v>#NAME?</v>
      </c>
      <c r="AR194" s="150" t="e">
        <f aca="false">_xlfn.xlookup(AN194,A:A,AH:AH)</f>
        <v>#NAME?</v>
      </c>
      <c r="AS194" s="150" t="e">
        <f aca="false">_xlfn.xlookup(AN194,A:A,S:S)</f>
        <v>#NAME?</v>
      </c>
      <c r="AT194" s="150" t="e">
        <f aca="false">_xlfn.xlookup(AN194,A:A,AE:AE)</f>
        <v>#NAME?</v>
      </c>
      <c r="AU194" s="150" t="e">
        <f aca="false">_xlfn.xlookup(AN194,A:A,AF:AF)</f>
        <v>#NAME?</v>
      </c>
      <c r="BB194" s="246"/>
      <c r="BC194" s="246"/>
      <c r="BD194" s="246"/>
      <c r="BE194" s="246"/>
      <c r="BF194" s="246"/>
      <c r="BH194" s="152" t="e">
        <f aca="false">_xlfn.xlookup(BG194,A:A,F:F)</f>
        <v>#NAME?</v>
      </c>
      <c r="BI194" s="144" t="e">
        <f aca="false">_xlfn.xlookup(BG194,A:A,J:J)</f>
        <v>#NAME?</v>
      </c>
      <c r="BJ194" s="153" t="e">
        <f aca="false">_xlfn.xlookup(BG194,A:A,N:N)+_xlfn.xlookup(BG194,A:A,O:O)</f>
        <v>#NAME?</v>
      </c>
      <c r="BK194" s="153" t="e">
        <f aca="false">_xlfn.xlookup(BG194,A143:A1137,AB143:AB1137)</f>
        <v>#NAME?</v>
      </c>
      <c r="BQ194" s="144" t="str">
        <f aca="false">IF(VALUE(MONTH(C194))&lt;10,YEAR(C194)&amp;"-0"&amp;MONTH(C194),YEAR(C194)&amp;"-"&amp;MONTH(C194))</f>
        <v>2025-01</v>
      </c>
      <c r="BR194" s="144" t="str">
        <f aca="false">J194</f>
        <v>B25-3</v>
      </c>
      <c r="BS194" s="144" t="str">
        <f aca="false">IF(ISNUMBER(FIND("-", BR194)), LEFT(BR194, FIND("-", BR194) - 1), BR194)</f>
        <v>B25</v>
      </c>
      <c r="BT194" s="189" t="n">
        <f aca="false">L194-M194+O194</f>
        <v>14228.94792</v>
      </c>
    </row>
    <row r="195" customFormat="false" ht="16.4" hidden="false" customHeight="false" outlineLevel="0" collapsed="false">
      <c r="A195" s="140" t="s">
        <v>1153</v>
      </c>
      <c r="B195" s="249" t="s">
        <v>893</v>
      </c>
      <c r="C195" s="174" t="n">
        <v>45679</v>
      </c>
      <c r="D195" s="173" t="n">
        <v>311</v>
      </c>
      <c r="E195" s="138" t="s">
        <v>94</v>
      </c>
      <c r="F195" s="138" t="s">
        <v>522</v>
      </c>
      <c r="G195" s="140" t="n">
        <v>107001</v>
      </c>
      <c r="H195" s="173" t="n">
        <v>40242</v>
      </c>
      <c r="I195" s="173" t="n">
        <v>30018</v>
      </c>
      <c r="J195" s="140" t="s">
        <v>760</v>
      </c>
      <c r="K195" s="140"/>
      <c r="L195" s="175" t="n">
        <v>14228.44704</v>
      </c>
      <c r="M195" s="175" t="n">
        <v>0</v>
      </c>
      <c r="N195" s="175" t="n">
        <v>13968</v>
      </c>
      <c r="O195" s="175"/>
      <c r="P195" s="175" t="n">
        <v>120</v>
      </c>
      <c r="Q195" s="176" t="n">
        <v>5</v>
      </c>
      <c r="R195" s="138" t="n">
        <v>2.25</v>
      </c>
      <c r="S195" s="177" t="n">
        <v>-46.2</v>
      </c>
      <c r="T195" s="215" t="n">
        <v>1.4371</v>
      </c>
      <c r="U195" s="178" t="n">
        <v>0.2739</v>
      </c>
      <c r="V195" s="177" t="n">
        <v>3825.8352</v>
      </c>
      <c r="W195" s="177" t="n">
        <v>71.3364442559998</v>
      </c>
      <c r="X195" s="179" t="n">
        <v>0.0183046708658937</v>
      </c>
      <c r="Y195" s="177" t="n">
        <v>20.3</v>
      </c>
      <c r="Z195" s="177" t="n">
        <v>108.5</v>
      </c>
      <c r="AA195" s="177" t="n">
        <v>135.216346153846</v>
      </c>
      <c r="AB195" s="177" t="n">
        <v>4114.98799040985</v>
      </c>
      <c r="AC195" s="215" t="n">
        <v>0.27</v>
      </c>
      <c r="AD195" s="215" t="s">
        <v>77</v>
      </c>
      <c r="AE195" s="177" t="n">
        <v>5419.821456</v>
      </c>
      <c r="AF195" s="177" t="n">
        <v>1304.83346559016</v>
      </c>
      <c r="AG195" s="181" t="n">
        <v>0.240752112626449</v>
      </c>
      <c r="AH195" s="180" t="n">
        <v>3897.171644256</v>
      </c>
      <c r="AI195" s="181" t="n">
        <v>0.719059045744329</v>
      </c>
      <c r="AJ195" s="181"/>
      <c r="AK195" s="181" t="s">
        <v>1153</v>
      </c>
      <c r="AL195" s="182" t="n">
        <v>0.294601087515023</v>
      </c>
      <c r="AN195" s="144" t="e">
        <v>#NAME?</v>
      </c>
      <c r="AO195" s="144" t="e">
        <f aca="false">_xlfn.xlookup(AN195,A:A,F:F)</f>
        <v>#NAME?</v>
      </c>
      <c r="AP195" s="144" t="e">
        <f aca="false">_xlfn.xlookup(AN195,A:A,J:J)</f>
        <v>#NAME?</v>
      </c>
      <c r="AQ195" s="144" t="e">
        <f aca="false">_xlfn.xlookup(AN195,A:A,N:N)+_xlfn.xlookup(AN195,A:A,O:O)</f>
        <v>#NAME?</v>
      </c>
      <c r="AR195" s="150" t="e">
        <f aca="false">_xlfn.xlookup(AN195,A:A,AH:AH)</f>
        <v>#NAME?</v>
      </c>
      <c r="AS195" s="150" t="e">
        <f aca="false">_xlfn.xlookup(AN195,A:A,S:S)</f>
        <v>#NAME?</v>
      </c>
      <c r="AT195" s="150" t="e">
        <f aca="false">_xlfn.xlookup(AN195,A:A,AE:AE)</f>
        <v>#NAME?</v>
      </c>
      <c r="AU195" s="150" t="e">
        <f aca="false">_xlfn.xlookup(AN195,A:A,AF:AF)</f>
        <v>#NAME?</v>
      </c>
      <c r="BB195" s="246"/>
      <c r="BC195" s="246"/>
      <c r="BD195" s="246"/>
      <c r="BE195" s="246"/>
      <c r="BF195" s="246"/>
      <c r="BH195" s="152" t="e">
        <f aca="false">_xlfn.xlookup(BG195,A:A,F:F)</f>
        <v>#NAME?</v>
      </c>
      <c r="BI195" s="144" t="e">
        <f aca="false">_xlfn.xlookup(BG195,A:A,J:J)</f>
        <v>#NAME?</v>
      </c>
      <c r="BJ195" s="153" t="e">
        <f aca="false">_xlfn.xlookup(BG195,A:A,N:N)+_xlfn.xlookup(BG195,A:A,O:O)</f>
        <v>#NAME?</v>
      </c>
      <c r="BK195" s="153" t="e">
        <f aca="false">_xlfn.xlookup(BG195,A144:A1138,AB144:AB1138)</f>
        <v>#NAME?</v>
      </c>
      <c r="BQ195" s="144" t="str">
        <f aca="false">IF(VALUE(MONTH(C195))&lt;10,YEAR(C195)&amp;"-0"&amp;MONTH(C195),YEAR(C195)&amp;"-"&amp;MONTH(C195))</f>
        <v>2025-01</v>
      </c>
      <c r="BR195" s="144" t="str">
        <f aca="false">J195</f>
        <v>S21-1</v>
      </c>
      <c r="BS195" s="144" t="str">
        <f aca="false">IF(ISNUMBER(FIND("-", BR195)), LEFT(BR195, FIND("-", BR195) - 1), BR195)</f>
        <v>S21</v>
      </c>
      <c r="BT195" s="189" t="n">
        <f aca="false">L195-M195+O195</f>
        <v>14228.44704</v>
      </c>
    </row>
    <row r="196" customFormat="false" ht="16.4" hidden="false" customHeight="false" outlineLevel="0" collapsed="false">
      <c r="A196" s="140" t="s">
        <v>1154</v>
      </c>
      <c r="B196" s="249" t="s">
        <v>893</v>
      </c>
      <c r="C196" s="174" t="n">
        <v>45680</v>
      </c>
      <c r="D196" s="173" t="n">
        <v>312</v>
      </c>
      <c r="E196" s="138" t="s">
        <v>300</v>
      </c>
      <c r="F196" s="138" t="s">
        <v>462</v>
      </c>
      <c r="G196" s="140" t="s">
        <v>301</v>
      </c>
      <c r="H196" s="173" t="n">
        <v>40244</v>
      </c>
      <c r="I196" s="173" t="n">
        <v>30036</v>
      </c>
      <c r="J196" s="140" t="s">
        <v>762</v>
      </c>
      <c r="K196" s="140"/>
      <c r="L196" s="175" t="n">
        <v>10697.9136</v>
      </c>
      <c r="M196" s="175" t="n">
        <v>7142.4432</v>
      </c>
      <c r="N196" s="175" t="n">
        <v>3452.4</v>
      </c>
      <c r="O196" s="175"/>
      <c r="P196" s="175" t="n">
        <v>180.236</v>
      </c>
      <c r="Q196" s="176" t="n">
        <v>1</v>
      </c>
      <c r="R196" s="138" t="n">
        <v>3.5</v>
      </c>
      <c r="S196" s="177" t="n">
        <v>78.75</v>
      </c>
      <c r="T196" s="215"/>
      <c r="U196" s="178" t="n">
        <v>0.258256828537349</v>
      </c>
      <c r="V196" s="177" t="n">
        <v>891.605874842343</v>
      </c>
      <c r="W196" s="177" t="n">
        <v>26.6186346200751</v>
      </c>
      <c r="X196" s="179" t="n">
        <v>0.00963462632564137</v>
      </c>
      <c r="Y196" s="177" t="n">
        <v>30.4899233333333</v>
      </c>
      <c r="Z196" s="177" t="n">
        <v>21.7</v>
      </c>
      <c r="AA196" s="177" t="n">
        <v>210.336538461538</v>
      </c>
      <c r="AB196" s="177" t="n">
        <v>1259.50097125729</v>
      </c>
      <c r="AC196" s="215" t="n">
        <v>0.363</v>
      </c>
      <c r="AD196" s="215" t="s">
        <v>88</v>
      </c>
      <c r="AE196" s="177" t="n">
        <v>1253.2212</v>
      </c>
      <c r="AF196" s="177" t="n">
        <v>-6.27977125728899</v>
      </c>
      <c r="AG196" s="181" t="n">
        <v>-0.00501090410638527</v>
      </c>
      <c r="AH196" s="180" t="n">
        <v>918.224509462418</v>
      </c>
      <c r="AI196" s="181" t="n">
        <v>0.73269149090553</v>
      </c>
      <c r="AJ196" s="181"/>
      <c r="AK196" s="181" t="s">
        <v>1154</v>
      </c>
      <c r="AL196" s="182" t="n">
        <v>0.364818958190618</v>
      </c>
      <c r="AN196" s="144" t="e">
        <v>#NAME?</v>
      </c>
      <c r="AO196" s="144" t="e">
        <f aca="false">_xlfn.xlookup(AN196,A:A,F:F)</f>
        <v>#NAME?</v>
      </c>
      <c r="AP196" s="144" t="e">
        <f aca="false">_xlfn.xlookup(AN196,A:A,J:J)</f>
        <v>#NAME?</v>
      </c>
      <c r="AQ196" s="144" t="e">
        <f aca="false">_xlfn.xlookup(AN196,A:A,N:N)+_xlfn.xlookup(AN196,A:A,O:O)</f>
        <v>#NAME?</v>
      </c>
      <c r="AR196" s="150" t="e">
        <f aca="false">_xlfn.xlookup(AN196,A:A,AH:AH)</f>
        <v>#NAME?</v>
      </c>
      <c r="AS196" s="150" t="e">
        <f aca="false">_xlfn.xlookup(AN196,A:A,S:S)</f>
        <v>#NAME?</v>
      </c>
      <c r="AT196" s="150" t="e">
        <f aca="false">_xlfn.xlookup(AN196,A:A,AE:AE)</f>
        <v>#NAME?</v>
      </c>
      <c r="AU196" s="150" t="e">
        <f aca="false">_xlfn.xlookup(AN196,A:A,AF:AF)</f>
        <v>#NAME?</v>
      </c>
      <c r="BB196" s="246"/>
      <c r="BC196" s="246"/>
      <c r="BD196" s="246"/>
      <c r="BE196" s="246"/>
      <c r="BF196" s="246"/>
      <c r="BH196" s="152" t="e">
        <f aca="false">_xlfn.xlookup(BG196,A:A,F:F)</f>
        <v>#NAME?</v>
      </c>
      <c r="BI196" s="144" t="e">
        <f aca="false">_xlfn.xlookup(BG196,A:A,J:J)</f>
        <v>#NAME?</v>
      </c>
      <c r="BJ196" s="153" t="e">
        <f aca="false">_xlfn.xlookup(BG196,A:A,N:N)+_xlfn.xlookup(BG196,A:A,O:O)</f>
        <v>#NAME?</v>
      </c>
      <c r="BK196" s="153" t="e">
        <f aca="false">_xlfn.xlookup(BG196,A145:A1139,AB145:AB1139)</f>
        <v>#NAME?</v>
      </c>
      <c r="BT196" s="189"/>
    </row>
    <row r="197" customFormat="false" ht="16.4" hidden="false" customHeight="false" outlineLevel="0" collapsed="false">
      <c r="A197" s="140" t="s">
        <v>1155</v>
      </c>
      <c r="B197" s="249" t="s">
        <v>893</v>
      </c>
      <c r="C197" s="174" t="n">
        <v>45680</v>
      </c>
      <c r="D197" s="173" t="n">
        <v>312</v>
      </c>
      <c r="E197" s="138" t="s">
        <v>300</v>
      </c>
      <c r="F197" s="138" t="s">
        <v>462</v>
      </c>
      <c r="G197" s="140" t="s">
        <v>301</v>
      </c>
      <c r="H197" s="173" t="n">
        <v>40245</v>
      </c>
      <c r="I197" s="173" t="n">
        <v>30027</v>
      </c>
      <c r="J197" s="140" t="s">
        <v>768</v>
      </c>
      <c r="K197" s="140"/>
      <c r="L197" s="175" t="n">
        <v>1128</v>
      </c>
      <c r="M197" s="175" t="n">
        <v>947.7</v>
      </c>
      <c r="N197" s="175" t="n">
        <v>155.025</v>
      </c>
      <c r="O197" s="175"/>
      <c r="P197" s="175" t="n">
        <v>6.625</v>
      </c>
      <c r="Q197" s="176" t="n">
        <v>1</v>
      </c>
      <c r="R197" s="138" t="n">
        <v>0.5</v>
      </c>
      <c r="S197" s="177" t="n">
        <v>0</v>
      </c>
      <c r="T197" s="215"/>
      <c r="U197" s="178" t="n">
        <v>0.307208514182256</v>
      </c>
      <c r="V197" s="177" t="n">
        <v>47.6249999111043</v>
      </c>
      <c r="W197" s="177" t="n">
        <v>7.76469519595648</v>
      </c>
      <c r="X197" s="179" t="n">
        <v>0.0224069148936169</v>
      </c>
      <c r="Y197" s="177" t="n">
        <v>1.12072916666667</v>
      </c>
      <c r="Z197" s="177" t="n">
        <v>21.7</v>
      </c>
      <c r="AA197" s="177" t="n">
        <v>30.0480769230769</v>
      </c>
      <c r="AB197" s="177" t="n">
        <v>108.258501196804</v>
      </c>
      <c r="AC197" s="215" t="n">
        <v>0</v>
      </c>
      <c r="AD197" s="215" t="s">
        <v>88</v>
      </c>
      <c r="AE197" s="177" t="n">
        <v>0</v>
      </c>
      <c r="AF197" s="177" t="n">
        <v>-108.258501196804</v>
      </c>
      <c r="AG197" s="181"/>
      <c r="AH197" s="180" t="n">
        <v>55.3896951070607</v>
      </c>
      <c r="AI197" s="181"/>
      <c r="AJ197" s="181" t="s">
        <v>895</v>
      </c>
      <c r="AK197" s="181" t="s">
        <v>1155</v>
      </c>
      <c r="AL197" s="182" t="n">
        <v>0.698329309445601</v>
      </c>
      <c r="AN197" s="144" t="e">
        <v>#NAME?</v>
      </c>
      <c r="AO197" s="144" t="e">
        <f aca="false">_xlfn.xlookup(AN197,A:A,F:F)</f>
        <v>#NAME?</v>
      </c>
      <c r="AP197" s="144" t="e">
        <f aca="false">_xlfn.xlookup(AN197,A:A,J:J)</f>
        <v>#NAME?</v>
      </c>
      <c r="AQ197" s="144" t="e">
        <f aca="false">_xlfn.xlookup(AN197,A:A,N:N)+_xlfn.xlookup(AN197,A:A,O:O)</f>
        <v>#NAME?</v>
      </c>
      <c r="AR197" s="150" t="e">
        <f aca="false">_xlfn.xlookup(AN197,A:A,AH:AH)</f>
        <v>#NAME?</v>
      </c>
      <c r="AS197" s="150" t="e">
        <f aca="false">_xlfn.xlookup(AN197,A:A,S:S)</f>
        <v>#NAME?</v>
      </c>
      <c r="AT197" s="150" t="e">
        <f aca="false">_xlfn.xlookup(AN197,A:A,AE:AE)</f>
        <v>#NAME?</v>
      </c>
      <c r="AU197" s="150" t="e">
        <f aca="false">_xlfn.xlookup(AN197,A:A,AF:AF)</f>
        <v>#NAME?</v>
      </c>
      <c r="BB197" s="246"/>
      <c r="BC197" s="246"/>
      <c r="BD197" s="246"/>
      <c r="BE197" s="246"/>
      <c r="BF197" s="246"/>
      <c r="BH197" s="152" t="e">
        <f aca="false">_xlfn.xlookup(BG197,A:A,F:F)</f>
        <v>#NAME?</v>
      </c>
      <c r="BI197" s="144" t="e">
        <f aca="false">_xlfn.xlookup(BG197,A:A,J:J)</f>
        <v>#NAME?</v>
      </c>
      <c r="BJ197" s="153" t="e">
        <f aca="false">_xlfn.xlookup(BG197,A:A,N:N)+_xlfn.xlookup(BG197,A:A,O:O)</f>
        <v>#NAME?</v>
      </c>
      <c r="BK197" s="153" t="e">
        <f aca="false">_xlfn.xlookup(BG197,A146:A1140,AB146:AB1140)</f>
        <v>#NAME?</v>
      </c>
      <c r="BQ197" s="144" t="str">
        <f aca="false">IF(VALUE(MONTH(C197))&lt;10,YEAR(C197)&amp;"-0"&amp;MONTH(C197),YEAR(C197)&amp;"-"&amp;MONTH(C197))</f>
        <v>2025-01</v>
      </c>
      <c r="BR197" s="144" t="str">
        <f aca="false">J197</f>
        <v>B25-3</v>
      </c>
      <c r="BS197" s="144" t="str">
        <f aca="false">IF(ISNUMBER(FIND("-", BR197)), LEFT(BR197, FIND("-", BR197) - 1), BR197)</f>
        <v>B25</v>
      </c>
      <c r="BT197" s="189" t="n">
        <f aca="false">L197-M197+O197</f>
        <v>180.3</v>
      </c>
    </row>
    <row r="198" customFormat="false" ht="16.4" hidden="false" customHeight="false" outlineLevel="0" collapsed="false">
      <c r="A198" s="140" t="s">
        <v>1156</v>
      </c>
      <c r="B198" s="249" t="s">
        <v>893</v>
      </c>
      <c r="C198" s="174" t="n">
        <v>45680</v>
      </c>
      <c r="D198" s="173" t="n">
        <v>313</v>
      </c>
      <c r="E198" s="138" t="s">
        <v>306</v>
      </c>
      <c r="F198" s="138" t="s">
        <v>596</v>
      </c>
      <c r="G198" s="140" t="s">
        <v>308</v>
      </c>
      <c r="H198" s="173" t="n">
        <v>40246</v>
      </c>
      <c r="I198" s="173" t="n">
        <v>30011</v>
      </c>
      <c r="J198" s="140" t="s">
        <v>760</v>
      </c>
      <c r="K198" s="140"/>
      <c r="L198" s="175" t="n">
        <v>7115.30784</v>
      </c>
      <c r="M198" s="175" t="n">
        <v>0</v>
      </c>
      <c r="N198" s="175" t="n">
        <v>6962.4</v>
      </c>
      <c r="O198" s="175"/>
      <c r="P198" s="175" t="n">
        <v>60</v>
      </c>
      <c r="Q198" s="176" t="n">
        <v>2</v>
      </c>
      <c r="R198" s="138" t="n">
        <v>3</v>
      </c>
      <c r="S198" s="177" t="n">
        <v>111.35</v>
      </c>
      <c r="T198" s="215"/>
      <c r="U198" s="178" t="n">
        <v>0.28357864079936</v>
      </c>
      <c r="V198" s="177" t="n">
        <v>1974.38792870146</v>
      </c>
      <c r="W198" s="177" t="n">
        <v>43.361397434766</v>
      </c>
      <c r="X198" s="179" t="n">
        <v>0.0214899823645578</v>
      </c>
      <c r="Y198" s="177" t="n">
        <v>10.15</v>
      </c>
      <c r="Z198" s="177" t="n">
        <v>43.4</v>
      </c>
      <c r="AA198" s="177" t="n">
        <v>180.288461538462</v>
      </c>
      <c r="AB198" s="177" t="n">
        <v>2362.93778767469</v>
      </c>
      <c r="AC198" s="215" t="n">
        <v>0.316</v>
      </c>
      <c r="AD198" s="215" t="s">
        <v>88</v>
      </c>
      <c r="AE198" s="177" t="n">
        <v>2200.1184</v>
      </c>
      <c r="AF198" s="177" t="n">
        <v>-162.819387674691</v>
      </c>
      <c r="AG198" s="181" t="n">
        <v>-0.0740048297740208</v>
      </c>
      <c r="AH198" s="180" t="n">
        <v>2017.74932613623</v>
      </c>
      <c r="AI198" s="181" t="n">
        <v>0.917109427445464</v>
      </c>
      <c r="AJ198" s="181"/>
      <c r="AK198" s="181" t="s">
        <v>1156</v>
      </c>
      <c r="AL198" s="182" t="n">
        <v>0.339385526208591</v>
      </c>
      <c r="AN198" s="144" t="e">
        <v>#NAME?</v>
      </c>
      <c r="AO198" s="144" t="e">
        <f aca="false">_xlfn.xlookup(AN198,A:A,F:F)</f>
        <v>#NAME?</v>
      </c>
      <c r="AP198" s="144" t="e">
        <f aca="false">_xlfn.xlookup(AN198,A:A,J:J)</f>
        <v>#NAME?</v>
      </c>
      <c r="AQ198" s="144" t="e">
        <f aca="false">_xlfn.xlookup(AN198,A:A,N:N)+_xlfn.xlookup(AN198,A:A,O:O)</f>
        <v>#NAME?</v>
      </c>
      <c r="AR198" s="150" t="e">
        <f aca="false">_xlfn.xlookup(AN198,A:A,AH:AH)</f>
        <v>#NAME?</v>
      </c>
      <c r="AS198" s="150" t="e">
        <f aca="false">_xlfn.xlookup(AN198,A:A,S:S)</f>
        <v>#NAME?</v>
      </c>
      <c r="AT198" s="150" t="e">
        <f aca="false">_xlfn.xlookup(AN198,A:A,AE:AE)</f>
        <v>#NAME?</v>
      </c>
      <c r="AU198" s="150" t="e">
        <f aca="false">_xlfn.xlookup(AN198,A:A,AF:AF)</f>
        <v>#NAME?</v>
      </c>
      <c r="BB198" s="246"/>
      <c r="BC198" s="246"/>
      <c r="BD198" s="246"/>
      <c r="BE198" s="246"/>
      <c r="BF198" s="246"/>
      <c r="BH198" s="152" t="e">
        <f aca="false">_xlfn.xlookup(BG198,A:A,F:F)</f>
        <v>#NAME?</v>
      </c>
      <c r="BI198" s="144" t="e">
        <f aca="false">_xlfn.xlookup(BG198,A:A,J:J)</f>
        <v>#NAME?</v>
      </c>
      <c r="BJ198" s="153" t="e">
        <f aca="false">_xlfn.xlookup(BG198,A:A,N:N)+_xlfn.xlookup(BG198,A:A,O:O)</f>
        <v>#NAME?</v>
      </c>
      <c r="BK198" s="153" t="e">
        <f aca="false">_xlfn.xlookup(BG198,A147:A1141,AB147:AB1141)</f>
        <v>#NAME?</v>
      </c>
      <c r="BQ198" s="144" t="str">
        <f aca="false">IF(VALUE(MONTH(C198))&lt;10,YEAR(C198)&amp;"-0"&amp;MONTH(C198),YEAR(C198)&amp;"-"&amp;MONTH(C198))</f>
        <v>2025-01</v>
      </c>
      <c r="BR198" s="144" t="str">
        <f aca="false">J198</f>
        <v>S21-1</v>
      </c>
      <c r="BS198" s="144" t="str">
        <f aca="false">IF(ISNUMBER(FIND("-", BR198)), LEFT(BR198, FIND("-", BR198) - 1), BR198)</f>
        <v>S21</v>
      </c>
      <c r="BT198" s="189" t="n">
        <f aca="false">L198-M198+O198</f>
        <v>7115.30784</v>
      </c>
    </row>
    <row r="199" customFormat="false" ht="16.4" hidden="false" customHeight="false" outlineLevel="0" collapsed="false">
      <c r="A199" s="140" t="s">
        <v>1157</v>
      </c>
      <c r="B199" s="249" t="s">
        <v>893</v>
      </c>
      <c r="C199" s="174" t="n">
        <v>45685</v>
      </c>
      <c r="D199" s="173" t="n">
        <v>314</v>
      </c>
      <c r="E199" s="138" t="s">
        <v>300</v>
      </c>
      <c r="F199" s="138" t="s">
        <v>462</v>
      </c>
      <c r="G199" s="140" t="s">
        <v>314</v>
      </c>
      <c r="H199" s="173" t="n">
        <v>40250</v>
      </c>
      <c r="I199" s="173" t="n">
        <v>30025</v>
      </c>
      <c r="J199" s="140" t="s">
        <v>904</v>
      </c>
      <c r="K199" s="140"/>
      <c r="L199" s="175" t="n">
        <v>11418.7368</v>
      </c>
      <c r="M199" s="175" t="n">
        <v>180</v>
      </c>
      <c r="N199" s="175" t="n">
        <v>10748.4</v>
      </c>
      <c r="O199" s="175"/>
      <c r="P199" s="175" t="n">
        <v>117.875</v>
      </c>
      <c r="Q199" s="176" t="n">
        <v>3</v>
      </c>
      <c r="R199" s="138" t="n">
        <v>3.75</v>
      </c>
      <c r="S199" s="177" t="n">
        <v>236.25</v>
      </c>
      <c r="T199" s="215"/>
      <c r="U199" s="178" t="n">
        <v>0.369342532440358</v>
      </c>
      <c r="V199" s="177" t="n">
        <v>3969.84127568195</v>
      </c>
      <c r="W199" s="177" t="n">
        <v>181.102235460701</v>
      </c>
      <c r="X199" s="179" t="n">
        <v>0.0429414223822025</v>
      </c>
      <c r="Y199" s="177" t="n">
        <v>19.9405208333333</v>
      </c>
      <c r="Z199" s="177" t="n">
        <v>65.1</v>
      </c>
      <c r="AA199" s="177" t="n">
        <v>225.360576923077</v>
      </c>
      <c r="AB199" s="177" t="n">
        <v>4697.59460889906</v>
      </c>
      <c r="AC199" s="215" t="n">
        <v>0.472</v>
      </c>
      <c r="AD199" s="215" t="s">
        <v>88</v>
      </c>
      <c r="AE199" s="177" t="n">
        <v>5073.2448</v>
      </c>
      <c r="AF199" s="177" t="n">
        <v>375.650191100941</v>
      </c>
      <c r="AG199" s="181" t="n">
        <v>0.0740453508375825</v>
      </c>
      <c r="AH199" s="180" t="n">
        <v>4150.94351114265</v>
      </c>
      <c r="AI199" s="181" t="n">
        <v>0.818202880953556</v>
      </c>
      <c r="AJ199" s="181"/>
      <c r="AK199" s="181" t="s">
        <v>1157</v>
      </c>
      <c r="AL199" s="182" t="n">
        <v>0.437050594404661</v>
      </c>
      <c r="AN199" s="144" t="e">
        <v>#NAME?</v>
      </c>
      <c r="AO199" s="144" t="e">
        <f aca="false">_xlfn.xlookup(AN199,A:A,F:F)</f>
        <v>#NAME?</v>
      </c>
      <c r="AP199" s="144" t="e">
        <f aca="false">_xlfn.xlookup(AN199,A:A,J:J)</f>
        <v>#NAME?</v>
      </c>
      <c r="AQ199" s="144" t="e">
        <f aca="false">_xlfn.xlookup(AN199,A:A,N:N)+_xlfn.xlookup(AN199,A:A,O:O)</f>
        <v>#NAME?</v>
      </c>
      <c r="AR199" s="150" t="e">
        <f aca="false">_xlfn.xlookup(AN199,A:A,AH:AH)</f>
        <v>#NAME?</v>
      </c>
      <c r="AS199" s="150" t="e">
        <f aca="false">_xlfn.xlookup(AN199,A:A,S:S)</f>
        <v>#NAME?</v>
      </c>
      <c r="AT199" s="150" t="e">
        <f aca="false">_xlfn.xlookup(AN199,A:A,AE:AE)</f>
        <v>#NAME?</v>
      </c>
      <c r="AU199" s="150" t="e">
        <f aca="false">_xlfn.xlookup(AN199,A:A,AF:AF)</f>
        <v>#NAME?</v>
      </c>
      <c r="BB199" s="246"/>
      <c r="BC199" s="246"/>
      <c r="BD199" s="246"/>
      <c r="BE199" s="246"/>
      <c r="BF199" s="246"/>
      <c r="BH199" s="152" t="e">
        <f aca="false">_xlfn.xlookup(BG199,A:A,F:F)</f>
        <v>#NAME?</v>
      </c>
      <c r="BI199" s="144" t="e">
        <f aca="false">_xlfn.xlookup(BG199,A:A,J:J)</f>
        <v>#NAME?</v>
      </c>
      <c r="BJ199" s="153" t="e">
        <f aca="false">_xlfn.xlookup(BG199,A:A,N:N)+_xlfn.xlookup(BG199,A:A,O:O)</f>
        <v>#NAME?</v>
      </c>
      <c r="BK199" s="153" t="e">
        <f aca="false">_xlfn.xlookup(BG199,A148:A1142,AB148:AB1142)</f>
        <v>#NAME?</v>
      </c>
      <c r="BQ199" s="144" t="str">
        <f aca="false">IF(VALUE(MONTH(C199))&lt;10,YEAR(C199)&amp;"-0"&amp;MONTH(C199),YEAR(C199)&amp;"-"&amp;MONTH(C199))</f>
        <v>2025-01</v>
      </c>
      <c r="BR199" s="144" t="str">
        <f aca="false">J199</f>
        <v>D11-1</v>
      </c>
      <c r="BS199" s="144" t="str">
        <f aca="false">IF(ISNUMBER(FIND("-", BR199)), LEFT(BR199, FIND("-", BR199) - 1), BR199)</f>
        <v>D11</v>
      </c>
      <c r="BT199" s="189" t="n">
        <f aca="false">L199-M199+O199</f>
        <v>11238.7368</v>
      </c>
    </row>
    <row r="200" customFormat="false" ht="16.4" hidden="false" customHeight="false" outlineLevel="0" collapsed="false">
      <c r="A200" s="140" t="s">
        <v>1158</v>
      </c>
      <c r="B200" s="249" t="s">
        <v>893</v>
      </c>
      <c r="C200" s="174" t="n">
        <v>45680</v>
      </c>
      <c r="D200" s="173" t="n">
        <v>315</v>
      </c>
      <c r="E200" s="138" t="s">
        <v>63</v>
      </c>
      <c r="F200" s="138" t="s">
        <v>500</v>
      </c>
      <c r="G200" s="140" t="n">
        <v>50009083</v>
      </c>
      <c r="H200" s="173" t="n">
        <v>40033</v>
      </c>
      <c r="I200" s="173" t="n">
        <v>30026</v>
      </c>
      <c r="J200" s="140" t="s">
        <v>905</v>
      </c>
      <c r="K200" s="140"/>
      <c r="L200" s="175" t="n">
        <v>66555.479232</v>
      </c>
      <c r="M200" s="175" t="n">
        <v>0</v>
      </c>
      <c r="N200" s="175" t="n">
        <v>65391.75</v>
      </c>
      <c r="O200" s="175"/>
      <c r="P200" s="175" t="n">
        <v>1132.5</v>
      </c>
      <c r="Q200" s="176" t="n">
        <v>0</v>
      </c>
      <c r="R200" s="138" t="n">
        <v>7.25</v>
      </c>
      <c r="S200" s="177" t="n">
        <v>-120.05</v>
      </c>
      <c r="T200" s="215" t="n">
        <v>1.4336</v>
      </c>
      <c r="U200" s="178" t="n">
        <v>0.31697056471568</v>
      </c>
      <c r="V200" s="177" t="n">
        <v>20727.2599252466</v>
      </c>
      <c r="W200" s="177" t="n">
        <v>368.867911843186</v>
      </c>
      <c r="X200" s="179" t="n">
        <v>0.0174851003317617</v>
      </c>
      <c r="Y200" s="177" t="n">
        <v>191.58125</v>
      </c>
      <c r="Z200" s="177" t="n">
        <v>0</v>
      </c>
      <c r="AA200" s="177" t="n">
        <v>435.697115384615</v>
      </c>
      <c r="AB200" s="177" t="n">
        <v>21603.3562024744</v>
      </c>
      <c r="AC200" s="215" t="n">
        <v>0.31</v>
      </c>
      <c r="AD200" s="215" t="s">
        <v>77</v>
      </c>
      <c r="AE200" s="177" t="n">
        <v>29061.139968</v>
      </c>
      <c r="AF200" s="177" t="n">
        <v>7457.78376552564</v>
      </c>
      <c r="AG200" s="181" t="n">
        <v>0.256623923691142</v>
      </c>
      <c r="AH200" s="180" t="n">
        <v>21096.1278370897</v>
      </c>
      <c r="AI200" s="181" t="n">
        <v>0.725922240501207</v>
      </c>
      <c r="AJ200" s="181"/>
      <c r="AK200" s="181" t="s">
        <v>1158</v>
      </c>
      <c r="AL200" s="182" t="n">
        <v>0.330368222328877</v>
      </c>
      <c r="AN200" s="144" t="e">
        <v>#NAME?</v>
      </c>
      <c r="AO200" s="144" t="e">
        <f aca="false">_xlfn.xlookup(AN200,A:A,F:F)</f>
        <v>#NAME?</v>
      </c>
      <c r="AP200" s="144" t="e">
        <f aca="false">_xlfn.xlookup(AN200,A:A,J:J)</f>
        <v>#NAME?</v>
      </c>
      <c r="AQ200" s="144" t="e">
        <f aca="false">_xlfn.xlookup(AN200,A:A,N:N)+_xlfn.xlookup(AN200,A:A,O:O)</f>
        <v>#NAME?</v>
      </c>
      <c r="AR200" s="150" t="e">
        <f aca="false">_xlfn.xlookup(AN200,A:A,AH:AH)</f>
        <v>#NAME?</v>
      </c>
      <c r="AS200" s="150" t="e">
        <f aca="false">_xlfn.xlookup(AN200,A:A,S:S)</f>
        <v>#NAME?</v>
      </c>
      <c r="AT200" s="150" t="e">
        <f aca="false">_xlfn.xlookup(AN200,A:A,AE:AE)</f>
        <v>#NAME?</v>
      </c>
      <c r="AU200" s="150" t="e">
        <f aca="false">_xlfn.xlookup(AN200,A:A,AF:AF)</f>
        <v>#NAME?</v>
      </c>
      <c r="BB200" s="246"/>
      <c r="BC200" s="246"/>
      <c r="BD200" s="246"/>
      <c r="BE200" s="246"/>
      <c r="BF200" s="246"/>
      <c r="BH200" s="152" t="e">
        <f aca="false">_xlfn.xlookup(BG200,A:A,F:F)</f>
        <v>#NAME?</v>
      </c>
      <c r="BI200" s="144" t="e">
        <f aca="false">_xlfn.xlookup(BG200,A:A,J:J)</f>
        <v>#NAME?</v>
      </c>
      <c r="BJ200" s="153" t="e">
        <f aca="false">_xlfn.xlookup(BG200,A:A,N:N)+_xlfn.xlookup(BG200,A:A,O:O)</f>
        <v>#NAME?</v>
      </c>
      <c r="BK200" s="153" t="e">
        <f aca="false">_xlfn.xlookup(BG200,A149:A1143,AB149:AB1143)</f>
        <v>#NAME?</v>
      </c>
      <c r="BQ200" s="144" t="str">
        <f aca="false">IF(VALUE(MONTH(C200))&lt;10,YEAR(C200)&amp;"-0"&amp;MONTH(C200),YEAR(C200)&amp;"-"&amp;MONTH(C200))</f>
        <v>2025-01</v>
      </c>
      <c r="BR200" s="144" t="str">
        <f aca="false">J200</f>
        <v>D11-2</v>
      </c>
      <c r="BS200" s="144" t="str">
        <f aca="false">IF(ISNUMBER(FIND("-", BR200)), LEFT(BR200, FIND("-", BR200) - 1), BR200)</f>
        <v>D11</v>
      </c>
      <c r="BT200" s="189" t="n">
        <f aca="false">L200-M200+O200</f>
        <v>66555.479232</v>
      </c>
    </row>
    <row r="201" customFormat="false" ht="16.4" hidden="false" customHeight="false" outlineLevel="0" collapsed="false">
      <c r="A201" s="140" t="s">
        <v>1159</v>
      </c>
      <c r="B201" s="249" t="s">
        <v>893</v>
      </c>
      <c r="C201" s="174" t="n">
        <v>45684</v>
      </c>
      <c r="D201" s="173" t="n">
        <v>316</v>
      </c>
      <c r="E201" s="138" t="s">
        <v>63</v>
      </c>
      <c r="F201" s="138" t="s">
        <v>500</v>
      </c>
      <c r="G201" s="140" t="n">
        <v>50009084</v>
      </c>
      <c r="H201" s="173" t="n">
        <v>40033</v>
      </c>
      <c r="I201" s="173" t="n">
        <v>30029</v>
      </c>
      <c r="J201" s="140" t="s">
        <v>906</v>
      </c>
      <c r="K201" s="140"/>
      <c r="L201" s="175" t="n">
        <v>43948.908432</v>
      </c>
      <c r="M201" s="175" t="n">
        <v>0</v>
      </c>
      <c r="N201" s="175" t="n">
        <v>43452</v>
      </c>
      <c r="O201" s="175"/>
      <c r="P201" s="175" t="n">
        <v>720</v>
      </c>
      <c r="Q201" s="176" t="n">
        <v>8</v>
      </c>
      <c r="R201" s="138" t="n">
        <v>4.5</v>
      </c>
      <c r="S201" s="177" t="n">
        <v>-121.84</v>
      </c>
      <c r="T201" s="215" t="n">
        <v>1.4394</v>
      </c>
      <c r="U201" s="178" t="n">
        <v>0.285235933537095</v>
      </c>
      <c r="V201" s="177" t="n">
        <v>12394.0717840538</v>
      </c>
      <c r="W201" s="177" t="n">
        <v>141.736140483973</v>
      </c>
      <c r="X201" s="179" t="n">
        <v>0.0113065022483741</v>
      </c>
      <c r="Y201" s="177" t="n">
        <v>121.8</v>
      </c>
      <c r="Z201" s="177" t="n">
        <v>173.6</v>
      </c>
      <c r="AA201" s="177" t="n">
        <v>270.432692307692</v>
      </c>
      <c r="AB201" s="177" t="n">
        <v>12979.8006168455</v>
      </c>
      <c r="AC201" s="215" t="n">
        <v>0.31</v>
      </c>
      <c r="AD201" s="215" t="s">
        <v>77</v>
      </c>
      <c r="AE201" s="177" t="n">
        <v>19388.890728</v>
      </c>
      <c r="AF201" s="177" t="n">
        <v>6409.0901111545</v>
      </c>
      <c r="AG201" s="181" t="n">
        <v>0.330554759478786</v>
      </c>
      <c r="AH201" s="180" t="n">
        <v>12535.8079245378</v>
      </c>
      <c r="AI201" s="181" t="n">
        <v>0.646545906127292</v>
      </c>
      <c r="AJ201" s="181"/>
      <c r="AK201" s="181" t="s">
        <v>1159</v>
      </c>
      <c r="AL201" s="182" t="n">
        <v>0.298715838553933</v>
      </c>
      <c r="AN201" s="144" t="e">
        <v>#NAME?</v>
      </c>
      <c r="AO201" s="144" t="e">
        <f aca="false">_xlfn.xlookup(AN201,A:A,F:F)</f>
        <v>#NAME?</v>
      </c>
      <c r="AP201" s="144" t="e">
        <f aca="false">_xlfn.xlookup(AN201,A:A,J:J)</f>
        <v>#NAME?</v>
      </c>
      <c r="AQ201" s="144" t="e">
        <f aca="false">_xlfn.xlookup(AN201,A:A,N:N)+_xlfn.xlookup(AN201,A:A,O:O)</f>
        <v>#NAME?</v>
      </c>
      <c r="AR201" s="150" t="e">
        <f aca="false">_xlfn.xlookup(AN201,A:A,AH:AH)</f>
        <v>#NAME?</v>
      </c>
      <c r="AS201" s="150" t="e">
        <f aca="false">_xlfn.xlookup(AN201,A:A,S:S)</f>
        <v>#NAME?</v>
      </c>
      <c r="AT201" s="150" t="e">
        <f aca="false">_xlfn.xlookup(AN201,A:A,AE:AE)</f>
        <v>#NAME?</v>
      </c>
      <c r="AU201" s="150" t="e">
        <f aca="false">_xlfn.xlookup(AN201,A:A,AF:AF)</f>
        <v>#NAME?</v>
      </c>
      <c r="BB201" s="246"/>
      <c r="BC201" s="246"/>
      <c r="BD201" s="246"/>
      <c r="BE201" s="246"/>
      <c r="BF201" s="246"/>
      <c r="BH201" s="152" t="e">
        <f aca="false">_xlfn.xlookup(BG201,A:A,F:F)</f>
        <v>#NAME?</v>
      </c>
      <c r="BI201" s="144" t="e">
        <f aca="false">_xlfn.xlookup(BG201,A:A,J:J)</f>
        <v>#NAME?</v>
      </c>
      <c r="BJ201" s="153" t="e">
        <f aca="false">_xlfn.xlookup(BG201,A:A,N:N)+_xlfn.xlookup(BG201,A:A,O:O)</f>
        <v>#NAME?</v>
      </c>
      <c r="BK201" s="153" t="e">
        <f aca="false">_xlfn.xlookup(BG201,A150:A1144,AB150:AB1144)</f>
        <v>#NAME?</v>
      </c>
      <c r="BQ201" s="144" t="str">
        <f aca="false">IF(VALUE(MONTH(C201))&lt;10,YEAR(C201)&amp;"-0"&amp;MONTH(C201),YEAR(C201)&amp;"-"&amp;MONTH(C201))</f>
        <v>2025-01</v>
      </c>
      <c r="BR201" s="144" t="str">
        <f aca="false">J201</f>
        <v>D11-3</v>
      </c>
      <c r="BS201" s="144" t="str">
        <f aca="false">IF(ISNUMBER(FIND("-", BR201)), LEFT(BR201, FIND("-", BR201) - 1), BR201)</f>
        <v>D11</v>
      </c>
      <c r="BT201" s="189" t="n">
        <f aca="false">L201-M201+O201</f>
        <v>43948.908432</v>
      </c>
    </row>
    <row r="202" customFormat="false" ht="16.4" hidden="false" customHeight="false" outlineLevel="0" collapsed="false">
      <c r="A202" s="140" t="s">
        <v>1160</v>
      </c>
      <c r="B202" s="249" t="s">
        <v>893</v>
      </c>
      <c r="C202" s="174" t="n">
        <v>45685</v>
      </c>
      <c r="D202" s="173" t="n">
        <v>314</v>
      </c>
      <c r="E202" s="138" t="s">
        <v>300</v>
      </c>
      <c r="F202" s="138" t="s">
        <v>462</v>
      </c>
      <c r="G202" s="140" t="s">
        <v>314</v>
      </c>
      <c r="H202" s="173" t="n">
        <v>40256</v>
      </c>
      <c r="I202" s="173" t="n">
        <v>30011</v>
      </c>
      <c r="J202" s="140" t="s">
        <v>760</v>
      </c>
      <c r="K202" s="140"/>
      <c r="L202" s="175" t="n">
        <v>598.8</v>
      </c>
      <c r="M202" s="175" t="n">
        <v>420.468</v>
      </c>
      <c r="N202" s="175" t="n">
        <v>165.6</v>
      </c>
      <c r="O202" s="175"/>
      <c r="P202" s="175" t="n">
        <v>6</v>
      </c>
      <c r="Q202" s="176" t="n">
        <v>3</v>
      </c>
      <c r="R202" s="138" t="n">
        <v>1.25</v>
      </c>
      <c r="S202" s="177" t="n">
        <v>0</v>
      </c>
      <c r="T202" s="215"/>
      <c r="U202" s="178" t="n">
        <v>0.28357864079936</v>
      </c>
      <c r="V202" s="177" t="n">
        <v>46.960622916374</v>
      </c>
      <c r="W202" s="177" t="n">
        <v>3.61052325465744</v>
      </c>
      <c r="X202" s="179" t="n">
        <v>0.0212625250501002</v>
      </c>
      <c r="Y202" s="177" t="n">
        <v>1.015</v>
      </c>
      <c r="Z202" s="177" t="n">
        <v>65.1</v>
      </c>
      <c r="AA202" s="177" t="n">
        <v>75.1201923076923</v>
      </c>
      <c r="AB202" s="177" t="n">
        <v>191.806338478724</v>
      </c>
      <c r="AC202" s="215" t="n">
        <v>0</v>
      </c>
      <c r="AD202" s="215" t="s">
        <v>88</v>
      </c>
      <c r="AE202" s="177" t="n">
        <v>0</v>
      </c>
      <c r="AF202" s="177" t="n">
        <v>-191.806338478724</v>
      </c>
      <c r="AG202" s="181"/>
      <c r="AH202" s="180" t="n">
        <v>50.5711461710314</v>
      </c>
      <c r="AI202" s="181"/>
      <c r="AJ202" s="181" t="s">
        <v>895</v>
      </c>
      <c r="AK202" s="181" t="s">
        <v>1160</v>
      </c>
      <c r="AL202" s="182" t="n">
        <v>1.15825083622418</v>
      </c>
      <c r="AN202" s="144" t="e">
        <v>#NAME?</v>
      </c>
      <c r="AO202" s="144" t="e">
        <f aca="false">_xlfn.xlookup(AN202,A:A,F:F)</f>
        <v>#NAME?</v>
      </c>
      <c r="AP202" s="144" t="e">
        <f aca="false">_xlfn.xlookup(AN202,A:A,J:J)</f>
        <v>#NAME?</v>
      </c>
      <c r="AQ202" s="144" t="e">
        <f aca="false">_xlfn.xlookup(AN202,A:A,N:N)+_xlfn.xlookup(AN202,A:A,O:O)</f>
        <v>#NAME?</v>
      </c>
      <c r="AR202" s="150" t="e">
        <f aca="false">_xlfn.xlookup(AN202,A:A,AH:AH)</f>
        <v>#NAME?</v>
      </c>
      <c r="AS202" s="150" t="e">
        <f aca="false">_xlfn.xlookup(AN202,A:A,S:S)</f>
        <v>#NAME?</v>
      </c>
      <c r="AT202" s="150" t="e">
        <f aca="false">_xlfn.xlookup(AN202,A:A,AE:AE)</f>
        <v>#NAME?</v>
      </c>
      <c r="AU202" s="150" t="e">
        <f aca="false">_xlfn.xlookup(AN202,A:A,AF:AF)</f>
        <v>#NAME?</v>
      </c>
      <c r="BB202" s="246"/>
      <c r="BC202" s="246"/>
      <c r="BD202" s="246"/>
      <c r="BE202" s="246"/>
      <c r="BF202" s="246"/>
      <c r="BH202" s="152" t="e">
        <f aca="false">_xlfn.xlookup(BG202,A:A,F:F)</f>
        <v>#NAME?</v>
      </c>
      <c r="BI202" s="144" t="e">
        <f aca="false">_xlfn.xlookup(BG202,A:A,J:J)</f>
        <v>#NAME?</v>
      </c>
      <c r="BJ202" s="153" t="e">
        <f aca="false">_xlfn.xlookup(BG202,A:A,N:N)+_xlfn.xlookup(BG202,A:A,O:O)</f>
        <v>#NAME?</v>
      </c>
      <c r="BK202" s="153" t="e">
        <f aca="false">_xlfn.xlookup(BG202,A151:A1145,AB151:AB1145)</f>
        <v>#NAME?</v>
      </c>
      <c r="BQ202" s="144" t="str">
        <f aca="false">IF(VALUE(MONTH(C202))&lt;10,YEAR(C202)&amp;"-0"&amp;MONTH(C202),YEAR(C202)&amp;"-"&amp;MONTH(C202))</f>
        <v>2025-01</v>
      </c>
      <c r="BR202" s="144" t="str">
        <f aca="false">J202</f>
        <v>S21-1</v>
      </c>
      <c r="BS202" s="144" t="str">
        <f aca="false">IF(ISNUMBER(FIND("-", BR202)), LEFT(BR202, FIND("-", BR202) - 1), BR202)</f>
        <v>S21</v>
      </c>
      <c r="BT202" s="189" t="n">
        <f aca="false">L202-M202+O202</f>
        <v>178.332</v>
      </c>
    </row>
    <row r="203" customFormat="false" ht="16.4" hidden="false" customHeight="false" outlineLevel="0" collapsed="false">
      <c r="A203" s="140" t="s">
        <v>1161</v>
      </c>
      <c r="B203" s="249" t="s">
        <v>893</v>
      </c>
      <c r="C203" s="174" t="n">
        <v>45685</v>
      </c>
      <c r="D203" s="173" t="n">
        <v>317</v>
      </c>
      <c r="E203" s="138" t="s">
        <v>94</v>
      </c>
      <c r="F203" s="138" t="s">
        <v>522</v>
      </c>
      <c r="G203" s="140" t="n">
        <v>107081</v>
      </c>
      <c r="H203" s="173" t="n">
        <v>40117</v>
      </c>
      <c r="I203" s="173" t="n">
        <v>30036</v>
      </c>
      <c r="J203" s="140" t="s">
        <v>762</v>
      </c>
      <c r="K203" s="140"/>
      <c r="L203" s="175" t="n">
        <v>27817.466688</v>
      </c>
      <c r="M203" s="175" t="n">
        <v>10697.9136</v>
      </c>
      <c r="N203" s="175" t="n">
        <v>16956</v>
      </c>
      <c r="O203" s="175"/>
      <c r="P203" s="175" t="n">
        <v>180</v>
      </c>
      <c r="Q203" s="176" t="n">
        <v>4</v>
      </c>
      <c r="R203" s="138" t="n">
        <v>3.5</v>
      </c>
      <c r="S203" s="177" t="n">
        <v>-31.456</v>
      </c>
      <c r="T203" s="215" t="n">
        <v>1.4394</v>
      </c>
      <c r="U203" s="178" t="n">
        <v>0.258256828537349</v>
      </c>
      <c r="V203" s="177" t="n">
        <v>4379.00278467928</v>
      </c>
      <c r="W203" s="177" t="n">
        <v>42.23870180437</v>
      </c>
      <c r="X203" s="179" t="n">
        <v>0.00587951051885522</v>
      </c>
      <c r="Y203" s="177" t="n">
        <v>30.45</v>
      </c>
      <c r="Z203" s="177" t="n">
        <v>86.8</v>
      </c>
      <c r="AA203" s="177" t="n">
        <v>210.336538461538</v>
      </c>
      <c r="AB203" s="177" t="n">
        <v>4717.37202494519</v>
      </c>
      <c r="AC203" s="215" t="n">
        <v>0.28</v>
      </c>
      <c r="AD203" s="215" t="s">
        <v>77</v>
      </c>
      <c r="AE203" s="177" t="n">
        <v>6833.810592</v>
      </c>
      <c r="AF203" s="177" t="n">
        <v>2116.43856705481</v>
      </c>
      <c r="AG203" s="181" t="n">
        <v>0.30970108676006</v>
      </c>
      <c r="AH203" s="180" t="n">
        <v>4421.24148648365</v>
      </c>
      <c r="AI203" s="181" t="n">
        <v>0.646965763385274</v>
      </c>
      <c r="AJ203" s="181"/>
      <c r="AK203" s="181" t="s">
        <v>1161</v>
      </c>
      <c r="AL203" s="182" t="n">
        <v>0.27821255160092</v>
      </c>
      <c r="AN203" s="144" t="e">
        <v>#NAME?</v>
      </c>
      <c r="AO203" s="144" t="e">
        <f aca="false">_xlfn.xlookup(AN203,A:A,F:F)</f>
        <v>#NAME?</v>
      </c>
      <c r="AP203" s="144" t="e">
        <f aca="false">_xlfn.xlookup(AN203,A:A,J:J)</f>
        <v>#NAME?</v>
      </c>
      <c r="AQ203" s="144" t="e">
        <f aca="false">_xlfn.xlookup(AN203,A:A,N:N)+_xlfn.xlookup(AN203,A:A,O:O)</f>
        <v>#NAME?</v>
      </c>
      <c r="AR203" s="150" t="e">
        <f aca="false">_xlfn.xlookup(AN203,A:A,AH:AH)</f>
        <v>#NAME?</v>
      </c>
      <c r="AS203" s="150" t="e">
        <f aca="false">_xlfn.xlookup(AN203,A:A,S:S)</f>
        <v>#NAME?</v>
      </c>
      <c r="AT203" s="150" t="e">
        <f aca="false">_xlfn.xlookup(AN203,A:A,AE:AE)</f>
        <v>#NAME?</v>
      </c>
      <c r="AU203" s="150" t="e">
        <f aca="false">_xlfn.xlookup(AN203,A:A,AF:AF)</f>
        <v>#NAME?</v>
      </c>
      <c r="BB203" s="246"/>
      <c r="BC203" s="246"/>
      <c r="BD203" s="246"/>
      <c r="BE203" s="246"/>
      <c r="BF203" s="246"/>
      <c r="BH203" s="152" t="e">
        <f aca="false">_xlfn.xlookup(BG203,A:A,F:F)</f>
        <v>#NAME?</v>
      </c>
      <c r="BI203" s="144" t="e">
        <f aca="false">_xlfn.xlookup(BG203,A:A,J:J)</f>
        <v>#NAME?</v>
      </c>
      <c r="BJ203" s="153" t="e">
        <f aca="false">_xlfn.xlookup(BG203,A:A,N:N)+_xlfn.xlookup(BG203,A:A,O:O)</f>
        <v>#NAME?</v>
      </c>
      <c r="BK203" s="153" t="e">
        <f aca="false">_xlfn.xlookup(BG203,A152:A1146,AB152:AB1146)</f>
        <v>#NAME?</v>
      </c>
      <c r="BQ203" s="144" t="str">
        <f aca="false">IF(VALUE(MONTH(C203))&lt;10,YEAR(C203)&amp;"-0"&amp;MONTH(C203),YEAR(C203)&amp;"-"&amp;MONTH(C203))</f>
        <v>2025-01</v>
      </c>
      <c r="BR203" s="144" t="str">
        <f aca="false">J203</f>
        <v>S15-3</v>
      </c>
      <c r="BS203" s="144" t="str">
        <f aca="false">IF(ISNUMBER(FIND("-", BR203)), LEFT(BR203, FIND("-", BR203) - 1), BR203)</f>
        <v>S15</v>
      </c>
      <c r="BT203" s="189" t="n">
        <f aca="false">L203-M203+O203</f>
        <v>17119.553088</v>
      </c>
    </row>
    <row r="204" customFormat="false" ht="16.4" hidden="false" customHeight="false" outlineLevel="0" collapsed="false">
      <c r="A204" s="140" t="s">
        <v>1162</v>
      </c>
      <c r="B204" s="249" t="s">
        <v>893</v>
      </c>
      <c r="C204" s="174" t="n">
        <v>45685</v>
      </c>
      <c r="D204" s="173" t="n">
        <v>318</v>
      </c>
      <c r="E204" s="138" t="s">
        <v>94</v>
      </c>
      <c r="F204" s="138" t="s">
        <v>522</v>
      </c>
      <c r="G204" s="140" t="n">
        <v>107085</v>
      </c>
      <c r="H204" s="173" t="n">
        <v>40258</v>
      </c>
      <c r="I204" s="173" t="n">
        <v>30011</v>
      </c>
      <c r="J204" s="140" t="s">
        <v>760</v>
      </c>
      <c r="K204" s="140"/>
      <c r="L204" s="175" t="n">
        <v>3542.112</v>
      </c>
      <c r="M204" s="175" t="n">
        <v>0</v>
      </c>
      <c r="N204" s="175" t="n">
        <v>3372</v>
      </c>
      <c r="O204" s="175"/>
      <c r="P204" s="175" t="n">
        <v>60</v>
      </c>
      <c r="Q204" s="176" t="n">
        <v>1</v>
      </c>
      <c r="R204" s="138" t="n">
        <v>1</v>
      </c>
      <c r="S204" s="177" t="n">
        <v>-7.864</v>
      </c>
      <c r="T204" s="215" t="n">
        <v>1.4394</v>
      </c>
      <c r="U204" s="178" t="n">
        <v>0.28357864079936</v>
      </c>
      <c r="V204" s="177" t="n">
        <v>956.227176775442</v>
      </c>
      <c r="W204" s="177" t="n">
        <v>48.2401297436606</v>
      </c>
      <c r="X204" s="179" t="n">
        <v>0.0480255847358863</v>
      </c>
      <c r="Y204" s="177" t="n">
        <v>10.15</v>
      </c>
      <c r="Z204" s="177" t="n">
        <v>21.7</v>
      </c>
      <c r="AA204" s="177" t="n">
        <v>60.0961538461539</v>
      </c>
      <c r="AB204" s="177" t="n">
        <v>1088.54946036526</v>
      </c>
      <c r="AC204" s="215" t="n">
        <v>0.27</v>
      </c>
      <c r="AD204" s="215" t="s">
        <v>77</v>
      </c>
      <c r="AE204" s="177" t="n">
        <v>1310.487336</v>
      </c>
      <c r="AF204" s="177" t="n">
        <v>221.937875634744</v>
      </c>
      <c r="AG204" s="181" t="n">
        <v>0.169355223463788</v>
      </c>
      <c r="AH204" s="180" t="n">
        <v>1004.4673065191</v>
      </c>
      <c r="AI204" s="181" t="n">
        <v>0.766483794940772</v>
      </c>
      <c r="AJ204" s="181"/>
      <c r="AK204" s="181" t="s">
        <v>1162</v>
      </c>
      <c r="AL204" s="182" t="n">
        <v>0.32282012466348</v>
      </c>
      <c r="AN204" s="144" t="e">
        <v>#NAME?</v>
      </c>
      <c r="AO204" s="144" t="e">
        <f aca="false">_xlfn.xlookup(AN204,A:A,F:F)</f>
        <v>#NAME?</v>
      </c>
      <c r="AP204" s="144" t="e">
        <f aca="false">_xlfn.xlookup(AN204,A:A,J:J)</f>
        <v>#NAME?</v>
      </c>
      <c r="AQ204" s="144" t="e">
        <f aca="false">_xlfn.xlookup(AN204,A:A,N:N)+_xlfn.xlookup(AN204,A:A,O:O)</f>
        <v>#NAME?</v>
      </c>
      <c r="AR204" s="150" t="e">
        <f aca="false">_xlfn.xlookup(AN204,A:A,AH:AH)</f>
        <v>#NAME?</v>
      </c>
      <c r="AS204" s="150" t="e">
        <f aca="false">_xlfn.xlookup(AN204,A:A,S:S)</f>
        <v>#NAME?</v>
      </c>
      <c r="AT204" s="150" t="e">
        <f aca="false">_xlfn.xlookup(AN204,A:A,AE:AE)</f>
        <v>#NAME?</v>
      </c>
      <c r="AU204" s="150" t="e">
        <f aca="false">_xlfn.xlookup(AN204,A:A,AF:AF)</f>
        <v>#NAME?</v>
      </c>
      <c r="BB204" s="246"/>
      <c r="BC204" s="246"/>
      <c r="BD204" s="246"/>
      <c r="BE204" s="246"/>
      <c r="BF204" s="246"/>
      <c r="BH204" s="152" t="e">
        <f aca="false">_xlfn.xlookup(BG204,A:A,F:F)</f>
        <v>#NAME?</v>
      </c>
      <c r="BI204" s="144" t="e">
        <f aca="false">_xlfn.xlookup(BG204,A:A,J:J)</f>
        <v>#NAME?</v>
      </c>
      <c r="BJ204" s="153" t="e">
        <f aca="false">_xlfn.xlookup(BG204,A:A,N:N)+_xlfn.xlookup(BG204,A:A,O:O)</f>
        <v>#NAME?</v>
      </c>
      <c r="BK204" s="153" t="e">
        <f aca="false">_xlfn.xlookup(BG204,A153:A1147,AB153:AB1147)</f>
        <v>#NAME?</v>
      </c>
      <c r="BQ204" s="144" t="str">
        <f aca="false">IF(VALUE(MONTH(C204))&lt;10,YEAR(C204)&amp;"-0"&amp;MONTH(C204),YEAR(C204)&amp;"-"&amp;MONTH(C204))</f>
        <v>2025-01</v>
      </c>
      <c r="BR204" s="144" t="str">
        <f aca="false">J204</f>
        <v>S21-1</v>
      </c>
      <c r="BS204" s="144" t="str">
        <f aca="false">IF(ISNUMBER(FIND("-", BR204)), LEFT(BR204, FIND("-", BR204) - 1), BR204)</f>
        <v>S21</v>
      </c>
      <c r="BT204" s="189" t="n">
        <f aca="false">L204-M204+O204</f>
        <v>3542.112</v>
      </c>
    </row>
    <row r="205" customFormat="false" ht="16.4" hidden="false" customHeight="false" outlineLevel="0" collapsed="false">
      <c r="A205" s="140" t="s">
        <v>1163</v>
      </c>
      <c r="B205" s="249" t="s">
        <v>893</v>
      </c>
      <c r="C205" s="174" t="n">
        <v>45703</v>
      </c>
      <c r="D205" s="173" t="n">
        <v>319</v>
      </c>
      <c r="E205" s="138" t="s">
        <v>78</v>
      </c>
      <c r="F205" s="138" t="s">
        <v>919</v>
      </c>
      <c r="G205" s="140" t="n">
        <v>511128</v>
      </c>
      <c r="H205" s="173" t="n">
        <v>40261</v>
      </c>
      <c r="I205" s="173" t="n">
        <v>30022</v>
      </c>
      <c r="J205" s="140" t="s">
        <v>909</v>
      </c>
      <c r="K205" s="140"/>
      <c r="L205" s="175" t="n">
        <v>13949.995722</v>
      </c>
      <c r="M205" s="258" t="n">
        <v>8169</v>
      </c>
      <c r="N205" s="258" t="n">
        <v>5601.6</v>
      </c>
      <c r="O205" s="175"/>
      <c r="P205" s="175" t="n">
        <v>59</v>
      </c>
      <c r="Q205" s="176" t="n">
        <v>1</v>
      </c>
      <c r="R205" s="138" t="n">
        <v>3</v>
      </c>
      <c r="S205" s="177" t="n">
        <v>210.84</v>
      </c>
      <c r="T205" s="215"/>
      <c r="U205" s="178" t="n">
        <v>0.125902150537634</v>
      </c>
      <c r="V205" s="177" t="n">
        <v>705.253486451613</v>
      </c>
      <c r="W205" s="177" t="n">
        <v>22.5863071970518</v>
      </c>
      <c r="X205" s="179" t="n">
        <v>0.0128599123308033</v>
      </c>
      <c r="Y205" s="177" t="n">
        <v>9.98083333333333</v>
      </c>
      <c r="Z205" s="177" t="n">
        <v>21.7</v>
      </c>
      <c r="AA205" s="177" t="n">
        <v>180.288461538462</v>
      </c>
      <c r="AB205" s="177" t="n">
        <v>1150.64908852046</v>
      </c>
      <c r="AC205" s="215" t="n">
        <v>0.226</v>
      </c>
      <c r="AD205" s="215" t="s">
        <v>88</v>
      </c>
      <c r="AE205" s="177" t="n">
        <v>1265.9616</v>
      </c>
      <c r="AF205" s="177" t="n">
        <v>115.312511479541</v>
      </c>
      <c r="AG205" s="181" t="n">
        <v>0.0910868951155712</v>
      </c>
      <c r="AH205" s="180" t="n">
        <v>727.839793648665</v>
      </c>
      <c r="AI205" s="181" t="n">
        <v>0.574930387816396</v>
      </c>
      <c r="AJ205" s="181"/>
      <c r="AK205" s="181" t="s">
        <v>1163</v>
      </c>
      <c r="AL205" s="182" t="n">
        <v>0.205414361703881</v>
      </c>
      <c r="AN205" s="144" t="e">
        <v>#NAME?</v>
      </c>
      <c r="AO205" s="144" t="e">
        <f aca="false">_xlfn.xlookup(AN205,A:A,F:F)</f>
        <v>#NAME?</v>
      </c>
      <c r="AP205" s="144" t="e">
        <f aca="false">_xlfn.xlookup(AN205,A:A,J:J)</f>
        <v>#NAME?</v>
      </c>
      <c r="AQ205" s="144" t="e">
        <f aca="false">_xlfn.xlookup(AN205,A:A,N:N)+_xlfn.xlookup(AN205,A:A,O:O)</f>
        <v>#NAME?</v>
      </c>
      <c r="AR205" s="150" t="e">
        <f aca="false">_xlfn.xlookup(AN205,A:A,AH:AH)</f>
        <v>#NAME?</v>
      </c>
      <c r="AS205" s="150" t="e">
        <f aca="false">_xlfn.xlookup(AN205,A:A,S:S)</f>
        <v>#NAME?</v>
      </c>
      <c r="AT205" s="150" t="e">
        <f aca="false">_xlfn.xlookup(AN205,A:A,AE:AE)</f>
        <v>#NAME?</v>
      </c>
      <c r="AU205" s="150" t="e">
        <f aca="false">_xlfn.xlookup(AN205,A:A,AF:AF)</f>
        <v>#NAME?</v>
      </c>
      <c r="BB205" s="246"/>
      <c r="BC205" s="246"/>
      <c r="BD205" s="246"/>
      <c r="BE205" s="246"/>
      <c r="BF205" s="246"/>
      <c r="BH205" s="152" t="e">
        <f aca="false">_xlfn.xlookup(BG205,A:A,F:F)</f>
        <v>#NAME?</v>
      </c>
      <c r="BI205" s="144" t="e">
        <f aca="false">_xlfn.xlookup(BG205,A:A,J:J)</f>
        <v>#NAME?</v>
      </c>
      <c r="BJ205" s="153" t="e">
        <f aca="false">_xlfn.xlookup(BG205,A:A,N:N)+_xlfn.xlookup(BG205,A:A,O:O)</f>
        <v>#NAME?</v>
      </c>
      <c r="BK205" s="153" t="e">
        <f aca="false">_xlfn.xlookup(BG205,A154:A1148,AB154:AB1148)</f>
        <v>#NAME?</v>
      </c>
      <c r="BQ205" s="144" t="str">
        <f aca="false">IF(VALUE(MONTH(C205))&lt;10,YEAR(C205)&amp;"-0"&amp;MONTH(C205),YEAR(C205)&amp;"-"&amp;MONTH(C205))</f>
        <v>2025-02</v>
      </c>
      <c r="BR205" s="144" t="str">
        <f aca="false">J205</f>
        <v>F70-6</v>
      </c>
      <c r="BS205" s="144" t="str">
        <f aca="false">IF(ISNUMBER(FIND("-", BR205)), LEFT(BR205, FIND("-", BR205) - 1), BR205)</f>
        <v>F70</v>
      </c>
      <c r="BT205" s="189" t="n">
        <f aca="false">L205-M205+O205</f>
        <v>5780.995722</v>
      </c>
    </row>
    <row r="206" customFormat="false" ht="16.4" hidden="false" customHeight="false" outlineLevel="0" collapsed="false">
      <c r="A206" s="140" t="s">
        <v>1164</v>
      </c>
      <c r="B206" s="249" t="s">
        <v>893</v>
      </c>
      <c r="C206" s="174" t="n">
        <v>45685</v>
      </c>
      <c r="D206" s="173" t="n">
        <v>320</v>
      </c>
      <c r="E206" s="138" t="s">
        <v>306</v>
      </c>
      <c r="F206" s="138" t="s">
        <v>596</v>
      </c>
      <c r="G206" s="140" t="s">
        <v>334</v>
      </c>
      <c r="H206" s="173" t="n">
        <v>40262</v>
      </c>
      <c r="I206" s="173" t="n">
        <v>30042</v>
      </c>
      <c r="J206" s="140" t="s">
        <v>754</v>
      </c>
      <c r="K206" s="140"/>
      <c r="L206" s="175" t="n">
        <v>15277.30488</v>
      </c>
      <c r="M206" s="175" t="n">
        <v>0</v>
      </c>
      <c r="N206" s="175" t="n">
        <v>14976</v>
      </c>
      <c r="O206" s="175"/>
      <c r="P206" s="175" t="n">
        <v>120</v>
      </c>
      <c r="Q206" s="176" t="n">
        <v>3</v>
      </c>
      <c r="R206" s="138" t="n">
        <v>2.5</v>
      </c>
      <c r="S206" s="177" t="n">
        <v>159.6</v>
      </c>
      <c r="T206" s="215"/>
      <c r="U206" s="178" t="n">
        <v>0.273486093127953</v>
      </c>
      <c r="V206" s="177" t="n">
        <v>4095.72773068423</v>
      </c>
      <c r="W206" s="177" t="n">
        <v>82.4026944715872</v>
      </c>
      <c r="X206" s="179" t="n">
        <v>0.0197223844366979</v>
      </c>
      <c r="Y206" s="177" t="n">
        <v>20.3</v>
      </c>
      <c r="Z206" s="177" t="n">
        <v>65.1</v>
      </c>
      <c r="AA206" s="177" t="n">
        <v>150.240384615385</v>
      </c>
      <c r="AB206" s="177" t="n">
        <v>4573.3708097712</v>
      </c>
      <c r="AC206" s="215" t="n">
        <v>0.371</v>
      </c>
      <c r="AD206" s="215" t="s">
        <v>88</v>
      </c>
      <c r="AE206" s="177" t="n">
        <v>5556.096</v>
      </c>
      <c r="AF206" s="177" t="n">
        <v>982.725190228798</v>
      </c>
      <c r="AG206" s="181" t="n">
        <v>0.176873328003835</v>
      </c>
      <c r="AH206" s="180" t="n">
        <v>4178.13042515582</v>
      </c>
      <c r="AI206" s="181" t="n">
        <v>0.751990322909434</v>
      </c>
      <c r="AJ206" s="181"/>
      <c r="AK206" s="181" t="s">
        <v>1164</v>
      </c>
      <c r="AL206" s="182" t="n">
        <v>0.305379995310577</v>
      </c>
      <c r="AN206" s="144" t="e">
        <v>#NAME?</v>
      </c>
      <c r="AO206" s="144" t="e">
        <f aca="false">_xlfn.xlookup(AN206,A:A,F:F)</f>
        <v>#NAME?</v>
      </c>
      <c r="AP206" s="144" t="e">
        <f aca="false">_xlfn.xlookup(AN206,A:A,J:J)</f>
        <v>#NAME?</v>
      </c>
      <c r="AQ206" s="144" t="e">
        <f aca="false">_xlfn.xlookup(AN206,A:A,N:N)+_xlfn.xlookup(AN206,A:A,O:O)</f>
        <v>#NAME?</v>
      </c>
      <c r="AR206" s="150" t="e">
        <f aca="false">_xlfn.xlookup(AN206,A:A,AH:AH)</f>
        <v>#NAME?</v>
      </c>
      <c r="AS206" s="150" t="e">
        <f aca="false">_xlfn.xlookup(AN206,A:A,S:S)</f>
        <v>#NAME?</v>
      </c>
      <c r="AT206" s="150" t="e">
        <f aca="false">_xlfn.xlookup(AN206,A:A,AE:AE)</f>
        <v>#NAME?</v>
      </c>
      <c r="AU206" s="150" t="e">
        <f aca="false">_xlfn.xlookup(AN206,A:A,AF:AF)</f>
        <v>#NAME?</v>
      </c>
      <c r="BB206" s="246"/>
      <c r="BC206" s="246"/>
      <c r="BD206" s="246"/>
      <c r="BE206" s="246"/>
      <c r="BF206" s="246"/>
      <c r="BH206" s="152" t="e">
        <f aca="false">_xlfn.xlookup(BG206,A:A,F:F)</f>
        <v>#NAME?</v>
      </c>
      <c r="BI206" s="144" t="e">
        <f aca="false">_xlfn.xlookup(BG206,A:A,J:J)</f>
        <v>#NAME?</v>
      </c>
      <c r="BJ206" s="153" t="e">
        <f aca="false">_xlfn.xlookup(BG206,A:A,N:N)+_xlfn.xlookup(BG206,A:A,O:O)</f>
        <v>#NAME?</v>
      </c>
      <c r="BK206" s="153" t="e">
        <f aca="false">_xlfn.xlookup(BG206,A155:A1149,AB155:AB1149)</f>
        <v>#NAME?</v>
      </c>
      <c r="BQ206" s="144" t="str">
        <f aca="false">IF(VALUE(MONTH(C206))&lt;10,YEAR(C206)&amp;"-0"&amp;MONTH(C206),YEAR(C206)&amp;"-"&amp;MONTH(C206))</f>
        <v>2025-01</v>
      </c>
      <c r="BR206" s="144" t="str">
        <f aca="false">J206</f>
        <v>T11-1</v>
      </c>
      <c r="BS206" s="144" t="str">
        <f aca="false">IF(ISNUMBER(FIND("-", BR206)), LEFT(BR206, FIND("-", BR206) - 1), BR206)</f>
        <v>T11</v>
      </c>
      <c r="BT206" s="189" t="n">
        <f aca="false">L206-M206+O206</f>
        <v>15277.30488</v>
      </c>
    </row>
    <row r="207" customFormat="false" ht="16.4" hidden="false" customHeight="false" outlineLevel="0" collapsed="false">
      <c r="A207" s="140" t="s">
        <v>1165</v>
      </c>
      <c r="B207" s="249" t="s">
        <v>893</v>
      </c>
      <c r="C207" s="174" t="n">
        <v>45686</v>
      </c>
      <c r="D207" s="173" t="n">
        <v>321</v>
      </c>
      <c r="E207" s="138" t="s">
        <v>210</v>
      </c>
      <c r="F207" s="138" t="s">
        <v>575</v>
      </c>
      <c r="G207" s="140" t="n">
        <v>3033</v>
      </c>
      <c r="H207" s="173" t="n">
        <v>40227</v>
      </c>
      <c r="I207" s="173" t="n">
        <v>30036</v>
      </c>
      <c r="J207" s="140" t="s">
        <v>762</v>
      </c>
      <c r="K207" s="140"/>
      <c r="L207" s="175" t="n">
        <v>14276.654832</v>
      </c>
      <c r="M207" s="258" t="n">
        <v>7083.7536</v>
      </c>
      <c r="N207" s="258" t="n">
        <v>6984</v>
      </c>
      <c r="O207" s="175"/>
      <c r="P207" s="175" t="n">
        <v>120.236</v>
      </c>
      <c r="Q207" s="176" t="n">
        <v>2</v>
      </c>
      <c r="R207" s="138" t="n">
        <v>1.75</v>
      </c>
      <c r="S207" s="177" t="n">
        <v>250.61</v>
      </c>
      <c r="T207" s="215"/>
      <c r="U207" s="259" t="n">
        <v>0.258256828537349</v>
      </c>
      <c r="V207" s="177" t="n">
        <v>1803.66569050484</v>
      </c>
      <c r="W207" s="177" t="n">
        <v>53.9501696538649</v>
      </c>
      <c r="X207" s="179" t="n">
        <v>0.0146323655266754</v>
      </c>
      <c r="Y207" s="177" t="n">
        <v>20.3399233333333</v>
      </c>
      <c r="Z207" s="177" t="n">
        <v>43.4</v>
      </c>
      <c r="AA207" s="177" t="n">
        <v>105.168269230769</v>
      </c>
      <c r="AB207" s="260" t="n">
        <v>2277.13405272281</v>
      </c>
      <c r="AC207" s="215" t="n">
        <v>0.363</v>
      </c>
      <c r="AD207" s="215" t="s">
        <v>88</v>
      </c>
      <c r="AE207" s="177" t="n">
        <v>2535.192</v>
      </c>
      <c r="AF207" s="177" t="n">
        <v>258.05794727719</v>
      </c>
      <c r="AG207" s="181" t="n">
        <v>0.101790297254484</v>
      </c>
      <c r="AH207" s="180" t="n">
        <v>1857.61586015871</v>
      </c>
      <c r="AI207" s="181" t="n">
        <v>0.732731824713358</v>
      </c>
      <c r="AJ207" s="181"/>
      <c r="AK207" s="181" t="s">
        <v>1165</v>
      </c>
      <c r="AL207" s="182" t="n">
        <v>0.326050122096622</v>
      </c>
      <c r="AN207" s="144" t="e">
        <v>#NAME?</v>
      </c>
      <c r="AO207" s="144" t="e">
        <f aca="false">_xlfn.xlookup(AN207,A:A,F:F)</f>
        <v>#NAME?</v>
      </c>
      <c r="AP207" s="144" t="e">
        <f aca="false">_xlfn.xlookup(AN207,A:A,J:J)</f>
        <v>#NAME?</v>
      </c>
      <c r="AQ207" s="144" t="e">
        <f aca="false">_xlfn.xlookup(AN207,A:A,N:N)+_xlfn.xlookup(AN207,A:A,O:O)</f>
        <v>#NAME?</v>
      </c>
      <c r="AR207" s="150" t="e">
        <f aca="false">_xlfn.xlookup(AN207,A:A,AH:AH)</f>
        <v>#NAME?</v>
      </c>
      <c r="AS207" s="150" t="e">
        <f aca="false">_xlfn.xlookup(AN207,A:A,S:S)</f>
        <v>#NAME?</v>
      </c>
      <c r="AT207" s="150" t="e">
        <f aca="false">_xlfn.xlookup(AN207,A:A,AE:AE)</f>
        <v>#NAME?</v>
      </c>
      <c r="AU207" s="150" t="e">
        <f aca="false">_xlfn.xlookup(AN207,A:A,AF:AF)</f>
        <v>#NAME?</v>
      </c>
      <c r="BB207" s="246"/>
      <c r="BC207" s="246"/>
      <c r="BD207" s="246"/>
      <c r="BE207" s="246"/>
      <c r="BF207" s="246"/>
      <c r="BH207" s="152" t="e">
        <f aca="false">_xlfn.xlookup(BG207,A:A,F:F)</f>
        <v>#NAME?</v>
      </c>
      <c r="BI207" s="144" t="e">
        <f aca="false">_xlfn.xlookup(BG207,A:A,J:J)</f>
        <v>#NAME?</v>
      </c>
      <c r="BJ207" s="153" t="e">
        <f aca="false">_xlfn.xlookup(BG207,A:A,N:N)+_xlfn.xlookup(BG207,A:A,O:O)</f>
        <v>#NAME?</v>
      </c>
      <c r="BK207" s="153" t="e">
        <f aca="false">_xlfn.xlookup(BG207,A156:A1150,AB156:AB1150)</f>
        <v>#NAME?</v>
      </c>
      <c r="BQ207" s="144" t="str">
        <f aca="false">IF(VALUE(MONTH(C207))&lt;10,YEAR(C207)&amp;"-0"&amp;MONTH(C207),YEAR(C207)&amp;"-"&amp;MONTH(C207))</f>
        <v>2025-01</v>
      </c>
      <c r="BR207" s="144" t="str">
        <f aca="false">J207</f>
        <v>S15-3</v>
      </c>
      <c r="BS207" s="144" t="str">
        <f aca="false">IF(ISNUMBER(FIND("-", BR207)), LEFT(BR207, FIND("-", BR207) - 1), BR207)</f>
        <v>S15</v>
      </c>
      <c r="BT207" s="189" t="n">
        <f aca="false">L207-M207+O207</f>
        <v>7192.901232</v>
      </c>
    </row>
    <row r="208" customFormat="false" ht="16.4" hidden="false" customHeight="false" outlineLevel="0" collapsed="false">
      <c r="A208" s="140" t="s">
        <v>1166</v>
      </c>
      <c r="B208" s="249" t="s">
        <v>893</v>
      </c>
      <c r="C208" s="174" t="n">
        <v>45687</v>
      </c>
      <c r="D208" s="173" t="n">
        <v>322</v>
      </c>
      <c r="E208" s="138" t="s">
        <v>194</v>
      </c>
      <c r="F208" s="138" t="s">
        <v>194</v>
      </c>
      <c r="G208" s="140" t="n">
        <v>2501830</v>
      </c>
      <c r="H208" s="173" t="n">
        <v>40224</v>
      </c>
      <c r="I208" s="173" t="n">
        <v>30042</v>
      </c>
      <c r="J208" s="140" t="s">
        <v>754</v>
      </c>
      <c r="K208" s="140"/>
      <c r="L208" s="175" t="n">
        <v>7638.65244</v>
      </c>
      <c r="M208" s="175" t="n">
        <v>0</v>
      </c>
      <c r="N208" s="175" t="n">
        <v>7488</v>
      </c>
      <c r="O208" s="175"/>
      <c r="P208" s="175" t="n">
        <v>60</v>
      </c>
      <c r="Q208" s="176" t="n">
        <v>2</v>
      </c>
      <c r="R208" s="138" t="n">
        <v>2</v>
      </c>
      <c r="S208" s="177" t="n">
        <v>113.05</v>
      </c>
      <c r="T208" s="215"/>
      <c r="U208" s="178" t="n">
        <v>0.273486093127953</v>
      </c>
      <c r="V208" s="177" t="n">
        <v>2047.86386534211</v>
      </c>
      <c r="W208" s="177" t="n">
        <v>41.2013472357936</v>
      </c>
      <c r="X208" s="179" t="n">
        <v>0.0197223844366979</v>
      </c>
      <c r="Y208" s="177" t="n">
        <v>10.15</v>
      </c>
      <c r="Z208" s="177" t="n">
        <v>43.4</v>
      </c>
      <c r="AA208" s="177" t="n">
        <v>120.192307692308</v>
      </c>
      <c r="AB208" s="177" t="n">
        <v>2375.85752027022</v>
      </c>
      <c r="AC208" s="215" t="n">
        <v>0.388</v>
      </c>
      <c r="AD208" s="215" t="s">
        <v>88</v>
      </c>
      <c r="AE208" s="177" t="n">
        <v>2905.344</v>
      </c>
      <c r="AF208" s="177" t="n">
        <v>529.486479729784</v>
      </c>
      <c r="AG208" s="181" t="n">
        <v>0.182245709881441</v>
      </c>
      <c r="AH208" s="180" t="n">
        <v>2089.06521257791</v>
      </c>
      <c r="AI208" s="181" t="n">
        <v>0.719042293297423</v>
      </c>
      <c r="AJ208" s="181"/>
      <c r="AK208" s="181" t="s">
        <v>1166</v>
      </c>
      <c r="AL208" s="182" t="n">
        <v>0.317288664566001</v>
      </c>
      <c r="AN208" s="144" t="e">
        <v>#NAME?</v>
      </c>
      <c r="AO208" s="144" t="e">
        <f aca="false">_xlfn.xlookup(AN208,A:A,F:F)</f>
        <v>#NAME?</v>
      </c>
      <c r="AP208" s="144" t="e">
        <f aca="false">_xlfn.xlookup(AN208,A:A,J:J)</f>
        <v>#NAME?</v>
      </c>
      <c r="AQ208" s="144" t="e">
        <f aca="false">_xlfn.xlookup(AN208,A:A,N:N)+_xlfn.xlookup(AN208,A:A,O:O)</f>
        <v>#NAME?</v>
      </c>
      <c r="AR208" s="150" t="e">
        <f aca="false">_xlfn.xlookup(AN208,A:A,AH:AH)</f>
        <v>#NAME?</v>
      </c>
      <c r="AS208" s="150" t="e">
        <f aca="false">_xlfn.xlookup(AN208,A:A,S:S)</f>
        <v>#NAME?</v>
      </c>
      <c r="AT208" s="150" t="e">
        <f aca="false">_xlfn.xlookup(AN208,A:A,AE:AE)</f>
        <v>#NAME?</v>
      </c>
      <c r="AU208" s="150" t="e">
        <f aca="false">_xlfn.xlookup(AN208,A:A,AF:AF)</f>
        <v>#NAME?</v>
      </c>
      <c r="BB208" s="246"/>
      <c r="BC208" s="246"/>
      <c r="BD208" s="246"/>
      <c r="BE208" s="246"/>
      <c r="BF208" s="246"/>
      <c r="BH208" s="152" t="e">
        <f aca="false">_xlfn.xlookup(BG208,A:A,F:F)</f>
        <v>#NAME?</v>
      </c>
      <c r="BI208" s="144" t="e">
        <f aca="false">_xlfn.xlookup(BG208,A:A,J:J)</f>
        <v>#NAME?</v>
      </c>
      <c r="BJ208" s="153" t="e">
        <f aca="false">_xlfn.xlookup(BG208,A:A,N:N)+_xlfn.xlookup(BG208,A:A,O:O)</f>
        <v>#NAME?</v>
      </c>
      <c r="BK208" s="153" t="e">
        <f aca="false">_xlfn.xlookup(BG208,A157:A1151,AB157:AB1151)</f>
        <v>#NAME?</v>
      </c>
      <c r="BQ208" s="144" t="str">
        <f aca="false">IF(VALUE(MONTH(C208))&lt;10,YEAR(C208)&amp;"-0"&amp;MONTH(C208),YEAR(C208)&amp;"-"&amp;MONTH(C208))</f>
        <v>2025-01</v>
      </c>
      <c r="BR208" s="144" t="str">
        <f aca="false">J208</f>
        <v>T11-1</v>
      </c>
      <c r="BS208" s="144" t="str">
        <f aca="false">IF(ISNUMBER(FIND("-", BR208)), LEFT(BR208, FIND("-", BR208) - 1), BR208)</f>
        <v>T11</v>
      </c>
      <c r="BT208" s="189" t="n">
        <f aca="false">L208-M208+O208</f>
        <v>7638.65244</v>
      </c>
    </row>
    <row r="209" customFormat="false" ht="16.4" hidden="false" customHeight="false" outlineLevel="0" collapsed="false">
      <c r="A209" s="140" t="s">
        <v>1167</v>
      </c>
      <c r="B209" s="249" t="s">
        <v>893</v>
      </c>
      <c r="C209" s="174" t="n">
        <v>45687</v>
      </c>
      <c r="D209" s="173" t="n">
        <v>323</v>
      </c>
      <c r="E209" s="138" t="s">
        <v>94</v>
      </c>
      <c r="F209" s="138" t="s">
        <v>522</v>
      </c>
      <c r="G209" s="140" t="n">
        <v>107253</v>
      </c>
      <c r="H209" s="173" t="n">
        <v>40242</v>
      </c>
      <c r="I209" s="173" t="n">
        <v>30011</v>
      </c>
      <c r="J209" s="140" t="s">
        <v>760</v>
      </c>
      <c r="K209" s="140"/>
      <c r="L209" s="175" t="n">
        <v>7115.30784</v>
      </c>
      <c r="M209" s="175" t="n">
        <v>0</v>
      </c>
      <c r="N209" s="175" t="n">
        <v>6984</v>
      </c>
      <c r="O209" s="175"/>
      <c r="P209" s="175" t="n">
        <v>60</v>
      </c>
      <c r="Q209" s="176" t="n">
        <v>2</v>
      </c>
      <c r="R209" s="138" t="n">
        <v>2.25</v>
      </c>
      <c r="S209" s="177" t="n">
        <v>-32.78</v>
      </c>
      <c r="T209" s="215" t="n">
        <v>1.4484</v>
      </c>
      <c r="U209" s="178" t="n">
        <v>0.28357864079936</v>
      </c>
      <c r="V209" s="177" t="n">
        <v>1980.51322734273</v>
      </c>
      <c r="W209" s="177" t="n">
        <v>37.2360987934997</v>
      </c>
      <c r="X209" s="179" t="n">
        <v>0.018454273933424</v>
      </c>
      <c r="Y209" s="177" t="n">
        <v>10.15</v>
      </c>
      <c r="Z209" s="177" t="n">
        <v>43.4</v>
      </c>
      <c r="AA209" s="177" t="n">
        <v>135.216346153846</v>
      </c>
      <c r="AB209" s="177" t="n">
        <v>2173.73567229008</v>
      </c>
      <c r="AC209" s="215" t="n">
        <v>0.27</v>
      </c>
      <c r="AD209" s="215" t="s">
        <v>77</v>
      </c>
      <c r="AE209" s="177" t="n">
        <v>2731.218912</v>
      </c>
      <c r="AF209" s="177" t="n">
        <v>557.483239709924</v>
      </c>
      <c r="AG209" s="181" t="n">
        <v>0.204115179951538</v>
      </c>
      <c r="AH209" s="180" t="n">
        <v>2017.74932613623</v>
      </c>
      <c r="AI209" s="181" t="n">
        <v>0.738772464290929</v>
      </c>
      <c r="AJ209" s="181"/>
      <c r="AK209" s="181" t="s">
        <v>1167</v>
      </c>
      <c r="AL209" s="182" t="n">
        <v>0.311245084806712</v>
      </c>
      <c r="AN209" s="144" t="e">
        <v>#NAME?</v>
      </c>
      <c r="AO209" s="144" t="e">
        <f aca="false">_xlfn.xlookup(AN209,A:A,F:F)</f>
        <v>#NAME?</v>
      </c>
      <c r="AP209" s="144" t="e">
        <f aca="false">_xlfn.xlookup(AN209,A:A,J:J)</f>
        <v>#NAME?</v>
      </c>
      <c r="AQ209" s="144" t="e">
        <f aca="false">_xlfn.xlookup(AN209,A:A,N:N)+_xlfn.xlookup(AN209,A:A,O:O)</f>
        <v>#NAME?</v>
      </c>
      <c r="AR209" s="150" t="e">
        <f aca="false">_xlfn.xlookup(AN209,A:A,AH:AH)</f>
        <v>#NAME?</v>
      </c>
      <c r="AS209" s="150" t="e">
        <f aca="false">_xlfn.xlookup(AN209,A:A,S:S)</f>
        <v>#NAME?</v>
      </c>
      <c r="AT209" s="150" t="e">
        <f aca="false">_xlfn.xlookup(AN209,A:A,AE:AE)</f>
        <v>#NAME?</v>
      </c>
      <c r="AU209" s="150" t="e">
        <f aca="false">_xlfn.xlookup(AN209,A:A,AF:AF)</f>
        <v>#NAME?</v>
      </c>
      <c r="BB209" s="246"/>
      <c r="BC209" s="246"/>
      <c r="BD209" s="246"/>
      <c r="BE209" s="246"/>
      <c r="BF209" s="246"/>
      <c r="BH209" s="152" t="e">
        <f aca="false">_xlfn.xlookup(BG209,A:A,F:F)</f>
        <v>#NAME?</v>
      </c>
      <c r="BI209" s="144" t="e">
        <f aca="false">_xlfn.xlookup(BG209,A:A,J:J)</f>
        <v>#NAME?</v>
      </c>
      <c r="BJ209" s="153" t="e">
        <f aca="false">_xlfn.xlookup(BG209,A:A,N:N)+_xlfn.xlookup(BG209,A:A,O:O)</f>
        <v>#NAME?</v>
      </c>
      <c r="BK209" s="153" t="e">
        <f aca="false">_xlfn.xlookup(BG209,A158:A1152,AB158:AB1152)</f>
        <v>#NAME?</v>
      </c>
      <c r="BQ209" s="144" t="str">
        <f aca="false">IF(VALUE(MONTH(C209))&lt;10,YEAR(C209)&amp;"-0"&amp;MONTH(C209),YEAR(C209)&amp;"-"&amp;MONTH(C209))</f>
        <v>2025-01</v>
      </c>
      <c r="BR209" s="144" t="str">
        <f aca="false">J209</f>
        <v>S21-1</v>
      </c>
      <c r="BS209" s="144" t="str">
        <f aca="false">IF(ISNUMBER(FIND("-", BR209)), LEFT(BR209, FIND("-", BR209) - 1), BR209)</f>
        <v>S21</v>
      </c>
      <c r="BT209" s="189" t="n">
        <f aca="false">L209-M209+O209</f>
        <v>7115.30784</v>
      </c>
    </row>
    <row r="210" customFormat="false" ht="16.4" hidden="false" customHeight="false" outlineLevel="0" collapsed="false">
      <c r="A210" s="140" t="s">
        <v>1168</v>
      </c>
      <c r="B210" s="249" t="s">
        <v>893</v>
      </c>
      <c r="C210" s="174" t="n">
        <v>45688</v>
      </c>
      <c r="D210" s="173" t="n">
        <v>324</v>
      </c>
      <c r="E210" s="138" t="s">
        <v>248</v>
      </c>
      <c r="F210" s="138" t="s">
        <v>527</v>
      </c>
      <c r="G210" s="140" t="s">
        <v>341</v>
      </c>
      <c r="H210" s="173" t="n">
        <v>40265</v>
      </c>
      <c r="I210" s="173" t="n">
        <v>30036</v>
      </c>
      <c r="J210" s="140" t="s">
        <v>762</v>
      </c>
      <c r="K210" s="140"/>
      <c r="L210" s="175" t="n">
        <v>3686.4432</v>
      </c>
      <c r="M210" s="175" t="n">
        <v>0</v>
      </c>
      <c r="N210" s="175" t="n">
        <v>3600</v>
      </c>
      <c r="O210" s="175"/>
      <c r="P210" s="175" t="n">
        <v>60</v>
      </c>
      <c r="Q210" s="176" t="n">
        <v>1</v>
      </c>
      <c r="R210" s="138" t="n">
        <v>1.5</v>
      </c>
      <c r="S210" s="177" t="n">
        <v>105</v>
      </c>
      <c r="T210" s="215"/>
      <c r="U210" s="178" t="n">
        <v>0.258256828537349</v>
      </c>
      <c r="V210" s="177" t="n">
        <v>929.724582734455</v>
      </c>
      <c r="W210" s="177" t="n">
        <v>22.3245466806198</v>
      </c>
      <c r="X210" s="179" t="n">
        <v>0.023448943957688</v>
      </c>
      <c r="Y210" s="177" t="n">
        <v>10.15</v>
      </c>
      <c r="Z210" s="177" t="n">
        <v>21.7</v>
      </c>
      <c r="AA210" s="177" t="n">
        <v>90.1442307692308</v>
      </c>
      <c r="AB210" s="177" t="n">
        <v>1179.04336018431</v>
      </c>
      <c r="AC210" s="215" t="n">
        <v>0.363</v>
      </c>
      <c r="AD210" s="215" t="s">
        <v>88</v>
      </c>
      <c r="AE210" s="177" t="n">
        <v>1306.8</v>
      </c>
      <c r="AF210" s="177" t="n">
        <v>127.756639815694</v>
      </c>
      <c r="AG210" s="181" t="n">
        <v>0.0977629628219271</v>
      </c>
      <c r="AH210" s="180" t="n">
        <v>952.049129415075</v>
      </c>
      <c r="AI210" s="181" t="n">
        <v>0.728534687339359</v>
      </c>
      <c r="AJ210" s="181"/>
      <c r="AK210" s="181" t="s">
        <v>1168</v>
      </c>
      <c r="AL210" s="182" t="n">
        <v>0.32751204449564</v>
      </c>
      <c r="AN210" s="144" t="e">
        <v>#NAME?</v>
      </c>
      <c r="AO210" s="144" t="e">
        <f aca="false">_xlfn.xlookup(AN210,A:A,F:F)</f>
        <v>#NAME?</v>
      </c>
      <c r="AP210" s="144" t="e">
        <f aca="false">_xlfn.xlookup(AN210,A:A,J:J)</f>
        <v>#NAME?</v>
      </c>
      <c r="AQ210" s="144" t="e">
        <f aca="false">_xlfn.xlookup(AN210,A:A,N:N)+_xlfn.xlookup(AN210,A:A,O:O)</f>
        <v>#NAME?</v>
      </c>
      <c r="AR210" s="150" t="e">
        <f aca="false">_xlfn.xlookup(AN210,A:A,AH:AH)</f>
        <v>#NAME?</v>
      </c>
      <c r="AS210" s="150" t="e">
        <f aca="false">_xlfn.xlookup(AN210,A:A,S:S)</f>
        <v>#NAME?</v>
      </c>
      <c r="AT210" s="150" t="e">
        <f aca="false">_xlfn.xlookup(AN210,A:A,AE:AE)</f>
        <v>#NAME?</v>
      </c>
      <c r="AU210" s="150" t="e">
        <f aca="false">_xlfn.xlookup(AN210,A:A,AF:AF)</f>
        <v>#NAME?</v>
      </c>
      <c r="BB210" s="246"/>
      <c r="BC210" s="246"/>
      <c r="BD210" s="246"/>
      <c r="BE210" s="246"/>
      <c r="BF210" s="246"/>
      <c r="BH210" s="152" t="e">
        <f aca="false">_xlfn.xlookup(BG210,A:A,F:F)</f>
        <v>#NAME?</v>
      </c>
      <c r="BI210" s="144" t="e">
        <f aca="false">_xlfn.xlookup(BG210,A:A,J:J)</f>
        <v>#NAME?</v>
      </c>
      <c r="BJ210" s="153" t="e">
        <f aca="false">_xlfn.xlookup(BG210,A:A,N:N)+_xlfn.xlookup(BG210,A:A,O:O)</f>
        <v>#NAME?</v>
      </c>
      <c r="BK210" s="153" t="e">
        <f aca="false">_xlfn.xlookup(BG210,A159:A1153,AB159:AB1153)</f>
        <v>#NAME?</v>
      </c>
      <c r="BQ210" s="144" t="str">
        <f aca="false">IF(VALUE(MONTH(C210))&lt;10,YEAR(C210)&amp;"-0"&amp;MONTH(C210),YEAR(C210)&amp;"-"&amp;MONTH(C210))</f>
        <v>2025-01</v>
      </c>
      <c r="BR210" s="144" t="str">
        <f aca="false">J210</f>
        <v>S15-3</v>
      </c>
      <c r="BS210" s="144" t="str">
        <f aca="false">IF(ISNUMBER(FIND("-", BR210)), LEFT(BR210, FIND("-", BR210) - 1), BR210)</f>
        <v>S15</v>
      </c>
      <c r="BT210" s="189" t="n">
        <f aca="false">L210-M210+O210</f>
        <v>3686.4432</v>
      </c>
    </row>
    <row r="211" customFormat="false" ht="16.4" hidden="false" customHeight="false" outlineLevel="0" collapsed="false">
      <c r="A211" s="140" t="s">
        <v>1169</v>
      </c>
      <c r="B211" s="249" t="s">
        <v>893</v>
      </c>
      <c r="C211" s="174" t="n">
        <v>45688</v>
      </c>
      <c r="D211" s="173" t="n">
        <v>325</v>
      </c>
      <c r="E211" s="138" t="s">
        <v>94</v>
      </c>
      <c r="F211" s="138" t="s">
        <v>522</v>
      </c>
      <c r="G211" s="140" t="n">
        <v>107295</v>
      </c>
      <c r="H211" s="173" t="n">
        <v>40173</v>
      </c>
      <c r="I211" s="173" t="n">
        <v>30011</v>
      </c>
      <c r="J211" s="140" t="s">
        <v>760</v>
      </c>
      <c r="K211" s="140"/>
      <c r="L211" s="175" t="n">
        <v>14230.61568</v>
      </c>
      <c r="M211" s="175" t="n">
        <v>0</v>
      </c>
      <c r="N211" s="175" t="n">
        <v>14032.8</v>
      </c>
      <c r="O211" s="175"/>
      <c r="P211" s="175" t="n">
        <v>120</v>
      </c>
      <c r="Q211" s="176" t="n">
        <v>4</v>
      </c>
      <c r="R211" s="138" t="n">
        <v>3</v>
      </c>
      <c r="S211" s="177" t="n">
        <v>-44.49</v>
      </c>
      <c r="T211" s="215" t="n">
        <v>1.4603</v>
      </c>
      <c r="U211" s="178" t="n">
        <v>0.28357864079936</v>
      </c>
      <c r="V211" s="177" t="n">
        <v>3979.40235060926</v>
      </c>
      <c r="W211" s="177" t="n">
        <v>56.096301663201</v>
      </c>
      <c r="X211" s="179" t="n">
        <v>0.0139007112867235</v>
      </c>
      <c r="Y211" s="177" t="n">
        <v>20.3</v>
      </c>
      <c r="Z211" s="177" t="n">
        <v>86.8</v>
      </c>
      <c r="AA211" s="177" t="n">
        <v>180.288461538462</v>
      </c>
      <c r="AB211" s="177" t="n">
        <v>4278.39711381092</v>
      </c>
      <c r="AC211" s="215" t="n">
        <v>0.27</v>
      </c>
      <c r="AD211" s="215" t="s">
        <v>77</v>
      </c>
      <c r="AE211" s="177" t="n">
        <v>5532.8664168</v>
      </c>
      <c r="AF211" s="177" t="n">
        <v>1254.46930298908</v>
      </c>
      <c r="AG211" s="181" t="n">
        <v>0.226730451901027</v>
      </c>
      <c r="AH211" s="180" t="n">
        <v>4035.49865227246</v>
      </c>
      <c r="AI211" s="181" t="n">
        <v>0.72936853129493</v>
      </c>
      <c r="AJ211" s="181"/>
      <c r="AK211" s="181" t="s">
        <v>1169</v>
      </c>
      <c r="AL211" s="182" t="n">
        <v>0.304885490694011</v>
      </c>
      <c r="AN211" s="144" t="e">
        <v>#NAME?</v>
      </c>
      <c r="AO211" s="144" t="e">
        <f aca="false">_xlfn.xlookup(AN211,A:A,F:F)</f>
        <v>#NAME?</v>
      </c>
      <c r="AP211" s="144" t="e">
        <f aca="false">_xlfn.xlookup(AN211,A:A,J:J)</f>
        <v>#NAME?</v>
      </c>
      <c r="AQ211" s="144" t="e">
        <f aca="false">_xlfn.xlookup(AN211,A:A,N:N)+_xlfn.xlookup(AN211,A:A,O:O)</f>
        <v>#NAME?</v>
      </c>
      <c r="AR211" s="150" t="e">
        <f aca="false">_xlfn.xlookup(AN211,A:A,AH:AH)</f>
        <v>#NAME?</v>
      </c>
      <c r="AS211" s="150" t="e">
        <f aca="false">_xlfn.xlookup(AN211,A:A,S:S)</f>
        <v>#NAME?</v>
      </c>
      <c r="AT211" s="150" t="e">
        <f aca="false">_xlfn.xlookup(AN211,A:A,AE:AE)</f>
        <v>#NAME?</v>
      </c>
      <c r="AU211" s="150" t="e">
        <f aca="false">_xlfn.xlookup(AN211,A:A,AF:AF)</f>
        <v>#NAME?</v>
      </c>
      <c r="BB211" s="246"/>
      <c r="BC211" s="246"/>
      <c r="BD211" s="246"/>
      <c r="BE211" s="246"/>
      <c r="BF211" s="246"/>
      <c r="BH211" s="152" t="e">
        <f aca="false">_xlfn.xlookup(BG211,A:A,F:F)</f>
        <v>#NAME?</v>
      </c>
      <c r="BI211" s="144" t="e">
        <f aca="false">_xlfn.xlookup(BG211,A:A,J:J)</f>
        <v>#NAME?</v>
      </c>
      <c r="BJ211" s="153" t="e">
        <f aca="false">_xlfn.xlookup(BG211,A:A,N:N)+_xlfn.xlookup(BG211,A:A,O:O)</f>
        <v>#NAME?</v>
      </c>
      <c r="BK211" s="153" t="e">
        <f aca="false">_xlfn.xlookup(BG211,A160:A1154,AB160:AB1154)</f>
        <v>#NAME?</v>
      </c>
      <c r="BQ211" s="144" t="str">
        <f aca="false">IF(VALUE(MONTH(C211))&lt;10,YEAR(C211)&amp;"-0"&amp;MONTH(C211),YEAR(C211)&amp;"-"&amp;MONTH(C211))</f>
        <v>2025-01</v>
      </c>
      <c r="BR211" s="144" t="str">
        <f aca="false">J211</f>
        <v>S21-1</v>
      </c>
      <c r="BS211" s="144" t="str">
        <f aca="false">IF(ISNUMBER(FIND("-", BR211)), LEFT(BR211, FIND("-", BR211) - 1), BR211)</f>
        <v>S21</v>
      </c>
      <c r="BT211" s="189" t="n">
        <f aca="false">L211-M211+O211</f>
        <v>14230.61568</v>
      </c>
    </row>
    <row r="212" customFormat="false" ht="16.4" hidden="false" customHeight="false" outlineLevel="0" collapsed="false">
      <c r="A212" s="140" t="s">
        <v>1170</v>
      </c>
      <c r="B212" s="249" t="s">
        <v>893</v>
      </c>
      <c r="C212" s="174" t="n">
        <v>45671</v>
      </c>
      <c r="D212" s="173" t="n">
        <v>326</v>
      </c>
      <c r="E212" s="138" t="s">
        <v>221</v>
      </c>
      <c r="F212" s="138" t="s">
        <v>935</v>
      </c>
      <c r="G212" s="140" t="s">
        <v>344</v>
      </c>
      <c r="H212" s="173" t="n">
        <v>40217</v>
      </c>
      <c r="I212" s="173" t="s">
        <v>1171</v>
      </c>
      <c r="J212" s="140" t="s">
        <v>740</v>
      </c>
      <c r="K212" s="140"/>
      <c r="L212" s="175" t="n">
        <v>15277.30488</v>
      </c>
      <c r="M212" s="175" t="n">
        <v>0</v>
      </c>
      <c r="N212" s="175" t="n">
        <v>15048</v>
      </c>
      <c r="O212" s="175"/>
      <c r="P212" s="175" t="n">
        <v>120</v>
      </c>
      <c r="Q212" s="176" t="n">
        <v>3</v>
      </c>
      <c r="R212" s="138" t="n">
        <v>4.5</v>
      </c>
      <c r="S212" s="177" t="n">
        <v>476.25</v>
      </c>
      <c r="T212" s="215"/>
      <c r="U212" s="178" t="n">
        <v>0.327</v>
      </c>
      <c r="V212" s="177" t="n">
        <v>4920.696</v>
      </c>
      <c r="W212" s="177" t="n">
        <v>74.9826957599993</v>
      </c>
      <c r="X212" s="179" t="n">
        <v>0.0150095112849511</v>
      </c>
      <c r="Y212" s="177" t="n">
        <v>20.3</v>
      </c>
      <c r="Z212" s="177" t="n">
        <v>65.1</v>
      </c>
      <c r="AA212" s="177" t="n">
        <v>270.432692307692</v>
      </c>
      <c r="AB212" s="177" t="n">
        <v>5827.76138806769</v>
      </c>
      <c r="AC212" s="215" t="n">
        <v>0.444</v>
      </c>
      <c r="AD212" s="215" t="s">
        <v>88</v>
      </c>
      <c r="AE212" s="177" t="n">
        <v>6681.312</v>
      </c>
      <c r="AF212" s="177" t="n">
        <v>853.550611932308</v>
      </c>
      <c r="AG212" s="181" t="n">
        <v>0.127751946314183</v>
      </c>
      <c r="AH212" s="180" t="n">
        <v>4995.67869576</v>
      </c>
      <c r="AI212" s="181" t="n">
        <v>0.747709236712789</v>
      </c>
      <c r="AJ212" s="181"/>
      <c r="AK212" s="181" t="s">
        <v>1170</v>
      </c>
      <c r="AL212" s="182" t="n">
        <v>0.387278135836503</v>
      </c>
      <c r="AN212" s="144" t="e">
        <v>#NAME?</v>
      </c>
      <c r="AO212" s="144" t="e">
        <f aca="false">_xlfn.xlookup(AN212,A:A,F:F)</f>
        <v>#NAME?</v>
      </c>
      <c r="AP212" s="144" t="e">
        <f aca="false">_xlfn.xlookup(AN212,A:A,J:J)</f>
        <v>#NAME?</v>
      </c>
      <c r="AQ212" s="144" t="e">
        <f aca="false">_xlfn.xlookup(AN212,A:A,N:N)+_xlfn.xlookup(AN212,A:A,O:O)</f>
        <v>#NAME?</v>
      </c>
      <c r="AR212" s="150" t="e">
        <f aca="false">_xlfn.xlookup(AN212,A:A,AH:AH)</f>
        <v>#NAME?</v>
      </c>
      <c r="AS212" s="150" t="e">
        <f aca="false">_xlfn.xlookup(AN212,A:A,S:S)</f>
        <v>#NAME?</v>
      </c>
      <c r="AT212" s="150" t="e">
        <f aca="false">_xlfn.xlookup(AN212,A:A,AE:AE)</f>
        <v>#NAME?</v>
      </c>
      <c r="AU212" s="150" t="e">
        <f aca="false">_xlfn.xlookup(AN212,A:A,AF:AF)</f>
        <v>#NAME?</v>
      </c>
      <c r="BB212" s="246"/>
      <c r="BC212" s="246"/>
      <c r="BD212" s="246"/>
      <c r="BE212" s="246"/>
      <c r="BF212" s="246"/>
      <c r="BH212" s="152" t="e">
        <f aca="false">_xlfn.xlookup(BG212,A:A,F:F)</f>
        <v>#NAME?</v>
      </c>
      <c r="BI212" s="144" t="e">
        <f aca="false">_xlfn.xlookup(BG212,A:A,J:J)</f>
        <v>#NAME?</v>
      </c>
      <c r="BJ212" s="153" t="e">
        <f aca="false">_xlfn.xlookup(BG212,A:A,N:N)+_xlfn.xlookup(BG212,A:A,O:O)</f>
        <v>#NAME?</v>
      </c>
      <c r="BK212" s="153" t="e">
        <f aca="false">_xlfn.xlookup(BG212,A161:A1155,AB161:AB1155)</f>
        <v>#NAME?</v>
      </c>
      <c r="BQ212" s="144" t="str">
        <f aca="false">IF(VALUE(MONTH(C212))&lt;10,YEAR(C212)&amp;"-0"&amp;MONTH(C212),YEAR(C212)&amp;"-"&amp;MONTH(C212))</f>
        <v>2025-01</v>
      </c>
      <c r="BR212" s="144" t="str">
        <f aca="false">J212</f>
        <v>D11-12</v>
      </c>
      <c r="BS212" s="144" t="str">
        <f aca="false">IF(ISNUMBER(FIND("-", BR212)), LEFT(BR212, FIND("-", BR212) - 1), BR212)</f>
        <v>D11</v>
      </c>
      <c r="BT212" s="189" t="n">
        <f aca="false">L212-M212+O212</f>
        <v>15277.30488</v>
      </c>
    </row>
    <row r="213" customFormat="false" ht="16.4" hidden="false" customHeight="false" outlineLevel="0" collapsed="false">
      <c r="A213" s="140" t="s">
        <v>1172</v>
      </c>
      <c r="B213" s="249" t="s">
        <v>893</v>
      </c>
      <c r="C213" s="174" t="n">
        <v>45692</v>
      </c>
      <c r="D213" s="173" t="n">
        <v>327</v>
      </c>
      <c r="E213" s="138" t="s">
        <v>131</v>
      </c>
      <c r="F213" s="138" t="s">
        <v>131</v>
      </c>
      <c r="G213" s="140" t="s">
        <v>1011</v>
      </c>
      <c r="H213" s="173" t="n">
        <v>0</v>
      </c>
      <c r="I213" s="173" t="n">
        <v>30012</v>
      </c>
      <c r="J213" s="140" t="s">
        <v>908</v>
      </c>
      <c r="K213" s="140"/>
      <c r="L213" s="253" t="n">
        <v>14230.61568</v>
      </c>
      <c r="M213" s="253" t="n">
        <v>13641.75</v>
      </c>
      <c r="N213" s="253" t="n">
        <v>0</v>
      </c>
      <c r="O213" s="253"/>
      <c r="P213" s="253" t="n">
        <v>117.5</v>
      </c>
      <c r="Q213" s="254" t="n">
        <v>0</v>
      </c>
      <c r="R213" s="255" t="n">
        <v>2.5</v>
      </c>
      <c r="S213" s="256" t="n">
        <v>0</v>
      </c>
      <c r="T213" s="215"/>
      <c r="U213" s="178" t="n">
        <v>0.327974576595346</v>
      </c>
      <c r="V213" s="177" t="n">
        <v>0</v>
      </c>
      <c r="W213" s="177" t="n">
        <v>193.13297206953</v>
      </c>
      <c r="X213" s="179" t="n">
        <v>0.0413801969810486</v>
      </c>
      <c r="Y213" s="177" t="n">
        <v>19.8770833333333</v>
      </c>
      <c r="Z213" s="177" t="n">
        <v>0</v>
      </c>
      <c r="AA213" s="177" t="n">
        <v>150.240384615385</v>
      </c>
      <c r="AB213" s="177" t="n">
        <v>363.250440018248</v>
      </c>
      <c r="AC213" s="215"/>
      <c r="AD213" s="215"/>
      <c r="AE213" s="177" t="n">
        <v>0</v>
      </c>
      <c r="AF213" s="177" t="n">
        <v>-363.250440018248</v>
      </c>
      <c r="AG213" s="181"/>
      <c r="AH213" s="180" t="n">
        <v>193.13297206953</v>
      </c>
      <c r="AI213" s="181"/>
      <c r="AJ213" s="181" t="s">
        <v>895</v>
      </c>
      <c r="AK213" s="181" t="s">
        <v>1172</v>
      </c>
      <c r="AL213" s="182" t="n">
        <v>0.368759916605813</v>
      </c>
      <c r="AN213" s="144" t="e">
        <v>#NAME?</v>
      </c>
      <c r="AO213" s="144" t="e">
        <f aca="false">_xlfn.xlookup(AN213,A:A,F:F)</f>
        <v>#NAME?</v>
      </c>
      <c r="AP213" s="144" t="e">
        <f aca="false">_xlfn.xlookup(AN213,A:A,J:J)</f>
        <v>#NAME?</v>
      </c>
      <c r="AQ213" s="144" t="e">
        <f aca="false">_xlfn.xlookup(AN213,A:A,N:N)+_xlfn.xlookup(AN213,A:A,O:O)</f>
        <v>#NAME?</v>
      </c>
      <c r="AR213" s="150" t="e">
        <f aca="false">_xlfn.xlookup(AN213,A:A,AH:AH)</f>
        <v>#NAME?</v>
      </c>
      <c r="AS213" s="150" t="e">
        <f aca="false">_xlfn.xlookup(AN213,A:A,S:S)</f>
        <v>#NAME?</v>
      </c>
      <c r="AT213" s="150" t="e">
        <f aca="false">_xlfn.xlookup(AN213,A:A,AE:AE)</f>
        <v>#NAME?</v>
      </c>
      <c r="AU213" s="150" t="e">
        <f aca="false">_xlfn.xlookup(AN213,A:A,AF:AF)</f>
        <v>#NAME?</v>
      </c>
      <c r="BB213" s="246"/>
      <c r="BC213" s="246"/>
      <c r="BD213" s="246"/>
      <c r="BE213" s="246"/>
      <c r="BF213" s="246"/>
      <c r="BH213" s="152" t="e">
        <f aca="false">_xlfn.xlookup(BG213,A:A,F:F)</f>
        <v>#NAME?</v>
      </c>
      <c r="BI213" s="144" t="e">
        <f aca="false">_xlfn.xlookup(BG213,A:A,J:J)</f>
        <v>#NAME?</v>
      </c>
      <c r="BJ213" s="153" t="e">
        <f aca="false">_xlfn.xlookup(BG213,A:A,N:N)+_xlfn.xlookup(BG213,A:A,O:O)</f>
        <v>#NAME?</v>
      </c>
      <c r="BK213" s="153" t="e">
        <f aca="false">_xlfn.xlookup(BG213,A162:A1156,AB162:AB1156)</f>
        <v>#NAME?</v>
      </c>
      <c r="BT213" s="189"/>
    </row>
    <row r="214" customFormat="false" ht="16.4" hidden="false" customHeight="false" outlineLevel="0" collapsed="false">
      <c r="A214" s="140" t="s">
        <v>1173</v>
      </c>
      <c r="B214" s="249" t="s">
        <v>893</v>
      </c>
      <c r="C214" s="174" t="n">
        <v>45693</v>
      </c>
      <c r="D214" s="173" t="n">
        <v>328</v>
      </c>
      <c r="E214" s="138" t="s">
        <v>194</v>
      </c>
      <c r="F214" s="138" t="s">
        <v>194</v>
      </c>
      <c r="G214" s="140" t="n">
        <v>2501858</v>
      </c>
      <c r="H214" s="173" t="n">
        <v>40225</v>
      </c>
      <c r="I214" s="173" t="n">
        <v>30042</v>
      </c>
      <c r="J214" s="140" t="s">
        <v>754</v>
      </c>
      <c r="K214" s="140"/>
      <c r="L214" s="175" t="n">
        <v>7638.65244</v>
      </c>
      <c r="M214" s="175" t="n">
        <v>0</v>
      </c>
      <c r="N214" s="175" t="n">
        <v>7509.6</v>
      </c>
      <c r="O214" s="175"/>
      <c r="P214" s="175" t="n">
        <v>60</v>
      </c>
      <c r="Q214" s="176" t="n">
        <v>2</v>
      </c>
      <c r="R214" s="138" t="n">
        <v>3.25</v>
      </c>
      <c r="S214" s="177" t="n">
        <v>113.05</v>
      </c>
      <c r="T214" s="215"/>
      <c r="U214" s="178" t="n">
        <v>0.273486093127953</v>
      </c>
      <c r="V214" s="177" t="n">
        <v>2053.77116495368</v>
      </c>
      <c r="W214" s="177" t="n">
        <v>35.2940476242297</v>
      </c>
      <c r="X214" s="179" t="n">
        <v>0.0168946605456499</v>
      </c>
      <c r="Y214" s="177" t="n">
        <v>10.15</v>
      </c>
      <c r="Z214" s="177" t="n">
        <v>43.4</v>
      </c>
      <c r="AA214" s="177" t="n">
        <v>195.3125</v>
      </c>
      <c r="AB214" s="177" t="n">
        <v>2450.97771257791</v>
      </c>
      <c r="AC214" s="215" t="n">
        <v>0.388</v>
      </c>
      <c r="AD214" s="215" t="s">
        <v>88</v>
      </c>
      <c r="AE214" s="177" t="n">
        <v>2913.7248</v>
      </c>
      <c r="AF214" s="177" t="n">
        <v>462.747087422092</v>
      </c>
      <c r="AG214" s="181" t="n">
        <v>0.158816332764883</v>
      </c>
      <c r="AH214" s="180" t="n">
        <v>2089.06521257791</v>
      </c>
      <c r="AI214" s="181" t="n">
        <v>0.716974098781706</v>
      </c>
      <c r="AJ214" s="181"/>
      <c r="AK214" s="181" t="s">
        <v>1173</v>
      </c>
      <c r="AL214" s="182" t="n">
        <v>0.326379262887225</v>
      </c>
      <c r="AN214" s="144" t="e">
        <v>#NAME?</v>
      </c>
      <c r="AO214" s="144" t="e">
        <f aca="false">_xlfn.xlookup(AN214,A:A,F:F)</f>
        <v>#NAME?</v>
      </c>
      <c r="AP214" s="144" t="e">
        <f aca="false">_xlfn.xlookup(AN214,A:A,J:J)</f>
        <v>#NAME?</v>
      </c>
      <c r="AQ214" s="144" t="e">
        <f aca="false">_xlfn.xlookup(AN214,A:A,N:N)+_xlfn.xlookup(AN214,A:A,O:O)</f>
        <v>#NAME?</v>
      </c>
      <c r="AR214" s="150" t="e">
        <f aca="false">_xlfn.xlookup(AN214,A:A,AH:AH)</f>
        <v>#NAME?</v>
      </c>
      <c r="AS214" s="150" t="e">
        <f aca="false">_xlfn.xlookup(AN214,A:A,S:S)</f>
        <v>#NAME?</v>
      </c>
      <c r="AT214" s="150" t="e">
        <f aca="false">_xlfn.xlookup(AN214,A:A,AE:AE)</f>
        <v>#NAME?</v>
      </c>
      <c r="AU214" s="150" t="e">
        <f aca="false">_xlfn.xlookup(AN214,A:A,AF:AF)</f>
        <v>#NAME?</v>
      </c>
      <c r="BB214" s="246"/>
      <c r="BC214" s="246"/>
      <c r="BD214" s="246"/>
      <c r="BE214" s="246"/>
      <c r="BF214" s="246"/>
      <c r="BH214" s="152" t="e">
        <f aca="false">_xlfn.xlookup(BG214,A:A,F:F)</f>
        <v>#NAME?</v>
      </c>
      <c r="BI214" s="144" t="e">
        <f aca="false">_xlfn.xlookup(BG214,A:A,J:J)</f>
        <v>#NAME?</v>
      </c>
      <c r="BJ214" s="153" t="e">
        <f aca="false">_xlfn.xlookup(BG214,A:A,N:N)+_xlfn.xlookup(BG214,A:A,O:O)</f>
        <v>#NAME?</v>
      </c>
      <c r="BK214" s="153" t="e">
        <f aca="false">_xlfn.xlookup(BG214,A163:A1157,AB163:AB1157)</f>
        <v>#NAME?</v>
      </c>
      <c r="BQ214" s="144" t="str">
        <f aca="false">IF(VALUE(MONTH(C214))&lt;10,YEAR(C214)&amp;"-0"&amp;MONTH(C214),YEAR(C214)&amp;"-"&amp;MONTH(C214))</f>
        <v>2025-02</v>
      </c>
      <c r="BR214" s="144" t="str">
        <f aca="false">J214</f>
        <v>T11-1</v>
      </c>
      <c r="BS214" s="144" t="str">
        <f aca="false">IF(ISNUMBER(FIND("-", BR214)), LEFT(BR214, FIND("-", BR214) - 1), BR214)</f>
        <v>T11</v>
      </c>
      <c r="BT214" s="189" t="n">
        <f aca="false">L214-M214+O214</f>
        <v>7638.65244</v>
      </c>
    </row>
    <row r="215" customFormat="false" ht="16.4" hidden="false" customHeight="false" outlineLevel="0" collapsed="false">
      <c r="A215" s="140" t="s">
        <v>1174</v>
      </c>
      <c r="B215" s="249" t="s">
        <v>893</v>
      </c>
      <c r="C215" s="174" t="n">
        <v>45693</v>
      </c>
      <c r="D215" s="173" t="n">
        <v>329</v>
      </c>
      <c r="E215" s="138" t="s">
        <v>131</v>
      </c>
      <c r="F215" s="138" t="s">
        <v>131</v>
      </c>
      <c r="G215" s="140" t="s">
        <v>1011</v>
      </c>
      <c r="H215" s="173" t="n">
        <v>0</v>
      </c>
      <c r="I215" s="173" t="n">
        <v>30042</v>
      </c>
      <c r="J215" s="140" t="s">
        <v>754</v>
      </c>
      <c r="K215" s="140"/>
      <c r="L215" s="253" t="n">
        <v>15277.30488</v>
      </c>
      <c r="M215" s="253" t="n">
        <v>14769.75</v>
      </c>
      <c r="N215" s="253" t="n">
        <v>0</v>
      </c>
      <c r="O215" s="253"/>
      <c r="P215" s="253" t="n">
        <v>117.5</v>
      </c>
      <c r="Q215" s="254" t="n">
        <v>0</v>
      </c>
      <c r="R215" s="255" t="n">
        <v>3.5</v>
      </c>
      <c r="S215" s="256" t="n">
        <v>0</v>
      </c>
      <c r="T215" s="215"/>
      <c r="U215" s="178" t="n">
        <v>0.273486093127953</v>
      </c>
      <c r="V215" s="177" t="n">
        <v>0</v>
      </c>
      <c r="W215" s="177" t="n">
        <v>138.809201179227</v>
      </c>
      <c r="X215" s="179" t="n">
        <v>0.0332228023193054</v>
      </c>
      <c r="Y215" s="177" t="n">
        <v>19.8770833333333</v>
      </c>
      <c r="Z215" s="177" t="n">
        <v>0</v>
      </c>
      <c r="AA215" s="177" t="n">
        <v>210.336538461538</v>
      </c>
      <c r="AB215" s="177" t="n">
        <v>369.022822974099</v>
      </c>
      <c r="AC215" s="215"/>
      <c r="AD215" s="215"/>
      <c r="AE215" s="177" t="n">
        <v>0</v>
      </c>
      <c r="AF215" s="177" t="n">
        <v>-369.022822974099</v>
      </c>
      <c r="AG215" s="181"/>
      <c r="AH215" s="180" t="n">
        <v>138.809201179227</v>
      </c>
      <c r="AI215" s="181"/>
      <c r="AJ215" s="181" t="s">
        <v>895</v>
      </c>
      <c r="AK215" s="181" t="s">
        <v>1174</v>
      </c>
      <c r="AL215" s="182" t="n">
        <v>0.307869344310494</v>
      </c>
      <c r="AN215" s="144" t="e">
        <v>#NAME?</v>
      </c>
      <c r="AO215" s="144" t="e">
        <f aca="false">_xlfn.xlookup(AN215,A:A,F:F)</f>
        <v>#NAME?</v>
      </c>
      <c r="AP215" s="144" t="e">
        <f aca="false">_xlfn.xlookup(AN215,A:A,J:J)</f>
        <v>#NAME?</v>
      </c>
      <c r="AQ215" s="144" t="e">
        <f aca="false">_xlfn.xlookup(AN215,A:A,N:N)+_xlfn.xlookup(AN215,A:A,O:O)</f>
        <v>#NAME?</v>
      </c>
      <c r="AR215" s="150" t="e">
        <f aca="false">_xlfn.xlookup(AN215,A:A,AH:AH)</f>
        <v>#NAME?</v>
      </c>
      <c r="AS215" s="150" t="e">
        <f aca="false">_xlfn.xlookup(AN215,A:A,S:S)</f>
        <v>#NAME?</v>
      </c>
      <c r="AT215" s="150" t="e">
        <f aca="false">_xlfn.xlookup(AN215,A:A,AE:AE)</f>
        <v>#NAME?</v>
      </c>
      <c r="AU215" s="150" t="e">
        <f aca="false">_xlfn.xlookup(AN215,A:A,AF:AF)</f>
        <v>#NAME?</v>
      </c>
      <c r="BB215" s="246"/>
      <c r="BC215" s="246"/>
      <c r="BD215" s="246"/>
      <c r="BE215" s="246"/>
      <c r="BF215" s="246"/>
      <c r="BH215" s="152" t="e">
        <f aca="false">_xlfn.xlookup(BG215,A:A,F:F)</f>
        <v>#NAME?</v>
      </c>
      <c r="BI215" s="144" t="e">
        <f aca="false">_xlfn.xlookup(BG215,A:A,J:J)</f>
        <v>#NAME?</v>
      </c>
      <c r="BJ215" s="153" t="e">
        <f aca="false">_xlfn.xlookup(BG215,A:A,N:N)+_xlfn.xlookup(BG215,A:A,O:O)</f>
        <v>#NAME?</v>
      </c>
      <c r="BK215" s="153" t="e">
        <f aca="false">_xlfn.xlookup(BG215,A164:A1158,AB164:AB1158)</f>
        <v>#NAME?</v>
      </c>
      <c r="BT215" s="189"/>
    </row>
    <row r="216" customFormat="false" ht="16.4" hidden="false" customHeight="false" outlineLevel="0" collapsed="false">
      <c r="A216" s="140" t="s">
        <v>1175</v>
      </c>
      <c r="B216" s="249" t="s">
        <v>893</v>
      </c>
      <c r="C216" s="174" t="n">
        <v>45694</v>
      </c>
      <c r="D216" s="173" t="n">
        <v>330</v>
      </c>
      <c r="E216" s="138" t="s">
        <v>94</v>
      </c>
      <c r="F216" s="138" t="s">
        <v>522</v>
      </c>
      <c r="G216" s="140" t="n">
        <v>107464</v>
      </c>
      <c r="H216" s="173" t="n">
        <v>40117</v>
      </c>
      <c r="I216" s="173" t="n">
        <v>30036</v>
      </c>
      <c r="J216" s="140" t="s">
        <v>762</v>
      </c>
      <c r="K216" s="140"/>
      <c r="L216" s="175" t="n">
        <v>10697.9136</v>
      </c>
      <c r="M216" s="258" t="n">
        <v>3456</v>
      </c>
      <c r="N216" s="258" t="n">
        <v>7138.8432</v>
      </c>
      <c r="O216" s="175"/>
      <c r="P216" s="175" t="n">
        <v>180.236</v>
      </c>
      <c r="Q216" s="176" t="n">
        <v>1</v>
      </c>
      <c r="R216" s="138" t="n">
        <v>3.5</v>
      </c>
      <c r="S216" s="177" t="n">
        <v>-16.27</v>
      </c>
      <c r="T216" s="215" t="n">
        <v>1.4323</v>
      </c>
      <c r="U216" s="178" t="n">
        <v>0.258256828537349</v>
      </c>
      <c r="V216" s="177" t="n">
        <v>1843.65500425742</v>
      </c>
      <c r="W216" s="177" t="n">
        <v>26.6186346200761</v>
      </c>
      <c r="X216" s="179" t="n">
        <v>0.00963462632564171</v>
      </c>
      <c r="Y216" s="177" t="n">
        <v>30.4899233333333</v>
      </c>
      <c r="Z216" s="177" t="n">
        <v>21.7</v>
      </c>
      <c r="AA216" s="177" t="n">
        <v>210.336538461538</v>
      </c>
      <c r="AB216" s="177" t="n">
        <v>2116.53010067237</v>
      </c>
      <c r="AC216" s="215" t="n">
        <v>0.28</v>
      </c>
      <c r="AD216" s="215" t="s">
        <v>77</v>
      </c>
      <c r="AE216" s="177" t="n">
        <v>2862.9902323008</v>
      </c>
      <c r="AF216" s="177" t="n">
        <v>746.460131628435</v>
      </c>
      <c r="AG216" s="181" t="n">
        <v>0.260727446152882</v>
      </c>
      <c r="AH216" s="180" t="n">
        <v>1870.27363887749</v>
      </c>
      <c r="AI216" s="181" t="n">
        <v>0.653258826305696</v>
      </c>
      <c r="AJ216" s="181"/>
      <c r="AK216" s="181" t="s">
        <v>1175</v>
      </c>
      <c r="AL216" s="182" t="n">
        <v>0.296480822085063</v>
      </c>
      <c r="AN216" s="144" t="e">
        <v>#NAME?</v>
      </c>
      <c r="AO216" s="144" t="e">
        <f aca="false">_xlfn.xlookup(AN216,A:A,F:F)</f>
        <v>#NAME?</v>
      </c>
      <c r="AP216" s="144" t="e">
        <f aca="false">_xlfn.xlookup(AN216,A:A,J:J)</f>
        <v>#NAME?</v>
      </c>
      <c r="AQ216" s="144" t="e">
        <f aca="false">_xlfn.xlookup(AN216,A:A,N:N)+_xlfn.xlookup(AN216,A:A,O:O)</f>
        <v>#NAME?</v>
      </c>
      <c r="AR216" s="150" t="e">
        <f aca="false">_xlfn.xlookup(AN216,A:A,AH:AH)</f>
        <v>#NAME?</v>
      </c>
      <c r="AS216" s="150" t="e">
        <f aca="false">_xlfn.xlookup(AN216,A:A,S:S)</f>
        <v>#NAME?</v>
      </c>
      <c r="AT216" s="150" t="e">
        <f aca="false">_xlfn.xlookup(AN216,A:A,AE:AE)</f>
        <v>#NAME?</v>
      </c>
      <c r="AU216" s="150" t="e">
        <f aca="false">_xlfn.xlookup(AN216,A:A,AF:AF)</f>
        <v>#NAME?</v>
      </c>
      <c r="BB216" s="246"/>
      <c r="BC216" s="246"/>
      <c r="BD216" s="246"/>
      <c r="BE216" s="246"/>
      <c r="BF216" s="246"/>
      <c r="BH216" s="152" t="e">
        <f aca="false">_xlfn.xlookup(BG216,A:A,F:F)</f>
        <v>#NAME?</v>
      </c>
      <c r="BI216" s="144" t="e">
        <f aca="false">_xlfn.xlookup(BG216,A:A,J:J)</f>
        <v>#NAME?</v>
      </c>
      <c r="BJ216" s="153" t="e">
        <f aca="false">_xlfn.xlookup(BG216,A:A,N:N)+_xlfn.xlookup(BG216,A:A,O:O)</f>
        <v>#NAME?</v>
      </c>
      <c r="BK216" s="153" t="e">
        <f aca="false">_xlfn.xlookup(BG216,A165:A1159,AB165:AB1159)</f>
        <v>#NAME?</v>
      </c>
      <c r="BQ216" s="144" t="str">
        <f aca="false">IF(VALUE(MONTH(C216))&lt;10,YEAR(C216)&amp;"-0"&amp;MONTH(C216),YEAR(C216)&amp;"-"&amp;MONTH(C216))</f>
        <v>2025-02</v>
      </c>
      <c r="BR216" s="144" t="str">
        <f aca="false">J216</f>
        <v>S15-3</v>
      </c>
      <c r="BS216" s="144" t="str">
        <f aca="false">IF(ISNUMBER(FIND("-", BR216)), LEFT(BR216, FIND("-", BR216) - 1), BR216)</f>
        <v>S15</v>
      </c>
      <c r="BT216" s="189" t="n">
        <f aca="false">L216-M216+O216</f>
        <v>7241.9136</v>
      </c>
    </row>
    <row r="217" customFormat="false" ht="16.4" hidden="false" customHeight="false" outlineLevel="0" collapsed="false">
      <c r="A217" s="140" t="s">
        <v>1176</v>
      </c>
      <c r="B217" s="249" t="s">
        <v>893</v>
      </c>
      <c r="C217" s="174" t="n">
        <v>45701</v>
      </c>
      <c r="D217" s="173" t="n">
        <v>331</v>
      </c>
      <c r="E217" s="138" t="s">
        <v>221</v>
      </c>
      <c r="F217" s="138" t="s">
        <v>935</v>
      </c>
      <c r="G217" s="140" t="s">
        <v>113</v>
      </c>
      <c r="H217" s="173" t="n">
        <v>40268</v>
      </c>
      <c r="I217" s="173" t="n">
        <v>30027</v>
      </c>
      <c r="J217" s="140" t="s">
        <v>768</v>
      </c>
      <c r="K217" s="140"/>
      <c r="L217" s="175" t="n">
        <v>399</v>
      </c>
      <c r="M217" s="175" t="n">
        <v>204</v>
      </c>
      <c r="N217" s="175" t="n">
        <v>182.4</v>
      </c>
      <c r="O217" s="175"/>
      <c r="P217" s="175" t="n">
        <v>8</v>
      </c>
      <c r="Q217" s="176" t="n">
        <v>0</v>
      </c>
      <c r="R217" s="138" t="n">
        <v>0.5</v>
      </c>
      <c r="S217" s="177" t="n">
        <v>0</v>
      </c>
      <c r="T217" s="215"/>
      <c r="U217" s="178" t="n">
        <v>0.307208514182256</v>
      </c>
      <c r="V217" s="177" t="n">
        <v>56.0348329868435</v>
      </c>
      <c r="W217" s="177" t="n">
        <v>3.87082727869643</v>
      </c>
      <c r="X217" s="179" t="n">
        <v>0.0315789473684211</v>
      </c>
      <c r="Y217" s="177" t="n">
        <v>1.35333333333333</v>
      </c>
      <c r="Z217" s="177" t="n">
        <v>0</v>
      </c>
      <c r="AA217" s="177" t="n">
        <v>30.0480769230769</v>
      </c>
      <c r="AB217" s="177" t="n">
        <v>91.3070705219502</v>
      </c>
      <c r="AC217" s="215" t="n">
        <v>0</v>
      </c>
      <c r="AD217" s="215" t="s">
        <v>88</v>
      </c>
      <c r="AE217" s="177" t="n">
        <v>0</v>
      </c>
      <c r="AF217" s="177" t="n">
        <v>-91.3070705219502</v>
      </c>
      <c r="AG217" s="181"/>
      <c r="AH217" s="180" t="n">
        <v>59.9056602655399</v>
      </c>
      <c r="AI217" s="181"/>
      <c r="AJ217" s="181" t="s">
        <v>895</v>
      </c>
      <c r="AK217" s="181" t="s">
        <v>1176</v>
      </c>
      <c r="AL217" s="182" t="n">
        <v>0.500587009440516</v>
      </c>
      <c r="AN217" s="144" t="e">
        <v>#NAME?</v>
      </c>
      <c r="AO217" s="144" t="e">
        <f aca="false">_xlfn.xlookup(AN217,A:A,F:F)</f>
        <v>#NAME?</v>
      </c>
      <c r="AP217" s="144" t="e">
        <f aca="false">_xlfn.xlookup(AN217,A:A,J:J)</f>
        <v>#NAME?</v>
      </c>
      <c r="AQ217" s="144" t="e">
        <f aca="false">_xlfn.xlookup(AN217,A:A,N:N)+_xlfn.xlookup(AN217,A:A,O:O)</f>
        <v>#NAME?</v>
      </c>
      <c r="AR217" s="150" t="e">
        <f aca="false">_xlfn.xlookup(AN217,A:A,AH:AH)</f>
        <v>#NAME?</v>
      </c>
      <c r="AS217" s="150" t="e">
        <f aca="false">_xlfn.xlookup(AN217,A:A,S:S)</f>
        <v>#NAME?</v>
      </c>
      <c r="AT217" s="150" t="e">
        <f aca="false">_xlfn.xlookup(AN217,A:A,AE:AE)</f>
        <v>#NAME?</v>
      </c>
      <c r="AU217" s="150" t="e">
        <f aca="false">_xlfn.xlookup(AN217,A:A,AF:AF)</f>
        <v>#NAME?</v>
      </c>
      <c r="BB217" s="246"/>
      <c r="BC217" s="246"/>
      <c r="BD217" s="246"/>
      <c r="BE217" s="246"/>
      <c r="BF217" s="246"/>
      <c r="BH217" s="152" t="e">
        <f aca="false">_xlfn.xlookup(BG217,A:A,F:F)</f>
        <v>#NAME?</v>
      </c>
      <c r="BI217" s="144" t="e">
        <f aca="false">_xlfn.xlookup(BG217,A:A,J:J)</f>
        <v>#NAME?</v>
      </c>
      <c r="BJ217" s="153" t="e">
        <f aca="false">_xlfn.xlookup(BG217,A:A,N:N)+_xlfn.xlookup(BG217,A:A,O:O)</f>
        <v>#NAME?</v>
      </c>
      <c r="BK217" s="153" t="e">
        <f aca="false">_xlfn.xlookup(BG217,A166:A1160,AB166:AB1160)</f>
        <v>#NAME?</v>
      </c>
      <c r="BQ217" s="144" t="str">
        <f aca="false">IF(VALUE(MONTH(C217))&lt;10,YEAR(C217)&amp;"-0"&amp;MONTH(C217),YEAR(C217)&amp;"-"&amp;MONTH(C217))</f>
        <v>2025-02</v>
      </c>
      <c r="BR217" s="144" t="str">
        <f aca="false">J217</f>
        <v>B25-3</v>
      </c>
      <c r="BS217" s="144" t="str">
        <f aca="false">IF(ISNUMBER(FIND("-", BR217)), LEFT(BR217, FIND("-", BR217) - 1), BR217)</f>
        <v>B25</v>
      </c>
      <c r="BT217" s="189" t="n">
        <f aca="false">L217-M217+O217</f>
        <v>195</v>
      </c>
    </row>
    <row r="218" customFormat="false" ht="16.4" hidden="false" customHeight="false" outlineLevel="0" collapsed="false">
      <c r="A218" s="140" t="s">
        <v>1177</v>
      </c>
      <c r="B218" s="249" t="s">
        <v>893</v>
      </c>
      <c r="C218" s="174" t="n">
        <v>45701</v>
      </c>
      <c r="D218" s="173" t="n">
        <v>331</v>
      </c>
      <c r="E218" s="138" t="s">
        <v>354</v>
      </c>
      <c r="F218" s="138" t="s">
        <v>354</v>
      </c>
      <c r="G218" s="140" t="s">
        <v>113</v>
      </c>
      <c r="H218" s="173" t="n">
        <v>40272</v>
      </c>
      <c r="I218" s="173" t="n">
        <v>30027</v>
      </c>
      <c r="J218" s="140" t="s">
        <v>768</v>
      </c>
      <c r="K218" s="140"/>
      <c r="L218" s="175" t="n">
        <v>548.7</v>
      </c>
      <c r="M218" s="175" t="n">
        <v>280.5</v>
      </c>
      <c r="N218" s="175" t="n">
        <v>250.8</v>
      </c>
      <c r="O218" s="175"/>
      <c r="P218" s="175" t="n">
        <v>11</v>
      </c>
      <c r="Q218" s="176" t="n">
        <v>0</v>
      </c>
      <c r="R218" s="138" t="n">
        <v>0.5</v>
      </c>
      <c r="S218" s="177" t="n">
        <v>0</v>
      </c>
      <c r="T218" s="215"/>
      <c r="U218" s="178" t="n">
        <v>0.307208514182256</v>
      </c>
      <c r="V218" s="177" t="n">
        <v>77.0478953569098</v>
      </c>
      <c r="W218" s="177" t="n">
        <v>5.34542814677128</v>
      </c>
      <c r="X218" s="179" t="n">
        <v>0.0317113176599236</v>
      </c>
      <c r="Y218" s="177" t="n">
        <v>1.86083333333333</v>
      </c>
      <c r="Z218" s="177" t="n">
        <v>0</v>
      </c>
      <c r="AA218" s="177" t="n">
        <v>30.0480769230769</v>
      </c>
      <c r="AB218" s="177" t="n">
        <v>114.302233760091</v>
      </c>
      <c r="AC218" s="215" t="n">
        <v>0.518</v>
      </c>
      <c r="AD218" s="215" t="s">
        <v>88</v>
      </c>
      <c r="AE218" s="177" t="n">
        <v>129.9144</v>
      </c>
      <c r="AF218" s="177" t="n">
        <v>15.6121662399087</v>
      </c>
      <c r="AG218" s="181" t="n">
        <v>0.120172715572013</v>
      </c>
      <c r="AH218" s="180" t="n">
        <v>82.3933235036811</v>
      </c>
      <c r="AI218" s="181" t="n">
        <v>0.634212400655209</v>
      </c>
      <c r="AJ218" s="181"/>
      <c r="AK218" s="181" t="s">
        <v>1177</v>
      </c>
      <c r="AL218" s="182" t="n">
        <v>0.455750533333697</v>
      </c>
      <c r="AN218" s="144" t="e">
        <v>#NAME?</v>
      </c>
      <c r="AO218" s="144" t="e">
        <f aca="false">_xlfn.xlookup(AN218,A:A,F:F)</f>
        <v>#NAME?</v>
      </c>
      <c r="AP218" s="144" t="e">
        <f aca="false">_xlfn.xlookup(AN218,A:A,J:J)</f>
        <v>#NAME?</v>
      </c>
      <c r="AQ218" s="144" t="e">
        <f aca="false">_xlfn.xlookup(AN218,A:A,N:N)+_xlfn.xlookup(AN218,A:A,O:O)</f>
        <v>#NAME?</v>
      </c>
      <c r="AR218" s="150" t="e">
        <f aca="false">_xlfn.xlookup(AN218,A:A,AH:AH)</f>
        <v>#NAME?</v>
      </c>
      <c r="AS218" s="150" t="e">
        <f aca="false">_xlfn.xlookup(AN218,A:A,S:S)</f>
        <v>#NAME?</v>
      </c>
      <c r="AT218" s="150" t="e">
        <f aca="false">_xlfn.xlookup(AN218,A:A,AE:AE)</f>
        <v>#NAME?</v>
      </c>
      <c r="AU218" s="150" t="e">
        <f aca="false">_xlfn.xlookup(AN218,A:A,AF:AF)</f>
        <v>#NAME?</v>
      </c>
      <c r="BB218" s="246"/>
      <c r="BC218" s="246"/>
      <c r="BD218" s="246"/>
      <c r="BE218" s="246"/>
      <c r="BF218" s="246"/>
      <c r="BH218" s="152" t="e">
        <f aca="false">_xlfn.xlookup(BG218,A:A,F:F)</f>
        <v>#NAME?</v>
      </c>
      <c r="BI218" s="144" t="e">
        <f aca="false">_xlfn.xlookup(BG218,A:A,J:J)</f>
        <v>#NAME?</v>
      </c>
      <c r="BJ218" s="153" t="e">
        <f aca="false">_xlfn.xlookup(BG218,A:A,N:N)+_xlfn.xlookup(BG218,A:A,O:O)</f>
        <v>#NAME?</v>
      </c>
      <c r="BK218" s="153" t="e">
        <f aca="false">_xlfn.xlookup(BG218,A167:A1161,AB167:AB1161)</f>
        <v>#NAME?</v>
      </c>
      <c r="BT218" s="189"/>
    </row>
    <row r="219" customFormat="false" ht="16.4" hidden="false" customHeight="false" outlineLevel="0" collapsed="false">
      <c r="A219" s="140" t="s">
        <v>1178</v>
      </c>
      <c r="B219" s="249" t="s">
        <v>893</v>
      </c>
      <c r="C219" s="174" t="n">
        <v>45694</v>
      </c>
      <c r="D219" s="173" t="n">
        <v>332</v>
      </c>
      <c r="E219" s="138" t="s">
        <v>94</v>
      </c>
      <c r="F219" s="138" t="s">
        <v>522</v>
      </c>
      <c r="G219" s="140" t="n">
        <v>107487</v>
      </c>
      <c r="H219" s="173" t="n">
        <v>40084</v>
      </c>
      <c r="I219" s="173" t="n">
        <v>30027</v>
      </c>
      <c r="J219" s="140" t="s">
        <v>768</v>
      </c>
      <c r="K219" s="140"/>
      <c r="L219" s="175" t="n">
        <v>14225.33376</v>
      </c>
      <c r="M219" s="258" t="n">
        <v>10625.6304</v>
      </c>
      <c r="N219" s="258" t="n">
        <v>3456</v>
      </c>
      <c r="O219" s="175"/>
      <c r="P219" s="175" t="n">
        <v>120.236</v>
      </c>
      <c r="Q219" s="176" t="n">
        <v>1</v>
      </c>
      <c r="R219" s="138" t="n">
        <v>1.75</v>
      </c>
      <c r="S219" s="177" t="n">
        <v>-16.27</v>
      </c>
      <c r="T219" s="215" t="n">
        <v>1.4323</v>
      </c>
      <c r="U219" s="178" t="n">
        <v>0.307208514182256</v>
      </c>
      <c r="V219" s="177" t="n">
        <v>1061.71262501388</v>
      </c>
      <c r="W219" s="177" t="n">
        <v>44.1468957085977</v>
      </c>
      <c r="X219" s="179" t="n">
        <v>0.0101019323992297</v>
      </c>
      <c r="Y219" s="177" t="n">
        <v>20.3399233333333</v>
      </c>
      <c r="Z219" s="177" t="n">
        <v>21.7</v>
      </c>
      <c r="AA219" s="177" t="n">
        <v>105.168269230769</v>
      </c>
      <c r="AB219" s="177" t="n">
        <v>1236.79771328658</v>
      </c>
      <c r="AC219" s="215" t="n">
        <v>0.33</v>
      </c>
      <c r="AD219" s="215" t="s">
        <v>77</v>
      </c>
      <c r="AE219" s="177" t="n">
        <v>1633.509504</v>
      </c>
      <c r="AF219" s="177" t="n">
        <v>396.711790713423</v>
      </c>
      <c r="AG219" s="181" t="n">
        <v>0.24285857519775</v>
      </c>
      <c r="AH219" s="180" t="n">
        <v>1105.85952072247</v>
      </c>
      <c r="AI219" s="181" t="n">
        <v>0.676983830222315</v>
      </c>
      <c r="AJ219" s="181"/>
      <c r="AK219" s="181" t="s">
        <v>1178</v>
      </c>
      <c r="AL219" s="182" t="n">
        <v>0.357869708705607</v>
      </c>
      <c r="AN219" s="144" t="e">
        <v>#NAME?</v>
      </c>
      <c r="AO219" s="144" t="e">
        <f aca="false">_xlfn.xlookup(AN219,A:A,F:F)</f>
        <v>#NAME?</v>
      </c>
      <c r="AP219" s="144" t="e">
        <f aca="false">_xlfn.xlookup(AN219,A:A,J:J)</f>
        <v>#NAME?</v>
      </c>
      <c r="AQ219" s="144" t="e">
        <f aca="false">_xlfn.xlookup(AN219,A:A,N:N)+_xlfn.xlookup(AN219,A:A,O:O)</f>
        <v>#NAME?</v>
      </c>
      <c r="AR219" s="150" t="e">
        <f aca="false">_xlfn.xlookup(AN219,A:A,AH:AH)</f>
        <v>#NAME?</v>
      </c>
      <c r="AS219" s="150" t="e">
        <f aca="false">_xlfn.xlookup(AN219,A:A,S:S)</f>
        <v>#NAME?</v>
      </c>
      <c r="AT219" s="150" t="e">
        <f aca="false">_xlfn.xlookup(AN219,A:A,AE:AE)</f>
        <v>#NAME?</v>
      </c>
      <c r="AU219" s="150" t="e">
        <f aca="false">_xlfn.xlookup(AN219,A:A,AF:AF)</f>
        <v>#NAME?</v>
      </c>
      <c r="BB219" s="246"/>
      <c r="BC219" s="246"/>
      <c r="BD219" s="246"/>
      <c r="BE219" s="246"/>
      <c r="BF219" s="246"/>
      <c r="BH219" s="152" t="e">
        <f aca="false">_xlfn.xlookup(BG219,A:A,F:F)</f>
        <v>#NAME?</v>
      </c>
      <c r="BI219" s="144" t="e">
        <f aca="false">_xlfn.xlookup(BG219,A:A,J:J)</f>
        <v>#NAME?</v>
      </c>
      <c r="BJ219" s="153" t="e">
        <f aca="false">_xlfn.xlookup(BG219,A:A,N:N)+_xlfn.xlookup(BG219,A:A,O:O)</f>
        <v>#NAME?</v>
      </c>
      <c r="BK219" s="153" t="e">
        <f aca="false">_xlfn.xlookup(BG219,A168:A1162,AB168:AB1162)</f>
        <v>#NAME?</v>
      </c>
      <c r="BQ219" s="144" t="str">
        <f aca="false">IF(VALUE(MONTH(C219))&lt;10,YEAR(C219)&amp;"-0"&amp;MONTH(C219),YEAR(C219)&amp;"-"&amp;MONTH(C219))</f>
        <v>2025-02</v>
      </c>
      <c r="BR219" s="144" t="str">
        <f aca="false">J219</f>
        <v>B25-3</v>
      </c>
      <c r="BS219" s="144" t="str">
        <f aca="false">IF(ISNUMBER(FIND("-", BR219)), LEFT(BR219, FIND("-", BR219) - 1), BR219)</f>
        <v>B25</v>
      </c>
      <c r="BT219" s="189" t="n">
        <f aca="false">L219-M219+O219</f>
        <v>3599.70336</v>
      </c>
    </row>
    <row r="220" customFormat="false" ht="16.4" hidden="false" customHeight="false" outlineLevel="0" collapsed="false">
      <c r="A220" s="140" t="s">
        <v>1179</v>
      </c>
      <c r="B220" s="249" t="s">
        <v>893</v>
      </c>
      <c r="C220" s="174" t="n">
        <v>45698</v>
      </c>
      <c r="D220" s="173" t="n">
        <v>333</v>
      </c>
      <c r="E220" s="138" t="s">
        <v>354</v>
      </c>
      <c r="F220" s="138" t="s">
        <v>354</v>
      </c>
      <c r="G220" s="140" t="n">
        <v>1412</v>
      </c>
      <c r="H220" s="173" t="n">
        <v>40269</v>
      </c>
      <c r="I220" s="173" t="n">
        <v>30011</v>
      </c>
      <c r="J220" s="140" t="s">
        <v>760</v>
      </c>
      <c r="K220" s="140"/>
      <c r="L220" s="175" t="n">
        <v>1903.5</v>
      </c>
      <c r="M220" s="258" t="n">
        <v>1572.6</v>
      </c>
      <c r="N220" s="258" t="n">
        <v>290.4</v>
      </c>
      <c r="O220" s="175"/>
      <c r="P220" s="175" t="n">
        <v>67.5</v>
      </c>
      <c r="Q220" s="176" t="n">
        <v>1</v>
      </c>
      <c r="R220" s="138" t="n">
        <v>0.75</v>
      </c>
      <c r="S220" s="177" t="n">
        <v>41.6666666666667</v>
      </c>
      <c r="T220" s="215"/>
      <c r="U220" s="178" t="n">
        <v>0.28357864079936</v>
      </c>
      <c r="V220" s="177" t="n">
        <v>82.3512372881341</v>
      </c>
      <c r="W220" s="177" t="n">
        <v>11.4849349523741</v>
      </c>
      <c r="X220" s="179" t="n">
        <v>0.0212765957446809</v>
      </c>
      <c r="Y220" s="177" t="n">
        <v>11.41875</v>
      </c>
      <c r="Z220" s="177" t="n">
        <v>21.7</v>
      </c>
      <c r="AA220" s="177" t="n">
        <v>45.0721153846154</v>
      </c>
      <c r="AB220" s="177" t="n">
        <v>213.69370429179</v>
      </c>
      <c r="AC220" s="215" t="n">
        <v>0.402</v>
      </c>
      <c r="AD220" s="215" t="s">
        <v>88</v>
      </c>
      <c r="AE220" s="177" t="n">
        <v>116.7408</v>
      </c>
      <c r="AF220" s="177" t="n">
        <v>-96.9529042917902</v>
      </c>
      <c r="AG220" s="181" t="n">
        <v>-0.830497172297861</v>
      </c>
      <c r="AH220" s="180" t="n">
        <v>93.8361722405082</v>
      </c>
      <c r="AI220" s="181" t="n">
        <v>0.803799290740754</v>
      </c>
      <c r="AJ220" s="181"/>
      <c r="AK220" s="181" t="s">
        <v>1179</v>
      </c>
      <c r="AL220" s="182" t="n">
        <v>0.73585986326374</v>
      </c>
      <c r="AN220" s="144" t="e">
        <v>#NAME?</v>
      </c>
      <c r="AO220" s="144" t="e">
        <f aca="false">_xlfn.xlookup(AN220,A:A,F:F)</f>
        <v>#NAME?</v>
      </c>
      <c r="AP220" s="144" t="e">
        <f aca="false">_xlfn.xlookup(AN220,A:A,J:J)</f>
        <v>#NAME?</v>
      </c>
      <c r="AQ220" s="144" t="e">
        <f aca="false">_xlfn.xlookup(AN220,A:A,N:N)+_xlfn.xlookup(AN220,A:A,O:O)</f>
        <v>#NAME?</v>
      </c>
      <c r="AR220" s="150" t="e">
        <f aca="false">_xlfn.xlookup(AN220,A:A,AH:AH)</f>
        <v>#NAME?</v>
      </c>
      <c r="AS220" s="150" t="e">
        <f aca="false">_xlfn.xlookup(AN220,A:A,S:S)</f>
        <v>#NAME?</v>
      </c>
      <c r="AT220" s="150" t="e">
        <f aca="false">_xlfn.xlookup(AN220,A:A,AE:AE)</f>
        <v>#NAME?</v>
      </c>
      <c r="AU220" s="150" t="e">
        <f aca="false">_xlfn.xlookup(AN220,A:A,AF:AF)</f>
        <v>#NAME?</v>
      </c>
      <c r="BB220" s="246"/>
      <c r="BC220" s="246"/>
      <c r="BD220" s="246"/>
      <c r="BE220" s="246"/>
      <c r="BF220" s="246"/>
      <c r="BH220" s="152" t="e">
        <f aca="false">_xlfn.xlookup(BG220,A:A,F:F)</f>
        <v>#NAME?</v>
      </c>
      <c r="BI220" s="144" t="e">
        <f aca="false">_xlfn.xlookup(BG220,A:A,J:J)</f>
        <v>#NAME?</v>
      </c>
      <c r="BJ220" s="153" t="e">
        <f aca="false">_xlfn.xlookup(BG220,A:A,N:N)+_xlfn.xlookup(BG220,A:A,O:O)</f>
        <v>#NAME?</v>
      </c>
      <c r="BK220" s="153" t="e">
        <f aca="false">_xlfn.xlookup(BG220,A169:A1163,AB169:AB1163)</f>
        <v>#NAME?</v>
      </c>
      <c r="BQ220" s="144" t="str">
        <f aca="false">IF(VALUE(MONTH(C220))&lt;10,YEAR(C220)&amp;"-0"&amp;MONTH(C220),YEAR(C220)&amp;"-"&amp;MONTH(C220))</f>
        <v>2025-02</v>
      </c>
      <c r="BR220" s="144" t="str">
        <f aca="false">J220</f>
        <v>S21-1</v>
      </c>
      <c r="BS220" s="144" t="str">
        <f aca="false">IF(ISNUMBER(FIND("-", BR220)), LEFT(BR220, FIND("-", BR220) - 1), BR220)</f>
        <v>S21</v>
      </c>
      <c r="BT220" s="189" t="n">
        <f aca="false">L220-M220+O220</f>
        <v>330.9</v>
      </c>
    </row>
    <row r="221" customFormat="false" ht="16.4" hidden="false" customHeight="false" outlineLevel="0" collapsed="false">
      <c r="A221" s="140" t="s">
        <v>1180</v>
      </c>
      <c r="B221" s="249" t="s">
        <v>893</v>
      </c>
      <c r="C221" s="174" t="n">
        <v>45695</v>
      </c>
      <c r="D221" s="173" t="n">
        <v>334</v>
      </c>
      <c r="E221" s="138" t="s">
        <v>306</v>
      </c>
      <c r="F221" s="138" t="s">
        <v>596</v>
      </c>
      <c r="G221" s="140" t="s">
        <v>360</v>
      </c>
      <c r="H221" s="173" t="n">
        <v>40246</v>
      </c>
      <c r="I221" s="173" t="n">
        <v>30011</v>
      </c>
      <c r="J221" s="140" t="s">
        <v>760</v>
      </c>
      <c r="K221" s="140"/>
      <c r="L221" s="175" t="n">
        <v>7115.30784</v>
      </c>
      <c r="M221" s="175" t="n">
        <v>0</v>
      </c>
      <c r="N221" s="175" t="n">
        <v>6343.95</v>
      </c>
      <c r="O221" s="175"/>
      <c r="P221" s="175" t="n">
        <v>54.75</v>
      </c>
      <c r="Q221" s="176" t="n">
        <v>2</v>
      </c>
      <c r="R221" s="138" t="n">
        <v>11</v>
      </c>
      <c r="S221" s="177" t="n">
        <v>112.2</v>
      </c>
      <c r="T221" s="215"/>
      <c r="U221" s="178" t="n">
        <v>0.28357864079936</v>
      </c>
      <c r="V221" s="177" t="n">
        <v>1799.0087182991</v>
      </c>
      <c r="W221" s="177" t="n">
        <v>218.74060783713</v>
      </c>
      <c r="X221" s="179" t="n">
        <v>0.108408217514311</v>
      </c>
      <c r="Y221" s="177" t="n">
        <v>9.261875</v>
      </c>
      <c r="Z221" s="177" t="n">
        <v>43.4</v>
      </c>
      <c r="AA221" s="177" t="n">
        <v>661.057692307692</v>
      </c>
      <c r="AB221" s="177" t="n">
        <v>2843.66889344392</v>
      </c>
      <c r="AC221" s="215" t="n">
        <v>0.316</v>
      </c>
      <c r="AD221" s="215" t="s">
        <v>88</v>
      </c>
      <c r="AE221" s="177" t="n">
        <v>2004.6882</v>
      </c>
      <c r="AF221" s="177" t="n">
        <v>-838.980693443922</v>
      </c>
      <c r="AG221" s="181" t="n">
        <v>-0.418509319027229</v>
      </c>
      <c r="AH221" s="180" t="n">
        <v>2017.74932613623</v>
      </c>
      <c r="AI221" s="181" t="n">
        <v>1.00651529057548</v>
      </c>
      <c r="AJ221" s="181"/>
      <c r="AK221" s="181" t="s">
        <v>1180</v>
      </c>
      <c r="AL221" s="182" t="n">
        <v>0.448248944812604</v>
      </c>
      <c r="AN221" s="144" t="e">
        <v>#NAME?</v>
      </c>
      <c r="AO221" s="144" t="e">
        <f aca="false">_xlfn.xlookup(AN221,A:A,F:F)</f>
        <v>#NAME?</v>
      </c>
      <c r="AP221" s="144" t="e">
        <f aca="false">_xlfn.xlookup(AN221,A:A,J:J)</f>
        <v>#NAME?</v>
      </c>
      <c r="AQ221" s="144" t="e">
        <f aca="false">_xlfn.xlookup(AN221,A:A,N:N)+_xlfn.xlookup(AN221,A:A,O:O)</f>
        <v>#NAME?</v>
      </c>
      <c r="AR221" s="150" t="e">
        <f aca="false">_xlfn.xlookup(AN221,A:A,AH:AH)</f>
        <v>#NAME?</v>
      </c>
      <c r="AS221" s="150" t="e">
        <f aca="false">_xlfn.xlookup(AN221,A:A,S:S)</f>
        <v>#NAME?</v>
      </c>
      <c r="AT221" s="150" t="e">
        <f aca="false">_xlfn.xlookup(AN221,A:A,AE:AE)</f>
        <v>#NAME?</v>
      </c>
      <c r="AU221" s="150" t="e">
        <f aca="false">_xlfn.xlookup(AN221,A:A,AF:AF)</f>
        <v>#NAME?</v>
      </c>
      <c r="BB221" s="246"/>
      <c r="BC221" s="246"/>
      <c r="BD221" s="246"/>
      <c r="BE221" s="246"/>
      <c r="BF221" s="246"/>
      <c r="BH221" s="152" t="e">
        <f aca="false">_xlfn.xlookup(BG221,A:A,F:F)</f>
        <v>#NAME?</v>
      </c>
      <c r="BI221" s="144" t="e">
        <f aca="false">_xlfn.xlookup(BG221,A:A,J:J)</f>
        <v>#NAME?</v>
      </c>
      <c r="BJ221" s="153" t="e">
        <f aca="false">_xlfn.xlookup(BG221,A:A,N:N)+_xlfn.xlookup(BG221,A:A,O:O)</f>
        <v>#NAME?</v>
      </c>
      <c r="BK221" s="153" t="e">
        <f aca="false">_xlfn.xlookup(BG221,A170:A1164,AB170:AB1164)</f>
        <v>#NAME?</v>
      </c>
      <c r="BQ221" s="144" t="str">
        <f aca="false">IF(VALUE(MONTH(C221))&lt;10,YEAR(C221)&amp;"-0"&amp;MONTH(C221),YEAR(C221)&amp;"-"&amp;MONTH(C221))</f>
        <v>2025-02</v>
      </c>
      <c r="BR221" s="144" t="str">
        <f aca="false">J221</f>
        <v>S21-1</v>
      </c>
      <c r="BS221" s="144" t="str">
        <f aca="false">IF(ISNUMBER(FIND("-", BR221)), LEFT(BR221, FIND("-", BR221) - 1), BR221)</f>
        <v>S21</v>
      </c>
      <c r="BT221" s="189" t="n">
        <f aca="false">L221-M221+O221</f>
        <v>7115.30784</v>
      </c>
    </row>
    <row r="222" customFormat="false" ht="16.4" hidden="false" customHeight="false" outlineLevel="0" collapsed="false">
      <c r="A222" s="140" t="s">
        <v>1181</v>
      </c>
      <c r="B222" s="249" t="s">
        <v>893</v>
      </c>
      <c r="C222" s="174" t="n">
        <v>45698</v>
      </c>
      <c r="D222" s="173" t="n">
        <v>335</v>
      </c>
      <c r="E222" s="138" t="s">
        <v>210</v>
      </c>
      <c r="F222" s="138" t="s">
        <v>575</v>
      </c>
      <c r="G222" s="140" t="n">
        <v>3058</v>
      </c>
      <c r="H222" s="173" t="n">
        <v>40227</v>
      </c>
      <c r="I222" s="173" t="n">
        <v>30036</v>
      </c>
      <c r="J222" s="140" t="s">
        <v>762</v>
      </c>
      <c r="K222" s="140"/>
      <c r="L222" s="175" t="n">
        <v>7083.7536</v>
      </c>
      <c r="M222" s="175" t="n">
        <v>0</v>
      </c>
      <c r="N222" s="175" t="n">
        <v>7164</v>
      </c>
      <c r="O222" s="175"/>
      <c r="P222" s="175" t="n">
        <v>60</v>
      </c>
      <c r="Q222" s="176" t="n">
        <v>2</v>
      </c>
      <c r="R222" s="138" t="n">
        <v>2</v>
      </c>
      <c r="S222" s="177" t="n">
        <v>210.455</v>
      </c>
      <c r="T222" s="215"/>
      <c r="U222" s="178" t="n">
        <v>0.258256828537349</v>
      </c>
      <c r="V222" s="177" t="n">
        <v>1850.15191964157</v>
      </c>
      <c r="W222" s="177" t="n">
        <v>-20.7241807655395</v>
      </c>
      <c r="X222" s="179" t="n">
        <v>-0.0113282314054515</v>
      </c>
      <c r="Y222" s="177" t="n">
        <v>10.15</v>
      </c>
      <c r="Z222" s="177" t="n">
        <v>43.4</v>
      </c>
      <c r="AA222" s="177" t="n">
        <v>120.192307692308</v>
      </c>
      <c r="AB222" s="177" t="n">
        <v>2213.62504656833</v>
      </c>
      <c r="AC222" s="215" t="n">
        <v>0.363</v>
      </c>
      <c r="AD222" s="215" t="s">
        <v>88</v>
      </c>
      <c r="AE222" s="177" t="n">
        <v>2600.532</v>
      </c>
      <c r="AF222" s="177" t="n">
        <v>386.906953431666</v>
      </c>
      <c r="AG222" s="181" t="n">
        <v>0.148779924043106</v>
      </c>
      <c r="AH222" s="180" t="n">
        <v>1829.42773887603</v>
      </c>
      <c r="AI222" s="181" t="n">
        <v>0.703482110151318</v>
      </c>
      <c r="AJ222" s="181"/>
      <c r="AK222" s="181" t="s">
        <v>1181</v>
      </c>
      <c r="AL222" s="182" t="n">
        <v>0.308992887572353</v>
      </c>
      <c r="AN222" s="144" t="e">
        <v>#NAME?</v>
      </c>
      <c r="AO222" s="144" t="e">
        <f aca="false">_xlfn.xlookup(AN222,A:A,F:F)</f>
        <v>#NAME?</v>
      </c>
      <c r="AP222" s="144" t="e">
        <f aca="false">_xlfn.xlookup(AN222,A:A,J:J)</f>
        <v>#NAME?</v>
      </c>
      <c r="AQ222" s="144" t="e">
        <f aca="false">_xlfn.xlookup(AN222,A:A,N:N)+_xlfn.xlookup(AN222,A:A,O:O)</f>
        <v>#NAME?</v>
      </c>
      <c r="AR222" s="150" t="e">
        <f aca="false">_xlfn.xlookup(AN222,A:A,AH:AH)</f>
        <v>#NAME?</v>
      </c>
      <c r="AS222" s="150" t="e">
        <f aca="false">_xlfn.xlookup(AN222,A:A,S:S)</f>
        <v>#NAME?</v>
      </c>
      <c r="AT222" s="150" t="e">
        <f aca="false">_xlfn.xlookup(AN222,A:A,AE:AE)</f>
        <v>#NAME?</v>
      </c>
      <c r="AU222" s="150" t="e">
        <f aca="false">_xlfn.xlookup(AN222,A:A,AF:AF)</f>
        <v>#NAME?</v>
      </c>
      <c r="BB222" s="246"/>
      <c r="BC222" s="246"/>
      <c r="BD222" s="246"/>
      <c r="BE222" s="246"/>
      <c r="BF222" s="246"/>
      <c r="BH222" s="152" t="e">
        <f aca="false">_xlfn.xlookup(BG222,A:A,F:F)</f>
        <v>#NAME?</v>
      </c>
      <c r="BI222" s="144" t="e">
        <f aca="false">_xlfn.xlookup(BG222,A:A,J:J)</f>
        <v>#NAME?</v>
      </c>
      <c r="BJ222" s="153" t="e">
        <f aca="false">_xlfn.xlookup(BG222,A:A,N:N)+_xlfn.xlookup(BG222,A:A,O:O)</f>
        <v>#NAME?</v>
      </c>
      <c r="BK222" s="153" t="e">
        <f aca="false">_xlfn.xlookup(BG222,A171:A1165,AB171:AB1165)</f>
        <v>#NAME?</v>
      </c>
      <c r="BQ222" s="144" t="str">
        <f aca="false">IF(VALUE(MONTH(C222))&lt;10,YEAR(C222)&amp;"-0"&amp;MONTH(C222),YEAR(C222)&amp;"-"&amp;MONTH(C222))</f>
        <v>2025-02</v>
      </c>
      <c r="BR222" s="144" t="str">
        <f aca="false">J222</f>
        <v>S15-3</v>
      </c>
      <c r="BS222" s="144" t="str">
        <f aca="false">IF(ISNUMBER(FIND("-", BR222)), LEFT(BR222, FIND("-", BR222) - 1), BR222)</f>
        <v>S15</v>
      </c>
      <c r="BT222" s="189" t="n">
        <f aca="false">L222-M222+O222</f>
        <v>7083.7536</v>
      </c>
    </row>
    <row r="223" customFormat="false" ht="16.4" hidden="false" customHeight="false" outlineLevel="0" collapsed="false">
      <c r="A223" s="140" t="s">
        <v>1182</v>
      </c>
      <c r="B223" s="249" t="s">
        <v>893</v>
      </c>
      <c r="C223" s="174" t="n">
        <v>45698</v>
      </c>
      <c r="D223" s="173" t="n">
        <v>335</v>
      </c>
      <c r="E223" s="138" t="s">
        <v>210</v>
      </c>
      <c r="F223" s="138" t="s">
        <v>575</v>
      </c>
      <c r="G223" s="140" t="n">
        <v>3058</v>
      </c>
      <c r="H223" s="173" t="n">
        <v>40277</v>
      </c>
      <c r="I223" s="173" t="n">
        <v>30030</v>
      </c>
      <c r="J223" s="140" t="s">
        <v>790</v>
      </c>
      <c r="K223" s="140"/>
      <c r="L223" s="175" t="n">
        <v>12711.00072</v>
      </c>
      <c r="M223" s="258" t="n">
        <v>5421.24</v>
      </c>
      <c r="N223" s="258" t="n">
        <v>7140</v>
      </c>
      <c r="O223" s="175"/>
      <c r="P223" s="175" t="n">
        <v>119.736</v>
      </c>
      <c r="Q223" s="176" t="n">
        <v>2</v>
      </c>
      <c r="R223" s="138" t="n">
        <v>1.75</v>
      </c>
      <c r="S223" s="177" t="n">
        <v>210.455</v>
      </c>
      <c r="T223" s="215"/>
      <c r="U223" s="178" t="n">
        <v>0.27644690127903</v>
      </c>
      <c r="V223" s="177" t="n">
        <v>1973.83087513228</v>
      </c>
      <c r="W223" s="177" t="n">
        <v>41.4008869773165</v>
      </c>
      <c r="X223" s="179" t="n">
        <v>0.0117819771471148</v>
      </c>
      <c r="Y223" s="177" t="n">
        <v>20.25534</v>
      </c>
      <c r="Z223" s="177" t="n">
        <v>43.4</v>
      </c>
      <c r="AA223" s="177" t="n">
        <v>105.168269230769</v>
      </c>
      <c r="AB223" s="177" t="n">
        <v>2394.51037134036</v>
      </c>
      <c r="AC223" s="215" t="n">
        <v>0.42</v>
      </c>
      <c r="AD223" s="215" t="s">
        <v>88</v>
      </c>
      <c r="AE223" s="177" t="n">
        <v>2998.8</v>
      </c>
      <c r="AF223" s="177" t="n">
        <v>604.289628659639</v>
      </c>
      <c r="AG223" s="181" t="n">
        <v>0.201510480412044</v>
      </c>
      <c r="AH223" s="180" t="n">
        <v>2015.23176210959</v>
      </c>
      <c r="AI223" s="181" t="n">
        <v>0.672012725793515</v>
      </c>
      <c r="AJ223" s="181"/>
      <c r="AK223" s="181" t="s">
        <v>1182</v>
      </c>
      <c r="AL223" s="182" t="n">
        <v>0.335365598226941</v>
      </c>
      <c r="AN223" s="144" t="e">
        <v>#NAME?</v>
      </c>
      <c r="AO223" s="144" t="e">
        <f aca="false">_xlfn.xlookup(AN223,A:A,F:F)</f>
        <v>#NAME?</v>
      </c>
      <c r="AP223" s="144" t="e">
        <f aca="false">_xlfn.xlookup(AN223,A:A,J:J)</f>
        <v>#NAME?</v>
      </c>
      <c r="AQ223" s="144" t="e">
        <f aca="false">_xlfn.xlookup(AN223,A:A,N:N)+_xlfn.xlookup(AN223,A:A,O:O)</f>
        <v>#NAME?</v>
      </c>
      <c r="AR223" s="150" t="e">
        <f aca="false">_xlfn.xlookup(AN223,A:A,AH:AH)</f>
        <v>#NAME?</v>
      </c>
      <c r="AS223" s="150" t="e">
        <f aca="false">_xlfn.xlookup(AN223,A:A,S:S)</f>
        <v>#NAME?</v>
      </c>
      <c r="AT223" s="150" t="e">
        <f aca="false">_xlfn.xlookup(AN223,A:A,AE:AE)</f>
        <v>#NAME?</v>
      </c>
      <c r="AU223" s="150" t="e">
        <f aca="false">_xlfn.xlookup(AN223,A:A,AF:AF)</f>
        <v>#NAME?</v>
      </c>
      <c r="BB223" s="246"/>
      <c r="BC223" s="246"/>
      <c r="BD223" s="246"/>
      <c r="BE223" s="246"/>
      <c r="BF223" s="246"/>
      <c r="BH223" s="152" t="e">
        <f aca="false">_xlfn.xlookup(BG223,A:A,F:F)</f>
        <v>#NAME?</v>
      </c>
      <c r="BI223" s="144" t="e">
        <f aca="false">_xlfn.xlookup(BG223,A:A,J:J)</f>
        <v>#NAME?</v>
      </c>
      <c r="BJ223" s="153" t="e">
        <f aca="false">_xlfn.xlookup(BG223,A:A,N:N)+_xlfn.xlookup(BG223,A:A,O:O)</f>
        <v>#NAME?</v>
      </c>
      <c r="BK223" s="153" t="e">
        <f aca="false">_xlfn.xlookup(BG223,A172:A1166,AB172:AB1166)</f>
        <v>#NAME?</v>
      </c>
      <c r="BQ223" s="144" t="str">
        <f aca="false">IF(VALUE(MONTH(C223))&lt;10,YEAR(C223)&amp;"-0"&amp;MONTH(C223),YEAR(C223)&amp;"-"&amp;MONTH(C223))</f>
        <v>2025-02</v>
      </c>
      <c r="BR223" s="144" t="str">
        <f aca="false">J223</f>
        <v>S35-3</v>
      </c>
      <c r="BS223" s="144" t="str">
        <f aca="false">IF(ISNUMBER(FIND("-", BR223)), LEFT(BR223, FIND("-", BR223) - 1), BR223)</f>
        <v>S35</v>
      </c>
      <c r="BT223" s="189" t="n">
        <f aca="false">L223-M223+O223</f>
        <v>7289.76072</v>
      </c>
    </row>
    <row r="224" customFormat="false" ht="16.4" hidden="false" customHeight="false" outlineLevel="0" collapsed="false">
      <c r="A224" s="140" t="s">
        <v>1183</v>
      </c>
      <c r="B224" s="249" t="s">
        <v>893</v>
      </c>
      <c r="C224" s="174" t="n">
        <v>45698</v>
      </c>
      <c r="D224" s="173" t="n">
        <v>333</v>
      </c>
      <c r="E224" s="138" t="s">
        <v>354</v>
      </c>
      <c r="F224" s="138" t="s">
        <v>354</v>
      </c>
      <c r="G224" s="140" t="n">
        <v>1412</v>
      </c>
      <c r="H224" s="173" t="n">
        <v>40270</v>
      </c>
      <c r="I224" s="173" t="n">
        <v>30015</v>
      </c>
      <c r="J224" s="140" t="s">
        <v>762</v>
      </c>
      <c r="K224" s="140"/>
      <c r="L224" s="175" t="n">
        <v>838.75</v>
      </c>
      <c r="M224" s="175" t="n">
        <v>529.5125</v>
      </c>
      <c r="N224" s="175" t="n">
        <v>290.4</v>
      </c>
      <c r="O224" s="175"/>
      <c r="P224" s="175" t="n">
        <v>11</v>
      </c>
      <c r="Q224" s="176" t="n">
        <v>0</v>
      </c>
      <c r="R224" s="138" t="n">
        <v>0.625</v>
      </c>
      <c r="S224" s="177" t="n">
        <v>41.6666666666667</v>
      </c>
      <c r="T224" s="215"/>
      <c r="U224" s="178" t="n">
        <v>0.268854241086576</v>
      </c>
      <c r="V224" s="177" t="n">
        <v>78.0752716115418</v>
      </c>
      <c r="W224" s="177" t="n">
        <v>5.06454176646841</v>
      </c>
      <c r="X224" s="179" t="n">
        <v>0.0224590163934427</v>
      </c>
      <c r="Y224" s="177" t="n">
        <v>1.86083333333333</v>
      </c>
      <c r="Z224" s="177" t="n">
        <v>0</v>
      </c>
      <c r="AA224" s="177" t="n">
        <v>37.5600961538462</v>
      </c>
      <c r="AB224" s="177" t="n">
        <v>164.227409531856</v>
      </c>
      <c r="AC224" s="215" t="n">
        <v>0</v>
      </c>
      <c r="AD224" s="215" t="s">
        <v>88</v>
      </c>
      <c r="AE224" s="177" t="n">
        <v>0</v>
      </c>
      <c r="AF224" s="177" t="n">
        <v>-164.227409531856</v>
      </c>
      <c r="AG224" s="181"/>
      <c r="AH224" s="180" t="n">
        <v>83.1398133780102</v>
      </c>
      <c r="AI224" s="181"/>
      <c r="AJ224" s="181" t="s">
        <v>895</v>
      </c>
      <c r="AK224" s="181" t="s">
        <v>1183</v>
      </c>
      <c r="AL224" s="182" t="n">
        <v>0.565521382685456</v>
      </c>
      <c r="AN224" s="144" t="e">
        <v>#NAME?</v>
      </c>
      <c r="AO224" s="144" t="e">
        <f aca="false">_xlfn.xlookup(AN224,A:A,F:F)</f>
        <v>#NAME?</v>
      </c>
      <c r="AP224" s="144" t="e">
        <f aca="false">_xlfn.xlookup(AN224,A:A,J:J)</f>
        <v>#NAME?</v>
      </c>
      <c r="AQ224" s="144" t="e">
        <f aca="false">_xlfn.xlookup(AN224,A:A,N:N)+_xlfn.xlookup(AN224,A:A,O:O)</f>
        <v>#NAME?</v>
      </c>
      <c r="AR224" s="150" t="e">
        <f aca="false">_xlfn.xlookup(AN224,A:A,AH:AH)</f>
        <v>#NAME?</v>
      </c>
      <c r="AS224" s="150" t="e">
        <f aca="false">_xlfn.xlookup(AN224,A:A,S:S)</f>
        <v>#NAME?</v>
      </c>
      <c r="AT224" s="150" t="e">
        <f aca="false">_xlfn.xlookup(AN224,A:A,AE:AE)</f>
        <v>#NAME?</v>
      </c>
      <c r="AU224" s="150" t="e">
        <f aca="false">_xlfn.xlookup(AN224,A:A,AF:AF)</f>
        <v>#NAME?</v>
      </c>
      <c r="BB224" s="246"/>
      <c r="BC224" s="246"/>
      <c r="BD224" s="246"/>
      <c r="BE224" s="246"/>
      <c r="BF224" s="246"/>
      <c r="BH224" s="152" t="e">
        <f aca="false">_xlfn.xlookup(BG224,A:A,F:F)</f>
        <v>#NAME?</v>
      </c>
      <c r="BI224" s="144" t="e">
        <f aca="false">_xlfn.xlookup(BG224,A:A,J:J)</f>
        <v>#NAME?</v>
      </c>
      <c r="BJ224" s="153" t="e">
        <f aca="false">_xlfn.xlookup(BG224,A:A,N:N)+_xlfn.xlookup(BG224,A:A,O:O)</f>
        <v>#NAME?</v>
      </c>
      <c r="BK224" s="153" t="e">
        <f aca="false">_xlfn.xlookup(BG224,A173:A1167,AB173:AB1167)</f>
        <v>#NAME?</v>
      </c>
      <c r="BQ224" s="144" t="str">
        <f aca="false">IF(VALUE(MONTH(C224))&lt;10,YEAR(C224)&amp;"-0"&amp;MONTH(C224),YEAR(C224)&amp;"-"&amp;MONTH(C224))</f>
        <v>2025-02</v>
      </c>
      <c r="BR224" s="144" t="str">
        <f aca="false">J224</f>
        <v>S15-3</v>
      </c>
      <c r="BS224" s="144" t="str">
        <f aca="false">IF(ISNUMBER(FIND("-", BR224)), LEFT(BR224, FIND("-", BR224) - 1), BR224)</f>
        <v>S15</v>
      </c>
      <c r="BT224" s="189" t="n">
        <f aca="false">L224-M224+O224</f>
        <v>309.2375</v>
      </c>
    </row>
    <row r="225" customFormat="false" ht="16.4" hidden="false" customHeight="false" outlineLevel="0" collapsed="false">
      <c r="A225" s="140" t="s">
        <v>1184</v>
      </c>
      <c r="B225" s="249" t="s">
        <v>893</v>
      </c>
      <c r="C225" s="174" t="n">
        <v>45698</v>
      </c>
      <c r="D225" s="173" t="n">
        <v>333</v>
      </c>
      <c r="E225" s="138" t="s">
        <v>368</v>
      </c>
      <c r="F225" s="138" t="s">
        <v>1038</v>
      </c>
      <c r="G225" s="140" t="s">
        <v>1185</v>
      </c>
      <c r="H225" s="173" t="n">
        <v>40270</v>
      </c>
      <c r="I225" s="173" t="n">
        <v>30015</v>
      </c>
      <c r="J225" s="140" t="s">
        <v>762</v>
      </c>
      <c r="K225" s="140"/>
      <c r="L225" s="175" t="n">
        <v>991.25</v>
      </c>
      <c r="M225" s="175" t="n">
        <v>625.7875</v>
      </c>
      <c r="N225" s="175" t="n">
        <v>343.2</v>
      </c>
      <c r="O225" s="175"/>
      <c r="P225" s="175" t="n">
        <v>13</v>
      </c>
      <c r="Q225" s="176" t="n">
        <v>0</v>
      </c>
      <c r="R225" s="138" t="n">
        <v>0.625</v>
      </c>
      <c r="S225" s="177" t="n">
        <v>0</v>
      </c>
      <c r="T225" s="215"/>
      <c r="U225" s="178" t="n">
        <v>0.268854241086576</v>
      </c>
      <c r="V225" s="177" t="n">
        <v>92.270775540913</v>
      </c>
      <c r="W225" s="177" t="n">
        <v>5.98536754218989</v>
      </c>
      <c r="X225" s="179" t="n">
        <v>0.0224590163934426</v>
      </c>
      <c r="Y225" s="177" t="n">
        <v>2.19916666666667</v>
      </c>
      <c r="Z225" s="177" t="n">
        <v>0</v>
      </c>
      <c r="AA225" s="177" t="n">
        <v>37.5600961538462</v>
      </c>
      <c r="AB225" s="177" t="n">
        <v>138.015405903616</v>
      </c>
      <c r="AC225" s="215" t="n">
        <v>0</v>
      </c>
      <c r="AD225" s="215" t="s">
        <v>88</v>
      </c>
      <c r="AE225" s="177" t="n">
        <v>0</v>
      </c>
      <c r="AF225" s="177" t="n">
        <v>-138.015405903616</v>
      </c>
      <c r="AG225" s="181"/>
      <c r="AH225" s="180" t="n">
        <v>98.2561430831029</v>
      </c>
      <c r="AI225" s="181"/>
      <c r="AJ225" s="181" t="s">
        <v>895</v>
      </c>
      <c r="AK225" s="181" t="s">
        <v>1184</v>
      </c>
      <c r="AL225" s="182" t="n">
        <v>0.402142791094452</v>
      </c>
      <c r="AN225" s="144" t="e">
        <v>#NAME?</v>
      </c>
      <c r="AO225" s="144" t="e">
        <f aca="false">_xlfn.xlookup(AN225,A:A,F:F)</f>
        <v>#NAME?</v>
      </c>
      <c r="AP225" s="144" t="e">
        <f aca="false">_xlfn.xlookup(AN225,A:A,J:J)</f>
        <v>#NAME?</v>
      </c>
      <c r="AQ225" s="144" t="e">
        <f aca="false">_xlfn.xlookup(AN225,A:A,N:N)+_xlfn.xlookup(AN225,A:A,O:O)</f>
        <v>#NAME?</v>
      </c>
      <c r="AR225" s="150" t="e">
        <f aca="false">_xlfn.xlookup(AN225,A:A,AH:AH)</f>
        <v>#NAME?</v>
      </c>
      <c r="AS225" s="150" t="e">
        <f aca="false">_xlfn.xlookup(AN225,A:A,S:S)</f>
        <v>#NAME?</v>
      </c>
      <c r="AT225" s="150" t="e">
        <f aca="false">_xlfn.xlookup(AN225,A:A,AE:AE)</f>
        <v>#NAME?</v>
      </c>
      <c r="AU225" s="150" t="e">
        <f aca="false">_xlfn.xlookup(AN225,A:A,AF:AF)</f>
        <v>#NAME?</v>
      </c>
      <c r="BB225" s="246"/>
      <c r="BC225" s="246"/>
      <c r="BD225" s="246"/>
      <c r="BE225" s="246"/>
      <c r="BF225" s="246"/>
      <c r="BH225" s="152" t="e">
        <f aca="false">_xlfn.xlookup(BG225,A:A,F:F)</f>
        <v>#NAME?</v>
      </c>
      <c r="BI225" s="144" t="e">
        <f aca="false">_xlfn.xlookup(BG225,A:A,J:J)</f>
        <v>#NAME?</v>
      </c>
      <c r="BJ225" s="153" t="e">
        <f aca="false">_xlfn.xlookup(BG225,A:A,N:N)+_xlfn.xlookup(BG225,A:A,O:O)</f>
        <v>#NAME?</v>
      </c>
      <c r="BK225" s="153" t="e">
        <f aca="false">_xlfn.xlookup(BG225,A174:A1168,AB174:AB1168)</f>
        <v>#NAME?</v>
      </c>
      <c r="BT225" s="189"/>
    </row>
    <row r="226" customFormat="false" ht="16.4" hidden="false" customHeight="false" outlineLevel="0" collapsed="false">
      <c r="A226" s="140" t="s">
        <v>1186</v>
      </c>
      <c r="B226" s="249" t="s">
        <v>893</v>
      </c>
      <c r="C226" s="174" t="n">
        <v>45698</v>
      </c>
      <c r="D226" s="173" t="n">
        <v>333</v>
      </c>
      <c r="E226" s="138" t="s">
        <v>354</v>
      </c>
      <c r="F226" s="138" t="s">
        <v>354</v>
      </c>
      <c r="G226" s="140" t="n">
        <v>1412</v>
      </c>
      <c r="H226" s="173" t="n">
        <v>40271</v>
      </c>
      <c r="I226" s="173" t="n">
        <v>30016</v>
      </c>
      <c r="J226" s="140" t="s">
        <v>764</v>
      </c>
      <c r="K226" s="140"/>
      <c r="L226" s="175" t="n">
        <v>3686.688</v>
      </c>
      <c r="M226" s="258" t="n">
        <v>3330.9</v>
      </c>
      <c r="N226" s="258" t="n">
        <v>290.364</v>
      </c>
      <c r="O226" s="175"/>
      <c r="P226" s="175" t="n">
        <v>120.74</v>
      </c>
      <c r="Q226" s="176" t="n">
        <v>1</v>
      </c>
      <c r="R226" s="138" t="n">
        <v>0.5</v>
      </c>
      <c r="S226" s="177" t="n">
        <v>41.6666666666667</v>
      </c>
      <c r="T226" s="215"/>
      <c r="U226" s="178" t="n">
        <v>0.326284886247867</v>
      </c>
      <c r="V226" s="177" t="n">
        <v>94.7413847104756</v>
      </c>
      <c r="W226" s="177" t="n">
        <v>21.3468623978804</v>
      </c>
      <c r="X226" s="179" t="n">
        <v>0.0177460094263469</v>
      </c>
      <c r="Y226" s="177" t="n">
        <v>20.4251833333333</v>
      </c>
      <c r="Z226" s="177" t="n">
        <v>21.7</v>
      </c>
      <c r="AA226" s="177" t="n">
        <v>30.0480769230769</v>
      </c>
      <c r="AB226" s="177" t="n">
        <v>229.928174031433</v>
      </c>
      <c r="AC226" s="215" t="n">
        <v>0.518</v>
      </c>
      <c r="AD226" s="215" t="s">
        <v>88</v>
      </c>
      <c r="AE226" s="177" t="n">
        <v>150.408552</v>
      </c>
      <c r="AF226" s="177" t="n">
        <v>-79.5196220314329</v>
      </c>
      <c r="AG226" s="181" t="n">
        <v>-0.528690828906011</v>
      </c>
      <c r="AH226" s="180" t="n">
        <v>116.088247108356</v>
      </c>
      <c r="AI226" s="181" t="n">
        <v>0.771819458167219</v>
      </c>
      <c r="AJ226" s="181"/>
      <c r="AK226" s="181" t="s">
        <v>1186</v>
      </c>
      <c r="AL226" s="182" t="n">
        <v>0.791861849373314</v>
      </c>
      <c r="AN226" s="144" t="e">
        <v>#NAME?</v>
      </c>
      <c r="AO226" s="144" t="e">
        <f aca="false">_xlfn.xlookup(AN226,A:A,F:F)</f>
        <v>#NAME?</v>
      </c>
      <c r="AP226" s="144" t="e">
        <f aca="false">_xlfn.xlookup(AN226,A:A,J:J)</f>
        <v>#NAME?</v>
      </c>
      <c r="AQ226" s="144" t="e">
        <f aca="false">_xlfn.xlookup(AN226,A:A,N:N)+_xlfn.xlookup(AN226,A:A,O:O)</f>
        <v>#NAME?</v>
      </c>
      <c r="AR226" s="150" t="e">
        <f aca="false">_xlfn.xlookup(AN226,A:A,AH:AH)</f>
        <v>#NAME?</v>
      </c>
      <c r="AS226" s="150" t="e">
        <f aca="false">_xlfn.xlookup(AN226,A:A,S:S)</f>
        <v>#NAME?</v>
      </c>
      <c r="AT226" s="150" t="e">
        <f aca="false">_xlfn.xlookup(AN226,A:A,AE:AE)</f>
        <v>#NAME?</v>
      </c>
      <c r="AU226" s="150" t="e">
        <f aca="false">_xlfn.xlookup(AN226,A:A,AF:AF)</f>
        <v>#NAME?</v>
      </c>
      <c r="BB226" s="246"/>
      <c r="BC226" s="246"/>
      <c r="BD226" s="246"/>
      <c r="BE226" s="246"/>
      <c r="BF226" s="246"/>
      <c r="BH226" s="152" t="e">
        <f aca="false">_xlfn.xlookup(BG226,A:A,F:F)</f>
        <v>#NAME?</v>
      </c>
      <c r="BI226" s="144" t="e">
        <f aca="false">_xlfn.xlookup(BG226,A:A,J:J)</f>
        <v>#NAME?</v>
      </c>
      <c r="BJ226" s="153" t="e">
        <f aca="false">_xlfn.xlookup(BG226,A:A,N:N)+_xlfn.xlookup(BG226,A:A,O:O)</f>
        <v>#NAME?</v>
      </c>
      <c r="BK226" s="153" t="e">
        <f aca="false">_xlfn.xlookup(BG226,A175:A1169,AB175:AB1169)</f>
        <v>#NAME?</v>
      </c>
      <c r="BQ226" s="144" t="str">
        <f aca="false">IF(VALUE(MONTH(C226))&lt;10,YEAR(C226)&amp;"-0"&amp;MONTH(C226),YEAR(C226)&amp;"-"&amp;MONTH(C226))</f>
        <v>2025-02</v>
      </c>
      <c r="BR226" s="144" t="str">
        <f aca="false">J226</f>
        <v>B15-3</v>
      </c>
      <c r="BS226" s="144" t="str">
        <f aca="false">IF(ISNUMBER(FIND("-", BR226)), LEFT(BR226, FIND("-", BR226) - 1), BR226)</f>
        <v>B15</v>
      </c>
      <c r="BT226" s="189" t="n">
        <f aca="false">L226-M226+O226</f>
        <v>355.788</v>
      </c>
    </row>
    <row r="227" customFormat="false" ht="16.4" hidden="false" customHeight="false" outlineLevel="0" collapsed="false">
      <c r="A227" s="140" t="s">
        <v>1187</v>
      </c>
      <c r="B227" s="249" t="s">
        <v>893</v>
      </c>
      <c r="C227" s="174" t="n">
        <v>45699</v>
      </c>
      <c r="D227" s="173" t="n">
        <v>336</v>
      </c>
      <c r="E227" s="138" t="s">
        <v>368</v>
      </c>
      <c r="F227" s="138" t="s">
        <v>1038</v>
      </c>
      <c r="G227" s="140" t="s">
        <v>417</v>
      </c>
      <c r="H227" s="173" t="n">
        <v>40281</v>
      </c>
      <c r="I227" s="173" t="n">
        <v>30030</v>
      </c>
      <c r="J227" s="140" t="s">
        <v>790</v>
      </c>
      <c r="K227" s="140"/>
      <c r="L227" s="175" t="n">
        <v>1128</v>
      </c>
      <c r="M227" s="258" t="n">
        <v>798.525</v>
      </c>
      <c r="N227" s="258" t="n">
        <v>304.2</v>
      </c>
      <c r="O227" s="175"/>
      <c r="P227" s="175" t="n">
        <v>47.125</v>
      </c>
      <c r="Q227" s="176" t="n">
        <v>1</v>
      </c>
      <c r="R227" s="138" t="n">
        <v>1</v>
      </c>
      <c r="S227" s="177" t="n">
        <v>0</v>
      </c>
      <c r="T227" s="215"/>
      <c r="U227" s="178" t="n">
        <v>0.27644690127903</v>
      </c>
      <c r="V227" s="177" t="n">
        <v>84.0951473690809</v>
      </c>
      <c r="W227" s="177" t="n">
        <v>6.98719542982751</v>
      </c>
      <c r="X227" s="179" t="n">
        <v>0.0224069148936171</v>
      </c>
      <c r="Y227" s="177" t="n">
        <v>7.97197916666667</v>
      </c>
      <c r="Z227" s="177" t="n">
        <v>21.7</v>
      </c>
      <c r="AA227" s="177" t="n">
        <v>60.0961538461539</v>
      </c>
      <c r="AB227" s="177" t="n">
        <v>180.850475811729</v>
      </c>
      <c r="AC227" s="215" t="n">
        <v>0</v>
      </c>
      <c r="AD227" s="215" t="s">
        <v>88</v>
      </c>
      <c r="AE227" s="177" t="n">
        <v>0</v>
      </c>
      <c r="AF227" s="177" t="n">
        <v>-180.850475811729</v>
      </c>
      <c r="AG227" s="181"/>
      <c r="AH227" s="180" t="n">
        <v>91.0823427989084</v>
      </c>
      <c r="AI227" s="181"/>
      <c r="AJ227" s="181" t="s">
        <v>895</v>
      </c>
      <c r="AK227" s="181" t="s">
        <v>1187</v>
      </c>
      <c r="AL227" s="182" t="n">
        <v>0.594511754805158</v>
      </c>
      <c r="AN227" s="144" t="e">
        <v>#NAME?</v>
      </c>
      <c r="AO227" s="144" t="e">
        <f aca="false">_xlfn.xlookup(AN227,A:A,F:F)</f>
        <v>#NAME?</v>
      </c>
      <c r="AP227" s="144" t="e">
        <f aca="false">_xlfn.xlookup(AN227,A:A,J:J)</f>
        <v>#NAME?</v>
      </c>
      <c r="AQ227" s="144" t="e">
        <f aca="false">_xlfn.xlookup(AN227,A:A,N:N)+_xlfn.xlookup(AN227,A:A,O:O)</f>
        <v>#NAME?</v>
      </c>
      <c r="AR227" s="150" t="e">
        <f aca="false">_xlfn.xlookup(AN227,A:A,AH:AH)</f>
        <v>#NAME?</v>
      </c>
      <c r="AS227" s="150" t="e">
        <f aca="false">_xlfn.xlookup(AN227,A:A,S:S)</f>
        <v>#NAME?</v>
      </c>
      <c r="AT227" s="150" t="e">
        <f aca="false">_xlfn.xlookup(AN227,A:A,AE:AE)</f>
        <v>#NAME?</v>
      </c>
      <c r="AU227" s="150" t="e">
        <f aca="false">_xlfn.xlookup(AN227,A:A,AF:AF)</f>
        <v>#NAME?</v>
      </c>
      <c r="BB227" s="246"/>
      <c r="BC227" s="246"/>
      <c r="BD227" s="246"/>
      <c r="BE227" s="246"/>
      <c r="BF227" s="246"/>
      <c r="BH227" s="152" t="e">
        <f aca="false">_xlfn.xlookup(BG227,A:A,F:F)</f>
        <v>#NAME?</v>
      </c>
      <c r="BI227" s="144" t="e">
        <f aca="false">_xlfn.xlookup(BG227,A:A,J:J)</f>
        <v>#NAME?</v>
      </c>
      <c r="BJ227" s="153" t="e">
        <f aca="false">_xlfn.xlookup(BG227,A:A,N:N)+_xlfn.xlookup(BG227,A:A,O:O)</f>
        <v>#NAME?</v>
      </c>
      <c r="BK227" s="153" t="e">
        <f aca="false">_xlfn.xlookup(BG227,A176:A1170,AB176:AB1170)</f>
        <v>#NAME?</v>
      </c>
      <c r="BQ227" s="144" t="str">
        <f aca="false">IF(VALUE(MONTH(C227))&lt;10,YEAR(C227)&amp;"-0"&amp;MONTH(C227),YEAR(C227)&amp;"-"&amp;MONTH(C227))</f>
        <v>2025-02</v>
      </c>
      <c r="BR227" s="144" t="str">
        <f aca="false">J227</f>
        <v>S35-3</v>
      </c>
      <c r="BS227" s="144" t="str">
        <f aca="false">IF(ISNUMBER(FIND("-", BR227)), LEFT(BR227, FIND("-", BR227) - 1), BR227)</f>
        <v>S35</v>
      </c>
      <c r="BT227" s="189" t="n">
        <f aca="false">L227-M227+O227</f>
        <v>329.475</v>
      </c>
    </row>
    <row r="228" customFormat="false" ht="16.4" hidden="false" customHeight="false" outlineLevel="0" collapsed="false">
      <c r="A228" s="140" t="s">
        <v>1188</v>
      </c>
      <c r="B228" s="249" t="s">
        <v>893</v>
      </c>
      <c r="C228" s="174" t="n">
        <v>45671</v>
      </c>
      <c r="D228" s="173" t="n">
        <v>337</v>
      </c>
      <c r="E228" s="138" t="s">
        <v>221</v>
      </c>
      <c r="F228" s="138" t="s">
        <v>935</v>
      </c>
      <c r="G228" s="140" t="s">
        <v>373</v>
      </c>
      <c r="H228" s="173" t="n">
        <v>40282</v>
      </c>
      <c r="I228" s="173" t="n">
        <v>30011</v>
      </c>
      <c r="J228" s="140" t="s">
        <v>760</v>
      </c>
      <c r="K228" s="140"/>
      <c r="L228" s="175" t="n">
        <v>3356.33184</v>
      </c>
      <c r="M228" s="175" t="n">
        <v>0</v>
      </c>
      <c r="N228" s="175" t="n">
        <v>3276</v>
      </c>
      <c r="O228" s="175"/>
      <c r="P228" s="175" t="n">
        <v>60</v>
      </c>
      <c r="Q228" s="176" t="n">
        <v>1</v>
      </c>
      <c r="R228" s="138" t="n">
        <v>1.5</v>
      </c>
      <c r="S228" s="177" t="n">
        <v>158.75</v>
      </c>
      <c r="T228" s="215"/>
      <c r="U228" s="178" t="n">
        <v>0.28357864079936</v>
      </c>
      <c r="V228" s="177" t="n">
        <v>929.003627258703</v>
      </c>
      <c r="W228" s="177" t="n">
        <v>22.7803940001116</v>
      </c>
      <c r="X228" s="179" t="n">
        <v>0.0239344152573423</v>
      </c>
      <c r="Y228" s="177" t="n">
        <v>10.15</v>
      </c>
      <c r="Z228" s="177" t="n">
        <v>21.7</v>
      </c>
      <c r="AA228" s="177" t="n">
        <v>90.1442307692308</v>
      </c>
      <c r="AB228" s="177" t="n">
        <v>1232.52825202805</v>
      </c>
      <c r="AC228" s="215" t="n">
        <v>0.363</v>
      </c>
      <c r="AD228" s="215" t="s">
        <v>88</v>
      </c>
      <c r="AE228" s="177" t="n">
        <v>1189.188</v>
      </c>
      <c r="AF228" s="177" t="n">
        <v>-43.3402520280456</v>
      </c>
      <c r="AG228" s="181" t="n">
        <v>-0.0364452483779232</v>
      </c>
      <c r="AH228" s="180" t="n">
        <v>951.784021258815</v>
      </c>
      <c r="AI228" s="181" t="n">
        <v>0.800364636423185</v>
      </c>
      <c r="AJ228" s="181"/>
      <c r="AK228" s="181" t="s">
        <v>1188</v>
      </c>
      <c r="AL228" s="182" t="n">
        <v>0.376229625161186</v>
      </c>
      <c r="AN228" s="144" t="e">
        <v>#NAME?</v>
      </c>
      <c r="AO228" s="144" t="e">
        <f aca="false">_xlfn.xlookup(AN228,A:A,F:F)</f>
        <v>#NAME?</v>
      </c>
      <c r="AP228" s="144" t="e">
        <f aca="false">_xlfn.xlookup(AN228,A:A,J:J)</f>
        <v>#NAME?</v>
      </c>
      <c r="AQ228" s="144" t="e">
        <f aca="false">_xlfn.xlookup(AN228,A:A,N:N)+_xlfn.xlookup(AN228,A:A,O:O)</f>
        <v>#NAME?</v>
      </c>
      <c r="AR228" s="150" t="e">
        <f aca="false">_xlfn.xlookup(AN228,A:A,AH:AH)</f>
        <v>#NAME?</v>
      </c>
      <c r="AS228" s="150" t="e">
        <f aca="false">_xlfn.xlookup(AN228,A:A,S:S)</f>
        <v>#NAME?</v>
      </c>
      <c r="AT228" s="150" t="e">
        <f aca="false">_xlfn.xlookup(AN228,A:A,AE:AE)</f>
        <v>#NAME?</v>
      </c>
      <c r="AU228" s="150" t="e">
        <f aca="false">_xlfn.xlookup(AN228,A:A,AF:AF)</f>
        <v>#NAME?</v>
      </c>
      <c r="BB228" s="246"/>
      <c r="BC228" s="246"/>
      <c r="BD228" s="246"/>
      <c r="BE228" s="246"/>
      <c r="BF228" s="246"/>
      <c r="BH228" s="152" t="e">
        <f aca="false">_xlfn.xlookup(BG228,A:A,F:F)</f>
        <v>#NAME?</v>
      </c>
      <c r="BI228" s="144" t="e">
        <f aca="false">_xlfn.xlookup(BG228,A:A,J:J)</f>
        <v>#NAME?</v>
      </c>
      <c r="BJ228" s="153" t="e">
        <f aca="false">_xlfn.xlookup(BG228,A:A,N:N)+_xlfn.xlookup(BG228,A:A,O:O)</f>
        <v>#NAME?</v>
      </c>
      <c r="BK228" s="153" t="e">
        <f aca="false">_xlfn.xlookup(BG228,A177:A1171,AB177:AB1171)</f>
        <v>#NAME?</v>
      </c>
      <c r="BQ228" s="144" t="str">
        <f aca="false">IF(VALUE(MONTH(C228))&lt;10,YEAR(C228)&amp;"-0"&amp;MONTH(C228),YEAR(C228)&amp;"-"&amp;MONTH(C228))</f>
        <v>2025-01</v>
      </c>
      <c r="BR228" s="144" t="str">
        <f aca="false">J228</f>
        <v>S21-1</v>
      </c>
      <c r="BS228" s="144" t="str">
        <f aca="false">IF(ISNUMBER(FIND("-", BR228)), LEFT(BR228, FIND("-", BR228) - 1), BR228)</f>
        <v>S21</v>
      </c>
      <c r="BT228" s="189" t="n">
        <f aca="false">L228-M228+O228</f>
        <v>3356.33184</v>
      </c>
    </row>
    <row r="229" customFormat="false" ht="16.4" hidden="false" customHeight="false" outlineLevel="0" collapsed="false">
      <c r="A229" s="140" t="s">
        <v>1189</v>
      </c>
      <c r="B229" s="249" t="s">
        <v>893</v>
      </c>
      <c r="C229" s="174" t="n">
        <v>45671</v>
      </c>
      <c r="D229" s="173" t="n">
        <v>338</v>
      </c>
      <c r="E229" s="138" t="s">
        <v>210</v>
      </c>
      <c r="F229" s="138" t="s">
        <v>575</v>
      </c>
      <c r="G229" s="140" t="s">
        <v>375</v>
      </c>
      <c r="H229" s="173" t="n">
        <v>40283</v>
      </c>
      <c r="I229" s="173" t="n">
        <v>30022</v>
      </c>
      <c r="J229" s="140" t="s">
        <v>909</v>
      </c>
      <c r="K229" s="140"/>
      <c r="L229" s="175" t="n">
        <v>3551.73913043478</v>
      </c>
      <c r="M229" s="175" t="n">
        <v>3236.34782608696</v>
      </c>
      <c r="N229" s="175" t="n">
        <v>288</v>
      </c>
      <c r="O229" s="175"/>
      <c r="P229" s="175" t="n">
        <v>10</v>
      </c>
      <c r="Q229" s="176" t="n">
        <v>0</v>
      </c>
      <c r="R229" s="138" t="n">
        <v>0.375</v>
      </c>
      <c r="S229" s="177" t="n">
        <v>0</v>
      </c>
      <c r="T229" s="215"/>
      <c r="U229" s="178" t="n">
        <v>0.125902150537634</v>
      </c>
      <c r="V229" s="177" t="n">
        <v>36.2598193548387</v>
      </c>
      <c r="W229" s="177" t="n">
        <v>3.44862412342215</v>
      </c>
      <c r="X229" s="179" t="n">
        <v>0.00771208226221078</v>
      </c>
      <c r="Y229" s="177" t="n">
        <v>1.69166666666667</v>
      </c>
      <c r="Z229" s="177" t="n">
        <v>0</v>
      </c>
      <c r="AA229" s="177" t="n">
        <v>22.5360576923077</v>
      </c>
      <c r="AB229" s="177" t="n">
        <v>63.9361678372352</v>
      </c>
      <c r="AC229" s="215" t="n">
        <v>0</v>
      </c>
      <c r="AD229" s="215" t="s">
        <v>88</v>
      </c>
      <c r="AE229" s="177" t="n">
        <v>0</v>
      </c>
      <c r="AF229" s="177" t="n">
        <v>-63.9361678372352</v>
      </c>
      <c r="AG229" s="181"/>
      <c r="AH229" s="180" t="n">
        <v>39.7084434782609</v>
      </c>
      <c r="AI229" s="181"/>
      <c r="AJ229" s="181" t="s">
        <v>895</v>
      </c>
      <c r="AK229" s="181" t="s">
        <v>1189</v>
      </c>
      <c r="AL229" s="182" t="n">
        <v>0.222000582768178</v>
      </c>
      <c r="AN229" s="144" t="e">
        <v>#NAME?</v>
      </c>
      <c r="AO229" s="144" t="e">
        <f aca="false">_xlfn.xlookup(AN229,A:A,F:F)</f>
        <v>#NAME?</v>
      </c>
      <c r="AP229" s="144" t="e">
        <f aca="false">_xlfn.xlookup(AN229,A:A,J:J)</f>
        <v>#NAME?</v>
      </c>
      <c r="AQ229" s="144" t="e">
        <f aca="false">_xlfn.xlookup(AN229,A:A,N:N)+_xlfn.xlookup(AN229,A:A,O:O)</f>
        <v>#NAME?</v>
      </c>
      <c r="AR229" s="150" t="e">
        <f aca="false">_xlfn.xlookup(AN229,A:A,AH:AH)</f>
        <v>#NAME?</v>
      </c>
      <c r="AS229" s="150" t="e">
        <f aca="false">_xlfn.xlookup(AN229,A:A,S:S)</f>
        <v>#NAME?</v>
      </c>
      <c r="AT229" s="150" t="e">
        <f aca="false">_xlfn.xlookup(AN229,A:A,AE:AE)</f>
        <v>#NAME?</v>
      </c>
      <c r="AU229" s="150" t="e">
        <f aca="false">_xlfn.xlookup(AN229,A:A,AF:AF)</f>
        <v>#NAME?</v>
      </c>
      <c r="BB229" s="246"/>
      <c r="BC229" s="246"/>
      <c r="BD229" s="246"/>
      <c r="BE229" s="246"/>
      <c r="BF229" s="246"/>
      <c r="BH229" s="152" t="e">
        <f aca="false">_xlfn.xlookup(BG229,A:A,F:F)</f>
        <v>#NAME?</v>
      </c>
      <c r="BI229" s="144" t="e">
        <f aca="false">_xlfn.xlookup(BG229,A:A,J:J)</f>
        <v>#NAME?</v>
      </c>
      <c r="BJ229" s="153" t="e">
        <f aca="false">_xlfn.xlookup(BG229,A:A,N:N)+_xlfn.xlookup(BG229,A:A,O:O)</f>
        <v>#NAME?</v>
      </c>
      <c r="BK229" s="153" t="e">
        <f aca="false">_xlfn.xlookup(BG229,A178:A1172,AB178:AB1172)</f>
        <v>#NAME?</v>
      </c>
      <c r="BQ229" s="144" t="str">
        <f aca="false">IF(VALUE(MONTH(C229))&lt;10,YEAR(C229)&amp;"-0"&amp;MONTH(C229),YEAR(C229)&amp;"-"&amp;MONTH(C229))</f>
        <v>2025-01</v>
      </c>
      <c r="BR229" s="144" t="str">
        <f aca="false">J229</f>
        <v>F70-6</v>
      </c>
      <c r="BS229" s="144" t="str">
        <f aca="false">IF(ISNUMBER(FIND("-", BR229)), LEFT(BR229, FIND("-", BR229) - 1), BR229)</f>
        <v>F70</v>
      </c>
      <c r="BT229" s="189" t="n">
        <f aca="false">L229-M229+O229</f>
        <v>315.391304347826</v>
      </c>
    </row>
    <row r="230" customFormat="false" ht="16.4" hidden="false" customHeight="false" outlineLevel="0" collapsed="false">
      <c r="A230" s="140" t="s">
        <v>1190</v>
      </c>
      <c r="B230" s="249" t="s">
        <v>893</v>
      </c>
      <c r="C230" s="174" t="n">
        <v>45671</v>
      </c>
      <c r="D230" s="173" t="n">
        <v>338</v>
      </c>
      <c r="E230" s="138" t="s">
        <v>194</v>
      </c>
      <c r="F230" s="138" t="s">
        <v>194</v>
      </c>
      <c r="G230" s="140" t="s">
        <v>375</v>
      </c>
      <c r="H230" s="173" t="n">
        <v>40283</v>
      </c>
      <c r="I230" s="173" t="n">
        <v>30022</v>
      </c>
      <c r="J230" s="140" t="s">
        <v>909</v>
      </c>
      <c r="K230" s="140"/>
      <c r="L230" s="175" t="n">
        <v>4617.26086956522</v>
      </c>
      <c r="M230" s="175" t="n">
        <v>4207.25217391304</v>
      </c>
      <c r="N230" s="175" t="n">
        <v>374.4</v>
      </c>
      <c r="O230" s="175"/>
      <c r="P230" s="175" t="n">
        <v>13</v>
      </c>
      <c r="Q230" s="176" t="n">
        <v>0</v>
      </c>
      <c r="R230" s="138" t="n">
        <v>0.375</v>
      </c>
      <c r="S230" s="177" t="n">
        <v>0</v>
      </c>
      <c r="T230" s="215"/>
      <c r="U230" s="178" t="n">
        <v>0.125902150537634</v>
      </c>
      <c r="V230" s="177" t="n">
        <v>47.1377651612903</v>
      </c>
      <c r="W230" s="177" t="n">
        <v>4.48321136044882</v>
      </c>
      <c r="X230" s="179" t="n">
        <v>0.00771208226221082</v>
      </c>
      <c r="Y230" s="177" t="n">
        <v>2.19916666666667</v>
      </c>
      <c r="Z230" s="177" t="n">
        <v>0</v>
      </c>
      <c r="AA230" s="177" t="n">
        <v>22.5360576923077</v>
      </c>
      <c r="AB230" s="177" t="n">
        <v>76.3562008807135</v>
      </c>
      <c r="AC230" s="215" t="n">
        <v>0</v>
      </c>
      <c r="AD230" s="215" t="s">
        <v>88</v>
      </c>
      <c r="AE230" s="177" t="n">
        <v>0</v>
      </c>
      <c r="AF230" s="177" t="n">
        <v>-76.3562008807135</v>
      </c>
      <c r="AG230" s="181"/>
      <c r="AH230" s="180" t="n">
        <v>51.6209765217391</v>
      </c>
      <c r="AI230" s="181"/>
      <c r="AJ230" s="181" t="s">
        <v>895</v>
      </c>
      <c r="AK230" s="181" t="s">
        <v>1190</v>
      </c>
      <c r="AL230" s="182" t="n">
        <v>0.203942844232675</v>
      </c>
      <c r="AN230" s="144" t="e">
        <v>#NAME?</v>
      </c>
      <c r="AO230" s="144" t="e">
        <f aca="false">_xlfn.xlookup(AN230,A:A,F:F)</f>
        <v>#NAME?</v>
      </c>
      <c r="AP230" s="144" t="e">
        <f aca="false">_xlfn.xlookup(AN230,A:A,J:J)</f>
        <v>#NAME?</v>
      </c>
      <c r="AQ230" s="144" t="e">
        <f aca="false">_xlfn.xlookup(AN230,A:A,N:N)+_xlfn.xlookup(AN230,A:A,O:O)</f>
        <v>#NAME?</v>
      </c>
      <c r="AR230" s="150" t="e">
        <f aca="false">_xlfn.xlookup(AN230,A:A,AH:AH)</f>
        <v>#NAME?</v>
      </c>
      <c r="AS230" s="150" t="e">
        <f aca="false">_xlfn.xlookup(AN230,A:A,S:S)</f>
        <v>#NAME?</v>
      </c>
      <c r="AT230" s="150" t="e">
        <f aca="false">_xlfn.xlookup(AN230,A:A,AE:AE)</f>
        <v>#NAME?</v>
      </c>
      <c r="AU230" s="150" t="e">
        <f aca="false">_xlfn.xlookup(AN230,A:A,AF:AF)</f>
        <v>#NAME?</v>
      </c>
      <c r="BB230" s="246"/>
      <c r="BC230" s="246"/>
      <c r="BD230" s="246"/>
      <c r="BE230" s="246"/>
      <c r="BF230" s="246"/>
      <c r="BH230" s="152" t="e">
        <f aca="false">_xlfn.xlookup(BG230,A:A,F:F)</f>
        <v>#NAME?</v>
      </c>
      <c r="BI230" s="144" t="e">
        <f aca="false">_xlfn.xlookup(BG230,A:A,J:J)</f>
        <v>#NAME?</v>
      </c>
      <c r="BJ230" s="153" t="e">
        <f aca="false">_xlfn.xlookup(BG230,A:A,N:N)+_xlfn.xlookup(BG230,A:A,O:O)</f>
        <v>#NAME?</v>
      </c>
      <c r="BK230" s="153" t="e">
        <f aca="false">_xlfn.xlookup(BG230,A179:A1173,AB179:AB1173)</f>
        <v>#NAME?</v>
      </c>
      <c r="BT230" s="189"/>
    </row>
    <row r="231" customFormat="false" ht="16.4" hidden="false" customHeight="false" outlineLevel="0" collapsed="false">
      <c r="A231" s="140" t="s">
        <v>1191</v>
      </c>
      <c r="B231" s="249" t="s">
        <v>1121</v>
      </c>
      <c r="C231" s="174" t="n">
        <v>45671</v>
      </c>
      <c r="D231" s="173" t="n">
        <v>339</v>
      </c>
      <c r="E231" s="138" t="s">
        <v>194</v>
      </c>
      <c r="F231" s="138" t="s">
        <v>194</v>
      </c>
      <c r="G231" s="140" t="s">
        <v>377</v>
      </c>
      <c r="H231" s="173" t="n">
        <v>40284</v>
      </c>
      <c r="I231" s="173" t="n">
        <v>30022</v>
      </c>
      <c r="J231" s="140" t="s">
        <v>909</v>
      </c>
      <c r="K231" s="140"/>
      <c r="L231" s="253"/>
      <c r="M231" s="253"/>
      <c r="N231" s="253"/>
      <c r="O231" s="253"/>
      <c r="P231" s="253"/>
      <c r="Q231" s="254"/>
      <c r="R231" s="255"/>
      <c r="S231" s="256" t="n">
        <v>0</v>
      </c>
      <c r="T231" s="215"/>
      <c r="U231" s="178" t="n">
        <v>0.125902150537634</v>
      </c>
      <c r="V231" s="177" t="n">
        <v>0</v>
      </c>
      <c r="W231" s="177" t="n">
        <v>0</v>
      </c>
      <c r="X231" s="179"/>
      <c r="Y231" s="177" t="n">
        <v>0</v>
      </c>
      <c r="Z231" s="177" t="n">
        <v>0</v>
      </c>
      <c r="AA231" s="177" t="n">
        <v>0</v>
      </c>
      <c r="AB231" s="177" t="n">
        <v>0</v>
      </c>
      <c r="AC231" s="215" t="n">
        <v>0</v>
      </c>
      <c r="AD231" s="215" t="s">
        <v>88</v>
      </c>
      <c r="AE231" s="177" t="n">
        <v>0</v>
      </c>
      <c r="AF231" s="177" t="n">
        <v>0</v>
      </c>
      <c r="AG231" s="181"/>
      <c r="AH231" s="180" t="n">
        <v>0</v>
      </c>
      <c r="AI231" s="181"/>
      <c r="AJ231" s="181" t="s">
        <v>895</v>
      </c>
      <c r="AK231" s="181" t="s">
        <v>1191</v>
      </c>
      <c r="AL231" s="182"/>
      <c r="AN231" s="144" t="e">
        <v>#NAME?</v>
      </c>
      <c r="AO231" s="144" t="e">
        <f aca="false">_xlfn.xlookup(AN231,A:A,F:F)</f>
        <v>#NAME?</v>
      </c>
      <c r="AP231" s="144" t="e">
        <f aca="false">_xlfn.xlookup(AN231,A:A,J:J)</f>
        <v>#NAME?</v>
      </c>
      <c r="AQ231" s="144" t="e">
        <f aca="false">_xlfn.xlookup(AN231,A:A,N:N)+_xlfn.xlookup(AN231,A:A,O:O)</f>
        <v>#NAME?</v>
      </c>
      <c r="AR231" s="150" t="e">
        <f aca="false">_xlfn.xlookup(AN231,A:A,AH:AH)</f>
        <v>#NAME?</v>
      </c>
      <c r="AS231" s="150" t="e">
        <f aca="false">_xlfn.xlookup(AN231,A:A,S:S)</f>
        <v>#NAME?</v>
      </c>
      <c r="AT231" s="150" t="e">
        <f aca="false">_xlfn.xlookup(AN231,A:A,AE:AE)</f>
        <v>#NAME?</v>
      </c>
      <c r="AU231" s="150" t="e">
        <f aca="false">_xlfn.xlookup(AN231,A:A,AF:AF)</f>
        <v>#NAME?</v>
      </c>
      <c r="BB231" s="246"/>
      <c r="BC231" s="246"/>
      <c r="BD231" s="246"/>
      <c r="BE231" s="246"/>
      <c r="BF231" s="246"/>
      <c r="BH231" s="152" t="e">
        <f aca="false">_xlfn.xlookup(BG231,A:A,F:F)</f>
        <v>#NAME?</v>
      </c>
      <c r="BI231" s="144" t="e">
        <f aca="false">_xlfn.xlookup(BG231,A:A,J:J)</f>
        <v>#NAME?</v>
      </c>
      <c r="BJ231" s="153" t="e">
        <f aca="false">_xlfn.xlookup(BG231,A:A,N:N)+_xlfn.xlookup(BG231,A:A,O:O)</f>
        <v>#NAME?</v>
      </c>
      <c r="BK231" s="153" t="e">
        <f aca="false">_xlfn.xlookup(BG231,A180:A1174,AB180:AB1174)</f>
        <v>#NAME?</v>
      </c>
      <c r="BT231" s="189"/>
    </row>
    <row r="232" customFormat="false" ht="16.4" hidden="false" customHeight="false" outlineLevel="0" collapsed="false">
      <c r="A232" s="140" t="s">
        <v>1192</v>
      </c>
      <c r="B232" s="249" t="s">
        <v>893</v>
      </c>
      <c r="C232" s="174" t="n">
        <v>45668</v>
      </c>
      <c r="D232" s="173" t="n">
        <v>340</v>
      </c>
      <c r="E232" s="138" t="s">
        <v>194</v>
      </c>
      <c r="F232" s="138" t="s">
        <v>194</v>
      </c>
      <c r="G232" s="140" t="n">
        <v>2501889</v>
      </c>
      <c r="H232" s="173" t="n">
        <v>40285</v>
      </c>
      <c r="I232" s="173" t="n">
        <v>30012</v>
      </c>
      <c r="J232" s="140" t="s">
        <v>908</v>
      </c>
      <c r="K232" s="140"/>
      <c r="L232" s="175" t="n">
        <v>7115.30784</v>
      </c>
      <c r="M232" s="175" t="n">
        <v>0</v>
      </c>
      <c r="N232" s="175" t="n">
        <v>6984</v>
      </c>
      <c r="O232" s="175"/>
      <c r="P232" s="175" t="n">
        <v>60</v>
      </c>
      <c r="Q232" s="176" t="n">
        <v>2</v>
      </c>
      <c r="R232" s="138" t="n">
        <v>2</v>
      </c>
      <c r="S232" s="177" t="n">
        <v>112.2</v>
      </c>
      <c r="T232" s="215"/>
      <c r="U232" s="178" t="n">
        <v>0.327974576595346</v>
      </c>
      <c r="V232" s="177" t="n">
        <v>2290.5744429419</v>
      </c>
      <c r="W232" s="177" t="n">
        <v>43.0656332276493</v>
      </c>
      <c r="X232" s="179" t="n">
        <v>0.018454273933424</v>
      </c>
      <c r="Y232" s="177" t="n">
        <v>10.15</v>
      </c>
      <c r="Z232" s="177" t="n">
        <v>43.4</v>
      </c>
      <c r="AA232" s="177" t="n">
        <v>120.192307692308</v>
      </c>
      <c r="AB232" s="177" t="n">
        <v>2619.58238386186</v>
      </c>
      <c r="AC232" s="215" t="n">
        <v>0.41</v>
      </c>
      <c r="AD232" s="215" t="s">
        <v>88</v>
      </c>
      <c r="AE232" s="177" t="n">
        <v>2863.44</v>
      </c>
      <c r="AF232" s="177" t="n">
        <v>243.857616138145</v>
      </c>
      <c r="AG232" s="181" t="n">
        <v>0.0851624675698269</v>
      </c>
      <c r="AH232" s="180" t="n">
        <v>2333.64007616955</v>
      </c>
      <c r="AI232" s="181" t="n">
        <v>0.814977815553861</v>
      </c>
      <c r="AJ232" s="181"/>
      <c r="AK232" s="181" t="s">
        <v>1192</v>
      </c>
      <c r="AL232" s="182" t="n">
        <v>0.375083388296371</v>
      </c>
      <c r="AN232" s="144" t="e">
        <v>#NAME?</v>
      </c>
      <c r="AO232" s="144" t="e">
        <f aca="false">_xlfn.xlookup(AN232,A:A,F:F)</f>
        <v>#NAME?</v>
      </c>
      <c r="AP232" s="144" t="e">
        <f aca="false">_xlfn.xlookup(AN232,A:A,J:J)</f>
        <v>#NAME?</v>
      </c>
      <c r="AQ232" s="144" t="e">
        <f aca="false">_xlfn.xlookup(AN232,A:A,N:N)+_xlfn.xlookup(AN232,A:A,O:O)</f>
        <v>#NAME?</v>
      </c>
      <c r="AR232" s="150" t="e">
        <f aca="false">_xlfn.xlookup(AN232,A:A,AH:AH)</f>
        <v>#NAME?</v>
      </c>
      <c r="AS232" s="150" t="e">
        <f aca="false">_xlfn.xlookup(AN232,A:A,S:S)</f>
        <v>#NAME?</v>
      </c>
      <c r="AT232" s="150" t="e">
        <f aca="false">_xlfn.xlookup(AN232,A:A,AE:AE)</f>
        <v>#NAME?</v>
      </c>
      <c r="AU232" s="150" t="e">
        <f aca="false">_xlfn.xlookup(AN232,A:A,AF:AF)</f>
        <v>#NAME?</v>
      </c>
      <c r="BB232" s="246"/>
      <c r="BC232" s="246"/>
      <c r="BD232" s="246"/>
      <c r="BE232" s="246"/>
      <c r="BF232" s="246"/>
      <c r="BH232" s="152" t="e">
        <f aca="false">_xlfn.xlookup(BG232,A:A,F:F)</f>
        <v>#NAME?</v>
      </c>
      <c r="BI232" s="144" t="e">
        <f aca="false">_xlfn.xlookup(BG232,A:A,J:J)</f>
        <v>#NAME?</v>
      </c>
      <c r="BJ232" s="153" t="e">
        <f aca="false">_xlfn.xlookup(BG232,A:A,N:N)+_xlfn.xlookup(BG232,A:A,O:O)</f>
        <v>#NAME?</v>
      </c>
      <c r="BK232" s="153" t="e">
        <f aca="false">_xlfn.xlookup(BG232,A181:A1175,AB181:AB1175)</f>
        <v>#NAME?</v>
      </c>
      <c r="BQ232" s="144" t="str">
        <f aca="false">IF(VALUE(MONTH(C232))&lt;10,YEAR(C232)&amp;"-0"&amp;MONTH(C232),YEAR(C232)&amp;"-"&amp;MONTH(C232))</f>
        <v>2025-01</v>
      </c>
      <c r="BR232" s="144" t="str">
        <f aca="false">J232</f>
        <v>D21-1</v>
      </c>
      <c r="BS232" s="144" t="str">
        <f aca="false">IF(ISNUMBER(FIND("-", BR232)), LEFT(BR232, FIND("-", BR232) - 1), BR232)</f>
        <v>D21</v>
      </c>
      <c r="BT232" s="189" t="n">
        <f aca="false">L232-M232+O232</f>
        <v>7115.30784</v>
      </c>
    </row>
    <row r="233" customFormat="false" ht="16.4" hidden="false" customHeight="false" outlineLevel="0" collapsed="false">
      <c r="A233" s="140" t="s">
        <v>1193</v>
      </c>
      <c r="B233" s="249" t="s">
        <v>893</v>
      </c>
      <c r="C233" s="174" t="n">
        <v>45700</v>
      </c>
      <c r="D233" s="173" t="n">
        <v>341</v>
      </c>
      <c r="E233" s="138" t="s">
        <v>306</v>
      </c>
      <c r="F233" s="138" t="s">
        <v>596</v>
      </c>
      <c r="G233" s="140" t="s">
        <v>208</v>
      </c>
      <c r="H233" s="173" t="n">
        <v>40287</v>
      </c>
      <c r="I233" s="173" t="n">
        <v>30043</v>
      </c>
      <c r="J233" s="140" t="s">
        <v>740</v>
      </c>
      <c r="K233" s="140"/>
      <c r="L233" s="175" t="n">
        <v>120</v>
      </c>
      <c r="M233" s="175" t="n">
        <v>0</v>
      </c>
      <c r="N233" s="175" t="n">
        <v>120</v>
      </c>
      <c r="O233" s="175"/>
      <c r="P233" s="175" t="n">
        <v>10</v>
      </c>
      <c r="Q233" s="176" t="n">
        <v>0</v>
      </c>
      <c r="R233" s="138" t="n">
        <v>0.5</v>
      </c>
      <c r="S233" s="177" t="n">
        <v>0</v>
      </c>
      <c r="T233" s="215"/>
      <c r="U233" s="178" t="n">
        <v>0.346913319532401</v>
      </c>
      <c r="V233" s="177" t="n">
        <v>41.6295983438881</v>
      </c>
      <c r="W233" s="177" t="n">
        <v>0</v>
      </c>
      <c r="X233" s="179" t="n">
        <v>0</v>
      </c>
      <c r="Y233" s="177" t="n">
        <v>1.69166666666667</v>
      </c>
      <c r="Z233" s="177" t="n">
        <v>0</v>
      </c>
      <c r="AA233" s="177" t="n">
        <v>30.0480769230769</v>
      </c>
      <c r="AB233" s="177" t="n">
        <v>73.3693419336317</v>
      </c>
      <c r="AC233" s="215" t="n">
        <v>0</v>
      </c>
      <c r="AD233" s="215" t="s">
        <v>88</v>
      </c>
      <c r="AE233" s="177" t="n">
        <v>0</v>
      </c>
      <c r="AF233" s="177" t="n">
        <v>-73.3693419336317</v>
      </c>
      <c r="AG233" s="181"/>
      <c r="AH233" s="180" t="n">
        <v>41.6295983438881</v>
      </c>
      <c r="AI233" s="181"/>
      <c r="AJ233" s="181" t="s">
        <v>895</v>
      </c>
      <c r="AK233" s="181" t="s">
        <v>1193</v>
      </c>
      <c r="AL233" s="182" t="n">
        <v>0.611411182780264</v>
      </c>
      <c r="AN233" s="144" t="e">
        <v>#NAME?</v>
      </c>
      <c r="AO233" s="144" t="e">
        <f aca="false">_xlfn.xlookup(AN233,A:A,F:F)</f>
        <v>#NAME?</v>
      </c>
      <c r="AP233" s="144" t="e">
        <f aca="false">_xlfn.xlookup(AN233,A:A,J:J)</f>
        <v>#NAME?</v>
      </c>
      <c r="AQ233" s="144" t="e">
        <f aca="false">_xlfn.xlookup(AN233,A:A,N:N)+_xlfn.xlookup(AN233,A:A,O:O)</f>
        <v>#NAME?</v>
      </c>
      <c r="AR233" s="150" t="e">
        <f aca="false">_xlfn.xlookup(AN233,A:A,AH:AH)</f>
        <v>#NAME?</v>
      </c>
      <c r="AS233" s="150" t="e">
        <f aca="false">_xlfn.xlookup(AN233,A:A,S:S)</f>
        <v>#NAME?</v>
      </c>
      <c r="AT233" s="150" t="e">
        <f aca="false">_xlfn.xlookup(AN233,A:A,AE:AE)</f>
        <v>#NAME?</v>
      </c>
      <c r="AU233" s="150" t="e">
        <f aca="false">_xlfn.xlookup(AN233,A:A,AF:AF)</f>
        <v>#NAME?</v>
      </c>
      <c r="BB233" s="246"/>
      <c r="BC233" s="246"/>
      <c r="BD233" s="246"/>
      <c r="BE233" s="246"/>
      <c r="BF233" s="246"/>
      <c r="BH233" s="152" t="e">
        <f aca="false">_xlfn.xlookup(BG233,A:A,F:F)</f>
        <v>#NAME?</v>
      </c>
      <c r="BI233" s="144" t="e">
        <f aca="false">_xlfn.xlookup(BG233,A:A,J:J)</f>
        <v>#NAME?</v>
      </c>
      <c r="BJ233" s="153" t="e">
        <f aca="false">_xlfn.xlookup(BG233,A:A,N:N)+_xlfn.xlookup(BG233,A:A,O:O)</f>
        <v>#NAME?</v>
      </c>
      <c r="BK233" s="153" t="e">
        <f aca="false">_xlfn.xlookup(BG233,A182:A1176,AB182:AB1176)</f>
        <v>#NAME?</v>
      </c>
      <c r="BQ233" s="144" t="str">
        <f aca="false">IF(VALUE(MONTH(C233))&lt;10,YEAR(C233)&amp;"-0"&amp;MONTH(C233),YEAR(C233)&amp;"-"&amp;MONTH(C233))</f>
        <v>2025-02</v>
      </c>
      <c r="BR233" s="144" t="str">
        <f aca="false">J233</f>
        <v>D11-12</v>
      </c>
      <c r="BS233" s="144" t="str">
        <f aca="false">IF(ISNUMBER(FIND("-", BR233)), LEFT(BR233, FIND("-", BR233) - 1), BR233)</f>
        <v>D11</v>
      </c>
      <c r="BT233" s="189" t="n">
        <f aca="false">L233-M233+O233</f>
        <v>120</v>
      </c>
    </row>
    <row r="234" customFormat="false" ht="16.4" hidden="false" customHeight="false" outlineLevel="0" collapsed="false">
      <c r="A234" s="140" t="s">
        <v>1194</v>
      </c>
      <c r="B234" s="249" t="s">
        <v>893</v>
      </c>
      <c r="C234" s="174" t="n">
        <v>45700</v>
      </c>
      <c r="D234" s="173" t="n">
        <v>341</v>
      </c>
      <c r="E234" s="138" t="s">
        <v>306</v>
      </c>
      <c r="F234" s="138" t="s">
        <v>596</v>
      </c>
      <c r="G234" s="140" t="s">
        <v>112</v>
      </c>
      <c r="H234" s="173" t="n">
        <v>40288</v>
      </c>
      <c r="I234" s="173" t="n">
        <v>30012</v>
      </c>
      <c r="J234" s="140" t="s">
        <v>908</v>
      </c>
      <c r="K234" s="140"/>
      <c r="L234" s="175" t="n">
        <v>1194.528</v>
      </c>
      <c r="M234" s="258" t="n">
        <v>966</v>
      </c>
      <c r="N234" s="258" t="n">
        <v>120</v>
      </c>
      <c r="O234" s="175"/>
      <c r="P234" s="175" t="n">
        <v>20</v>
      </c>
      <c r="Q234" s="176" t="n">
        <v>1</v>
      </c>
      <c r="R234" s="138" t="n">
        <v>0.25</v>
      </c>
      <c r="S234" s="177" t="n">
        <v>0</v>
      </c>
      <c r="T234" s="215"/>
      <c r="U234" s="178" t="n">
        <v>0.327974576595346</v>
      </c>
      <c r="V234" s="177" t="n">
        <v>39.3569491914415</v>
      </c>
      <c r="W234" s="177" t="n">
        <v>35.5944248487397</v>
      </c>
      <c r="X234" s="179" t="n">
        <v>0.0908542955878808</v>
      </c>
      <c r="Y234" s="177" t="n">
        <v>3.38333333333333</v>
      </c>
      <c r="Z234" s="177" t="n">
        <v>21.7</v>
      </c>
      <c r="AA234" s="177" t="n">
        <v>15.0240384615385</v>
      </c>
      <c r="AB234" s="177" t="n">
        <v>115.058745835053</v>
      </c>
      <c r="AC234" s="215" t="n">
        <v>0</v>
      </c>
      <c r="AD234" s="215" t="s">
        <v>88</v>
      </c>
      <c r="AE234" s="177" t="n">
        <v>0</v>
      </c>
      <c r="AF234" s="177" t="n">
        <v>-115.058745835053</v>
      </c>
      <c r="AG234" s="181"/>
      <c r="AH234" s="180" t="n">
        <v>74.9513740401813</v>
      </c>
      <c r="AI234" s="181"/>
      <c r="AJ234" s="181" t="s">
        <v>895</v>
      </c>
      <c r="AK234" s="181" t="s">
        <v>1194</v>
      </c>
      <c r="AL234" s="182" t="n">
        <v>0.958822881958776</v>
      </c>
      <c r="AN234" s="144" t="e">
        <v>#NAME?</v>
      </c>
      <c r="AO234" s="144" t="e">
        <f aca="false">_xlfn.xlookup(AN234,A:A,F:F)</f>
        <v>#NAME?</v>
      </c>
      <c r="AP234" s="144" t="e">
        <f aca="false">_xlfn.xlookup(AN234,A:A,J:J)</f>
        <v>#NAME?</v>
      </c>
      <c r="AQ234" s="144" t="e">
        <f aca="false">_xlfn.xlookup(AN234,A:A,N:N)+_xlfn.xlookup(AN234,A:A,O:O)</f>
        <v>#NAME?</v>
      </c>
      <c r="AR234" s="150" t="e">
        <f aca="false">_xlfn.xlookup(AN234,A:A,AH:AH)</f>
        <v>#NAME?</v>
      </c>
      <c r="AS234" s="150" t="e">
        <f aca="false">_xlfn.xlookup(AN234,A:A,S:S)</f>
        <v>#NAME?</v>
      </c>
      <c r="AT234" s="150" t="e">
        <f aca="false">_xlfn.xlookup(AN234,A:A,AE:AE)</f>
        <v>#NAME?</v>
      </c>
      <c r="AU234" s="150" t="e">
        <f aca="false">_xlfn.xlookup(AN234,A:A,AF:AF)</f>
        <v>#NAME?</v>
      </c>
      <c r="BB234" s="246"/>
      <c r="BC234" s="246"/>
      <c r="BD234" s="246"/>
      <c r="BE234" s="246"/>
      <c r="BF234" s="246"/>
      <c r="BH234" s="152" t="e">
        <f aca="false">_xlfn.xlookup(BG234,A:A,F:F)</f>
        <v>#NAME?</v>
      </c>
      <c r="BI234" s="144" t="e">
        <f aca="false">_xlfn.xlookup(BG234,A:A,J:J)</f>
        <v>#NAME?</v>
      </c>
      <c r="BJ234" s="153" t="e">
        <f aca="false">_xlfn.xlookup(BG234,A:A,N:N)+_xlfn.xlookup(BG234,A:A,O:O)</f>
        <v>#NAME?</v>
      </c>
      <c r="BK234" s="153" t="e">
        <f aca="false">_xlfn.xlookup(BG234,A183:A1177,AB183:AB1177)</f>
        <v>#NAME?</v>
      </c>
      <c r="BQ234" s="144" t="str">
        <f aca="false">IF(VALUE(MONTH(C234))&lt;10,YEAR(C234)&amp;"-0"&amp;MONTH(C234),YEAR(C234)&amp;"-"&amp;MONTH(C234))</f>
        <v>2025-02</v>
      </c>
      <c r="BR234" s="144" t="str">
        <f aca="false">J234</f>
        <v>D21-1</v>
      </c>
      <c r="BS234" s="144" t="str">
        <f aca="false">IF(ISNUMBER(FIND("-", BR234)), LEFT(BR234, FIND("-", BR234) - 1), BR234)</f>
        <v>D21</v>
      </c>
      <c r="BT234" s="189" t="n">
        <f aca="false">L234-M234+O234</f>
        <v>228.528</v>
      </c>
    </row>
    <row r="235" customFormat="false" ht="16.4" hidden="false" customHeight="false" outlineLevel="0" collapsed="false">
      <c r="A235" s="140" t="s">
        <v>1195</v>
      </c>
      <c r="B235" s="249" t="s">
        <v>893</v>
      </c>
      <c r="C235" s="174" t="n">
        <v>45701</v>
      </c>
      <c r="D235" s="173" t="n">
        <v>342</v>
      </c>
      <c r="E235" s="138" t="s">
        <v>78</v>
      </c>
      <c r="F235" s="138" t="s">
        <v>919</v>
      </c>
      <c r="G235" s="140" t="n">
        <v>144786</v>
      </c>
      <c r="H235" s="173" t="n">
        <v>40289</v>
      </c>
      <c r="I235" s="173" t="n">
        <v>30027</v>
      </c>
      <c r="J235" s="140" t="s">
        <v>768</v>
      </c>
      <c r="K235" s="140"/>
      <c r="L235" s="175" t="n">
        <v>10625.6304</v>
      </c>
      <c r="M235" s="258" t="n">
        <v>9939.2</v>
      </c>
      <c r="N235" s="258" t="n">
        <v>599.9872</v>
      </c>
      <c r="O235" s="175"/>
      <c r="P235" s="175" t="n">
        <v>120.236</v>
      </c>
      <c r="Q235" s="176" t="n">
        <v>1</v>
      </c>
      <c r="R235" s="138" t="n">
        <v>1</v>
      </c>
      <c r="S235" s="177" t="n">
        <v>26.8</v>
      </c>
      <c r="T235" s="215"/>
      <c r="U235" s="178" t="n">
        <v>0.307208514182256</v>
      </c>
      <c r="V235" s="177" t="n">
        <v>184.321176240372</v>
      </c>
      <c r="W235" s="177" t="n">
        <v>26.5560870331595</v>
      </c>
      <c r="X235" s="179" t="n">
        <v>0.00813534790368765</v>
      </c>
      <c r="Y235" s="177" t="n">
        <v>20.3399233333333</v>
      </c>
      <c r="Z235" s="177" t="n">
        <v>21.7</v>
      </c>
      <c r="AA235" s="177" t="n">
        <v>60.0961538461539</v>
      </c>
      <c r="AB235" s="177" t="n">
        <v>339.813340453019</v>
      </c>
      <c r="AC235" s="215" t="n">
        <v>0.425</v>
      </c>
      <c r="AD235" s="215" t="s">
        <v>88</v>
      </c>
      <c r="AE235" s="177" t="n">
        <v>254.99456</v>
      </c>
      <c r="AF235" s="177" t="n">
        <v>-84.8187804530188</v>
      </c>
      <c r="AG235" s="181" t="n">
        <v>-0.332629764544855</v>
      </c>
      <c r="AH235" s="180" t="n">
        <v>210.877263273531</v>
      </c>
      <c r="AI235" s="181" t="n">
        <v>0.826987302291984</v>
      </c>
      <c r="AJ235" s="181"/>
      <c r="AK235" s="181" t="s">
        <v>1195</v>
      </c>
      <c r="AL235" s="182" t="n">
        <v>0.566367649931563</v>
      </c>
      <c r="AN235" s="144" t="e">
        <v>#NAME?</v>
      </c>
      <c r="AO235" s="144" t="e">
        <f aca="false">_xlfn.xlookup(AN235,A:A,F:F)</f>
        <v>#NAME?</v>
      </c>
      <c r="AP235" s="144" t="e">
        <f aca="false">_xlfn.xlookup(AN235,A:A,J:J)</f>
        <v>#NAME?</v>
      </c>
      <c r="AQ235" s="144" t="e">
        <f aca="false">_xlfn.xlookup(AN235,A:A,N:N)+_xlfn.xlookup(AN235,A:A,O:O)</f>
        <v>#NAME?</v>
      </c>
      <c r="AR235" s="150" t="e">
        <f aca="false">_xlfn.xlookup(AN235,A:A,AH:AH)</f>
        <v>#NAME?</v>
      </c>
      <c r="AS235" s="150" t="e">
        <f aca="false">_xlfn.xlookup(AN235,A:A,S:S)</f>
        <v>#NAME?</v>
      </c>
      <c r="AT235" s="150" t="e">
        <f aca="false">_xlfn.xlookup(AN235,A:A,AE:AE)</f>
        <v>#NAME?</v>
      </c>
      <c r="AU235" s="150" t="e">
        <f aca="false">_xlfn.xlookup(AN235,A:A,AF:AF)</f>
        <v>#NAME?</v>
      </c>
      <c r="BB235" s="246"/>
      <c r="BC235" s="246"/>
      <c r="BD235" s="246"/>
      <c r="BE235" s="246"/>
      <c r="BF235" s="246"/>
      <c r="BH235" s="152" t="e">
        <f aca="false">_xlfn.xlookup(BG235,A:A,F:F)</f>
        <v>#NAME?</v>
      </c>
      <c r="BI235" s="144" t="e">
        <f aca="false">_xlfn.xlookup(BG235,A:A,J:J)</f>
        <v>#NAME?</v>
      </c>
      <c r="BJ235" s="153" t="e">
        <f aca="false">_xlfn.xlookup(BG235,A:A,N:N)+_xlfn.xlookup(BG235,A:A,O:O)</f>
        <v>#NAME?</v>
      </c>
      <c r="BK235" s="153" t="e">
        <f aca="false">_xlfn.xlookup(BG235,A184:A1178,AB184:AB1178)</f>
        <v>#NAME?</v>
      </c>
      <c r="BQ235" s="144" t="str">
        <f aca="false">IF(VALUE(MONTH(C235))&lt;10,YEAR(C235)&amp;"-0"&amp;MONTH(C235),YEAR(C235)&amp;"-"&amp;MONTH(C235))</f>
        <v>2025-02</v>
      </c>
      <c r="BR235" s="144" t="str">
        <f aca="false">J235</f>
        <v>B25-3</v>
      </c>
      <c r="BS235" s="144" t="str">
        <f aca="false">IF(ISNUMBER(FIND("-", BR235)), LEFT(BR235, FIND("-", BR235) - 1), BR235)</f>
        <v>B25</v>
      </c>
      <c r="BT235" s="189" t="n">
        <f aca="false">L235-M235+O235</f>
        <v>686.430399999999</v>
      </c>
    </row>
    <row r="236" customFormat="false" ht="16.4" hidden="false" customHeight="false" outlineLevel="0" collapsed="false">
      <c r="A236" s="140" t="s">
        <v>1196</v>
      </c>
      <c r="B236" s="249" t="s">
        <v>1121</v>
      </c>
      <c r="C236" s="174" t="n">
        <v>45701</v>
      </c>
      <c r="D236" s="173" t="n">
        <v>343</v>
      </c>
      <c r="E236" s="138" t="s">
        <v>78</v>
      </c>
      <c r="F236" s="138" t="s">
        <v>919</v>
      </c>
      <c r="G236" s="140" t="n">
        <v>144860</v>
      </c>
      <c r="H236" s="173" t="n">
        <v>40290</v>
      </c>
      <c r="I236" s="173" t="n">
        <v>30011</v>
      </c>
      <c r="J236" s="140" t="s">
        <v>760</v>
      </c>
      <c r="K236" s="140"/>
      <c r="L236" s="253"/>
      <c r="M236" s="253"/>
      <c r="N236" s="253"/>
      <c r="O236" s="253"/>
      <c r="P236" s="253"/>
      <c r="Q236" s="254"/>
      <c r="R236" s="255"/>
      <c r="S236" s="177" t="n">
        <v>0</v>
      </c>
      <c r="T236" s="215"/>
      <c r="U236" s="178" t="n">
        <v>0.28357864079936</v>
      </c>
      <c r="V236" s="177" t="n">
        <v>0</v>
      </c>
      <c r="W236" s="177" t="n">
        <v>0</v>
      </c>
      <c r="X236" s="179"/>
      <c r="Y236" s="177" t="n">
        <v>0</v>
      </c>
      <c r="Z236" s="177" t="n">
        <v>0</v>
      </c>
      <c r="AA236" s="177" t="n">
        <v>0</v>
      </c>
      <c r="AB236" s="177" t="n">
        <v>0</v>
      </c>
      <c r="AC236" s="215" t="n">
        <v>0.341</v>
      </c>
      <c r="AD236" s="215" t="s">
        <v>88</v>
      </c>
      <c r="AE236" s="177" t="n">
        <v>0</v>
      </c>
      <c r="AF236" s="177" t="n">
        <v>0</v>
      </c>
      <c r="AG236" s="181"/>
      <c r="AH236" s="180" t="n">
        <v>0</v>
      </c>
      <c r="AI236" s="181"/>
      <c r="AJ236" s="181" t="s">
        <v>895</v>
      </c>
      <c r="AK236" s="181" t="s">
        <v>1196</v>
      </c>
      <c r="AL236" s="182"/>
      <c r="AN236" s="144" t="e">
        <v>#NAME?</v>
      </c>
      <c r="AO236" s="144" t="e">
        <f aca="false">_xlfn.xlookup(AN236,A:A,F:F)</f>
        <v>#NAME?</v>
      </c>
      <c r="AP236" s="144" t="e">
        <f aca="false">_xlfn.xlookup(AN236,A:A,J:J)</f>
        <v>#NAME?</v>
      </c>
      <c r="AQ236" s="144" t="e">
        <f aca="false">_xlfn.xlookup(AN236,A:A,N:N)+_xlfn.xlookup(AN236,A:A,O:O)</f>
        <v>#NAME?</v>
      </c>
      <c r="AR236" s="150" t="e">
        <f aca="false">_xlfn.xlookup(AN236,A:A,AH:AH)</f>
        <v>#NAME?</v>
      </c>
      <c r="AS236" s="150" t="e">
        <f aca="false">_xlfn.xlookup(AN236,A:A,S:S)</f>
        <v>#NAME?</v>
      </c>
      <c r="AT236" s="150" t="e">
        <f aca="false">_xlfn.xlookup(AN236,A:A,AE:AE)</f>
        <v>#NAME?</v>
      </c>
      <c r="AU236" s="150" t="e">
        <f aca="false">_xlfn.xlookup(AN236,A:A,AF:AF)</f>
        <v>#NAME?</v>
      </c>
      <c r="BB236" s="246"/>
      <c r="BC236" s="246"/>
      <c r="BD236" s="246"/>
      <c r="BE236" s="246"/>
      <c r="BF236" s="246"/>
      <c r="BH236" s="152" t="e">
        <f aca="false">_xlfn.xlookup(BG236,A:A,F:F)</f>
        <v>#NAME?</v>
      </c>
      <c r="BI236" s="144" t="e">
        <f aca="false">_xlfn.xlookup(BG236,A:A,J:J)</f>
        <v>#NAME?</v>
      </c>
      <c r="BJ236" s="153" t="e">
        <f aca="false">_xlfn.xlookup(BG236,A:A,N:N)+_xlfn.xlookup(BG236,A:A,O:O)</f>
        <v>#NAME?</v>
      </c>
      <c r="BK236" s="153" t="e">
        <f aca="false">_xlfn.xlookup(BG236,A185:A1179,AB185:AB1179)</f>
        <v>#NAME?</v>
      </c>
      <c r="BT236" s="189"/>
    </row>
    <row r="237" customFormat="false" ht="16.4" hidden="false" customHeight="false" outlineLevel="0" collapsed="false">
      <c r="A237" s="140" t="s">
        <v>1197</v>
      </c>
      <c r="B237" s="249" t="s">
        <v>893</v>
      </c>
      <c r="C237" s="174" t="n">
        <v>45701</v>
      </c>
      <c r="D237" s="173" t="n">
        <v>344</v>
      </c>
      <c r="E237" s="138" t="s">
        <v>94</v>
      </c>
      <c r="F237" s="138" t="s">
        <v>522</v>
      </c>
      <c r="G237" s="140" t="n">
        <v>107693</v>
      </c>
      <c r="H237" s="173" t="n">
        <v>40221</v>
      </c>
      <c r="I237" s="173" t="n">
        <v>30018</v>
      </c>
      <c r="J237" s="140" t="s">
        <v>760</v>
      </c>
      <c r="K237" s="140"/>
      <c r="L237" s="175" t="n">
        <v>7114.32</v>
      </c>
      <c r="M237" s="258" t="n">
        <v>3571.62</v>
      </c>
      <c r="N237" s="258" t="n">
        <v>3492</v>
      </c>
      <c r="O237" s="175"/>
      <c r="P237" s="175" t="n">
        <v>120.25</v>
      </c>
      <c r="Q237" s="176" t="n">
        <v>1</v>
      </c>
      <c r="R237" s="138" t="n">
        <v>1.5</v>
      </c>
      <c r="S237" s="177" t="n">
        <v>61.86</v>
      </c>
      <c r="T237" s="215" t="n">
        <v>1.4166</v>
      </c>
      <c r="U237" s="178" t="n">
        <v>0.264285602410524</v>
      </c>
      <c r="V237" s="177" t="n">
        <v>922.88532361755</v>
      </c>
      <c r="W237" s="177" t="n">
        <v>13.3992800422135</v>
      </c>
      <c r="X237" s="179" t="n">
        <v>0.00712647167965453</v>
      </c>
      <c r="Y237" s="177" t="n">
        <v>20.3422916666667</v>
      </c>
      <c r="Z237" s="177" t="n">
        <v>21.7</v>
      </c>
      <c r="AA237" s="177" t="n">
        <v>90.1442307692308</v>
      </c>
      <c r="AB237" s="177" t="n">
        <v>1130.33112609566</v>
      </c>
      <c r="AC237" s="215" t="n">
        <v>0.27</v>
      </c>
      <c r="AD237" s="215" t="s">
        <v>77</v>
      </c>
      <c r="AE237" s="177" t="n">
        <v>1335.627144</v>
      </c>
      <c r="AF237" s="177" t="n">
        <v>205.296017904339</v>
      </c>
      <c r="AG237" s="181" t="n">
        <v>0.153707581360999</v>
      </c>
      <c r="AH237" s="180" t="n">
        <v>936.284603659764</v>
      </c>
      <c r="AI237" s="181" t="n">
        <v>0.701007468937576</v>
      </c>
      <c r="AJ237" s="181"/>
      <c r="AK237" s="181" t="s">
        <v>1197</v>
      </c>
      <c r="AL237" s="182" t="n">
        <v>0.323691616865882</v>
      </c>
      <c r="AN237" s="144" t="e">
        <v>#NAME?</v>
      </c>
      <c r="AO237" s="144" t="e">
        <f aca="false">_xlfn.xlookup(AN237,A:A,F:F)</f>
        <v>#NAME?</v>
      </c>
      <c r="AP237" s="144" t="e">
        <f aca="false">_xlfn.xlookup(AN237,A:A,J:J)</f>
        <v>#NAME?</v>
      </c>
      <c r="AQ237" s="144" t="e">
        <f aca="false">_xlfn.xlookup(AN237,A:A,N:N)+_xlfn.xlookup(AN237,A:A,O:O)</f>
        <v>#NAME?</v>
      </c>
      <c r="AR237" s="150" t="e">
        <f aca="false">_xlfn.xlookup(AN237,A:A,AH:AH)</f>
        <v>#NAME?</v>
      </c>
      <c r="AS237" s="150" t="e">
        <f aca="false">_xlfn.xlookup(AN237,A:A,S:S)</f>
        <v>#NAME?</v>
      </c>
      <c r="AT237" s="150" t="e">
        <f aca="false">_xlfn.xlookup(AN237,A:A,AE:AE)</f>
        <v>#NAME?</v>
      </c>
      <c r="AU237" s="150" t="e">
        <f aca="false">_xlfn.xlookup(AN237,A:A,AF:AF)</f>
        <v>#NAME?</v>
      </c>
      <c r="BB237" s="246"/>
      <c r="BC237" s="246"/>
      <c r="BD237" s="246"/>
      <c r="BE237" s="246"/>
      <c r="BF237" s="246"/>
      <c r="BH237" s="152" t="e">
        <f aca="false">_xlfn.xlookup(BG237,A:A,F:F)</f>
        <v>#NAME?</v>
      </c>
      <c r="BI237" s="144" t="e">
        <f aca="false">_xlfn.xlookup(BG237,A:A,J:J)</f>
        <v>#NAME?</v>
      </c>
      <c r="BJ237" s="153" t="e">
        <f aca="false">_xlfn.xlookup(BG237,A:A,N:N)+_xlfn.xlookup(BG237,A:A,O:O)</f>
        <v>#NAME?</v>
      </c>
      <c r="BK237" s="153" t="e">
        <f aca="false">_xlfn.xlookup(BG237,A186:A1180,AB186:AB1180)</f>
        <v>#NAME?</v>
      </c>
      <c r="BQ237" s="144" t="str">
        <f aca="false">IF(VALUE(MONTH(C237))&lt;10,YEAR(C237)&amp;"-0"&amp;MONTH(C237),YEAR(C237)&amp;"-"&amp;MONTH(C237))</f>
        <v>2025-02</v>
      </c>
      <c r="BR237" s="144" t="str">
        <f aca="false">J237</f>
        <v>S21-1</v>
      </c>
      <c r="BS237" s="144" t="str">
        <f aca="false">IF(ISNUMBER(FIND("-", BR237)), LEFT(BR237, FIND("-", BR237) - 1), BR237)</f>
        <v>S21</v>
      </c>
      <c r="BT237" s="189" t="n">
        <f aca="false">L237-M237+O237</f>
        <v>3542.7</v>
      </c>
    </row>
    <row r="238" customFormat="false" ht="16.4" hidden="false" customHeight="false" outlineLevel="0" collapsed="false">
      <c r="A238" s="140" t="s">
        <v>1198</v>
      </c>
      <c r="B238" s="249" t="s">
        <v>893</v>
      </c>
      <c r="C238" s="174" t="n">
        <v>45702</v>
      </c>
      <c r="D238" s="173" t="n">
        <v>345</v>
      </c>
      <c r="E238" s="138" t="s">
        <v>78</v>
      </c>
      <c r="F238" s="138" t="s">
        <v>919</v>
      </c>
      <c r="G238" s="140" t="n">
        <v>144937</v>
      </c>
      <c r="H238" s="173" t="n">
        <v>40291</v>
      </c>
      <c r="I238" s="173" t="n">
        <v>30018</v>
      </c>
      <c r="J238" s="140" t="s">
        <v>760</v>
      </c>
      <c r="K238" s="140"/>
      <c r="L238" s="175" t="n">
        <v>3571.62</v>
      </c>
      <c r="M238" s="175" t="n">
        <v>0</v>
      </c>
      <c r="N238" s="175" t="n">
        <v>3306.27</v>
      </c>
      <c r="O238" s="175"/>
      <c r="P238" s="175" t="n">
        <v>58.25</v>
      </c>
      <c r="Q238" s="176" t="n">
        <v>1</v>
      </c>
      <c r="R238" s="138" t="n">
        <v>2</v>
      </c>
      <c r="S238" s="177" t="n">
        <v>134</v>
      </c>
      <c r="T238" s="215"/>
      <c r="U238" s="178" t="n">
        <v>0.264285602410524</v>
      </c>
      <c r="V238" s="177" t="n">
        <v>873.799558681844</v>
      </c>
      <c r="W238" s="177" t="n">
        <v>70.1281845996324</v>
      </c>
      <c r="X238" s="179" t="n">
        <v>0.0742940178406436</v>
      </c>
      <c r="Y238" s="177" t="n">
        <v>9.85395833333333</v>
      </c>
      <c r="Z238" s="177" t="n">
        <v>21.7</v>
      </c>
      <c r="AA238" s="177" t="n">
        <v>120.192307692308</v>
      </c>
      <c r="AB238" s="177" t="n">
        <v>1229.67400930712</v>
      </c>
      <c r="AC238" s="215" t="n">
        <v>0.341</v>
      </c>
      <c r="AD238" s="215" t="s">
        <v>88</v>
      </c>
      <c r="AE238" s="177" t="n">
        <v>1127.43807</v>
      </c>
      <c r="AF238" s="177" t="n">
        <v>-102.235939307117</v>
      </c>
      <c r="AG238" s="181" t="n">
        <v>-0.0906798714958392</v>
      </c>
      <c r="AH238" s="180" t="n">
        <v>943.927743281476</v>
      </c>
      <c r="AI238" s="181" t="n">
        <v>0.837232455066446</v>
      </c>
      <c r="AJ238" s="181"/>
      <c r="AK238" s="181" t="s">
        <v>1198</v>
      </c>
      <c r="AL238" s="182" t="n">
        <v>0.371921836180081</v>
      </c>
      <c r="AN238" s="144" t="e">
        <v>#NAME?</v>
      </c>
      <c r="AO238" s="144" t="e">
        <f aca="false">_xlfn.xlookup(AN238,A:A,F:F)</f>
        <v>#NAME?</v>
      </c>
      <c r="AP238" s="144" t="e">
        <f aca="false">_xlfn.xlookup(AN238,A:A,J:J)</f>
        <v>#NAME?</v>
      </c>
      <c r="AQ238" s="144" t="e">
        <f aca="false">_xlfn.xlookup(AN238,A:A,N:N)+_xlfn.xlookup(AN238,A:A,O:O)</f>
        <v>#NAME?</v>
      </c>
      <c r="AR238" s="150" t="e">
        <f aca="false">_xlfn.xlookup(AN238,A:A,AH:AH)</f>
        <v>#NAME?</v>
      </c>
      <c r="AS238" s="150" t="e">
        <f aca="false">_xlfn.xlookup(AN238,A:A,S:S)</f>
        <v>#NAME?</v>
      </c>
      <c r="AT238" s="150" t="e">
        <f aca="false">_xlfn.xlookup(AN238,A:A,AE:AE)</f>
        <v>#NAME?</v>
      </c>
      <c r="AU238" s="150" t="e">
        <f aca="false">_xlfn.xlookup(AN238,A:A,AF:AF)</f>
        <v>#NAME?</v>
      </c>
      <c r="BB238" s="246"/>
      <c r="BC238" s="246"/>
      <c r="BD238" s="246"/>
      <c r="BE238" s="246"/>
      <c r="BF238" s="246"/>
      <c r="BH238" s="152" t="e">
        <f aca="false">_xlfn.xlookup(BG238,A:A,F:F)</f>
        <v>#NAME?</v>
      </c>
      <c r="BI238" s="144" t="e">
        <f aca="false">_xlfn.xlookup(BG238,A:A,J:J)</f>
        <v>#NAME?</v>
      </c>
      <c r="BJ238" s="153" t="e">
        <f aca="false">_xlfn.xlookup(BG238,A:A,N:N)+_xlfn.xlookup(BG238,A:A,O:O)</f>
        <v>#NAME?</v>
      </c>
      <c r="BK238" s="153" t="e">
        <f aca="false">_xlfn.xlookup(BG238,A187:A1181,AB187:AB1181)</f>
        <v>#NAME?</v>
      </c>
      <c r="BQ238" s="144" t="str">
        <f aca="false">IF(VALUE(MONTH(C238))&lt;10,YEAR(C238)&amp;"-0"&amp;MONTH(C238),YEAR(C238)&amp;"-"&amp;MONTH(C238))</f>
        <v>2025-02</v>
      </c>
      <c r="BR238" s="144" t="str">
        <f aca="false">J238</f>
        <v>S21-1</v>
      </c>
      <c r="BS238" s="144" t="str">
        <f aca="false">IF(ISNUMBER(FIND("-", BR238)), LEFT(BR238, FIND("-", BR238) - 1), BR238)</f>
        <v>S21</v>
      </c>
      <c r="BT238" s="189" t="n">
        <f aca="false">L238-M238+O238</f>
        <v>3571.62</v>
      </c>
    </row>
    <row r="239" customFormat="false" ht="16.4" hidden="false" customHeight="false" outlineLevel="0" collapsed="false">
      <c r="A239" s="140" t="s">
        <v>1199</v>
      </c>
      <c r="B239" s="249" t="s">
        <v>893</v>
      </c>
      <c r="C239" s="174" t="n">
        <v>45702</v>
      </c>
      <c r="D239" s="173" t="n">
        <v>346</v>
      </c>
      <c r="E239" s="138" t="s">
        <v>78</v>
      </c>
      <c r="F239" s="138" t="s">
        <v>919</v>
      </c>
      <c r="G239" s="140" t="n">
        <v>144939</v>
      </c>
      <c r="H239" s="173" t="n">
        <v>40292</v>
      </c>
      <c r="I239" s="173" t="n">
        <v>30039</v>
      </c>
      <c r="J239" s="140" t="s">
        <v>768</v>
      </c>
      <c r="K239" s="140"/>
      <c r="L239" s="175" t="n">
        <v>3000</v>
      </c>
      <c r="M239" s="175" t="n">
        <v>0</v>
      </c>
      <c r="N239" s="175" t="n">
        <v>2970</v>
      </c>
      <c r="O239" s="175"/>
      <c r="P239" s="175" t="n">
        <v>50</v>
      </c>
      <c r="Q239" s="176" t="n">
        <v>0</v>
      </c>
      <c r="R239" s="138" t="n">
        <v>1.5</v>
      </c>
      <c r="S239" s="177" t="n">
        <v>107.2</v>
      </c>
      <c r="T239" s="215"/>
      <c r="U239" s="178" t="n">
        <v>0.289910376924445</v>
      </c>
      <c r="V239" s="177" t="n">
        <v>861.033819465603</v>
      </c>
      <c r="W239" s="177" t="n">
        <v>8.69731130773336</v>
      </c>
      <c r="X239" s="179" t="n">
        <v>0.01</v>
      </c>
      <c r="Y239" s="177" t="n">
        <v>8.45833333333333</v>
      </c>
      <c r="Z239" s="177" t="n">
        <v>0</v>
      </c>
      <c r="AA239" s="177" t="n">
        <v>90.1442307692308</v>
      </c>
      <c r="AB239" s="177" t="n">
        <v>1075.5336948759</v>
      </c>
      <c r="AC239" s="215" t="n">
        <v>0.425</v>
      </c>
      <c r="AD239" s="215" t="s">
        <v>88</v>
      </c>
      <c r="AE239" s="177" t="n">
        <v>1262.25</v>
      </c>
      <c r="AF239" s="177" t="n">
        <v>186.7163051241</v>
      </c>
      <c r="AG239" s="181" t="n">
        <v>0.147923394829946</v>
      </c>
      <c r="AH239" s="180" t="n">
        <v>869.731130773336</v>
      </c>
      <c r="AI239" s="181" t="n">
        <v>0.689032387223875</v>
      </c>
      <c r="AJ239" s="181"/>
      <c r="AK239" s="181" t="s">
        <v>1199</v>
      </c>
      <c r="AL239" s="182" t="n">
        <v>0.362132557197273</v>
      </c>
      <c r="AN239" s="144" t="e">
        <v>#NAME?</v>
      </c>
      <c r="AO239" s="144" t="e">
        <f aca="false">_xlfn.xlookup(AN239,A:A,F:F)</f>
        <v>#NAME?</v>
      </c>
      <c r="AP239" s="144" t="e">
        <f aca="false">_xlfn.xlookup(AN239,A:A,J:J)</f>
        <v>#NAME?</v>
      </c>
      <c r="AQ239" s="144" t="e">
        <f aca="false">_xlfn.xlookup(AN239,A:A,N:N)+_xlfn.xlookup(AN239,A:A,O:O)</f>
        <v>#NAME?</v>
      </c>
      <c r="AR239" s="150" t="e">
        <f aca="false">_xlfn.xlookup(AN239,A:A,AH:AH)</f>
        <v>#NAME?</v>
      </c>
      <c r="AS239" s="150" t="e">
        <f aca="false">_xlfn.xlookup(AN239,A:A,S:S)</f>
        <v>#NAME?</v>
      </c>
      <c r="AT239" s="150" t="e">
        <f aca="false">_xlfn.xlookup(AN239,A:A,AE:AE)</f>
        <v>#NAME?</v>
      </c>
      <c r="AU239" s="150" t="e">
        <f aca="false">_xlfn.xlookup(AN239,A:A,AF:AF)</f>
        <v>#NAME?</v>
      </c>
      <c r="BB239" s="246"/>
      <c r="BC239" s="246"/>
      <c r="BD239" s="246"/>
      <c r="BE239" s="246"/>
      <c r="BF239" s="246"/>
      <c r="BH239" s="152" t="e">
        <f aca="false">_xlfn.xlookup(BG239,A:A,F:F)</f>
        <v>#NAME?</v>
      </c>
      <c r="BI239" s="144" t="e">
        <f aca="false">_xlfn.xlookup(BG239,A:A,J:J)</f>
        <v>#NAME?</v>
      </c>
      <c r="BJ239" s="153" t="e">
        <f aca="false">_xlfn.xlookup(BG239,A:A,N:N)+_xlfn.xlookup(BG239,A:A,O:O)</f>
        <v>#NAME?</v>
      </c>
      <c r="BK239" s="153" t="e">
        <f aca="false">_xlfn.xlookup(BG239,A188:A1182,AB188:AB1182)</f>
        <v>#NAME?</v>
      </c>
      <c r="BQ239" s="144" t="str">
        <f aca="false">IF(VALUE(MONTH(C239))&lt;10,YEAR(C239)&amp;"-0"&amp;MONTH(C239),YEAR(C239)&amp;"-"&amp;MONTH(C239))</f>
        <v>2025-02</v>
      </c>
      <c r="BR239" s="144" t="str">
        <f aca="false">J239</f>
        <v>B25-3</v>
      </c>
      <c r="BS239" s="144" t="str">
        <f aca="false">IF(ISNUMBER(FIND("-", BR239)), LEFT(BR239, FIND("-", BR239) - 1), BR239)</f>
        <v>B25</v>
      </c>
      <c r="BT239" s="189" t="n">
        <f aca="false">L239-M239+O239</f>
        <v>3000</v>
      </c>
    </row>
    <row r="240" customFormat="false" ht="16.4" hidden="false" customHeight="false" outlineLevel="0" collapsed="false">
      <c r="A240" s="140" t="s">
        <v>1200</v>
      </c>
      <c r="B240" s="249" t="s">
        <v>1121</v>
      </c>
      <c r="C240" s="174" t="n">
        <v>45702</v>
      </c>
      <c r="D240" s="173" t="n">
        <v>347</v>
      </c>
      <c r="E240" s="138" t="s">
        <v>78</v>
      </c>
      <c r="F240" s="138" t="s">
        <v>919</v>
      </c>
      <c r="G240" s="140" t="n">
        <v>144942</v>
      </c>
      <c r="H240" s="173" t="n">
        <v>40293</v>
      </c>
      <c r="I240" s="173" t="n">
        <v>0</v>
      </c>
      <c r="J240" s="140" t="n">
        <v>0</v>
      </c>
      <c r="K240" s="140"/>
      <c r="L240" s="253"/>
      <c r="M240" s="253"/>
      <c r="N240" s="253"/>
      <c r="O240" s="253"/>
      <c r="P240" s="253"/>
      <c r="Q240" s="254"/>
      <c r="R240" s="255"/>
      <c r="S240" s="256" t="n">
        <v>0</v>
      </c>
      <c r="T240" s="215"/>
      <c r="U240" s="178" t="n">
        <v>0</v>
      </c>
      <c r="V240" s="177" t="n">
        <v>0</v>
      </c>
      <c r="W240" s="177" t="n">
        <v>0</v>
      </c>
      <c r="X240" s="179"/>
      <c r="Y240" s="177" t="n">
        <v>0</v>
      </c>
      <c r="Z240" s="177" t="n">
        <v>0</v>
      </c>
      <c r="AA240" s="177" t="n">
        <v>0</v>
      </c>
      <c r="AB240" s="177" t="n">
        <v>0</v>
      </c>
      <c r="AC240" s="215" t="n">
        <v>0.341</v>
      </c>
      <c r="AD240" s="215" t="s">
        <v>88</v>
      </c>
      <c r="AE240" s="177" t="n">
        <v>0</v>
      </c>
      <c r="AF240" s="177" t="n">
        <v>0</v>
      </c>
      <c r="AG240" s="181"/>
      <c r="AH240" s="180" t="n">
        <v>0</v>
      </c>
      <c r="AI240" s="181"/>
      <c r="AJ240" s="181" t="s">
        <v>895</v>
      </c>
      <c r="AK240" s="181" t="s">
        <v>1200</v>
      </c>
      <c r="AL240" s="182"/>
      <c r="AN240" s="144" t="e">
        <v>#NAME?</v>
      </c>
      <c r="AO240" s="144" t="e">
        <f aca="false">_xlfn.xlookup(AN240,A:A,F:F)</f>
        <v>#NAME?</v>
      </c>
      <c r="AP240" s="144" t="e">
        <f aca="false">_xlfn.xlookup(AN240,A:A,J:J)</f>
        <v>#NAME?</v>
      </c>
      <c r="AQ240" s="144" t="e">
        <f aca="false">_xlfn.xlookup(AN240,A:A,N:N)+_xlfn.xlookup(AN240,A:A,O:O)</f>
        <v>#NAME?</v>
      </c>
      <c r="AR240" s="150" t="e">
        <f aca="false">_xlfn.xlookup(AN240,A:A,AH:AH)</f>
        <v>#NAME?</v>
      </c>
      <c r="AS240" s="150" t="e">
        <f aca="false">_xlfn.xlookup(AN240,A:A,S:S)</f>
        <v>#NAME?</v>
      </c>
      <c r="AT240" s="150" t="e">
        <f aca="false">_xlfn.xlookup(AN240,A:A,AE:AE)</f>
        <v>#NAME?</v>
      </c>
      <c r="AU240" s="150" t="e">
        <f aca="false">_xlfn.xlookup(AN240,A:A,AF:AF)</f>
        <v>#NAME?</v>
      </c>
      <c r="BB240" s="246"/>
      <c r="BC240" s="246"/>
      <c r="BD240" s="246"/>
      <c r="BE240" s="246"/>
      <c r="BF240" s="246"/>
      <c r="BH240" s="152" t="e">
        <f aca="false">_xlfn.xlookup(BG240,A:A,F:F)</f>
        <v>#NAME?</v>
      </c>
      <c r="BI240" s="144" t="e">
        <f aca="false">_xlfn.xlookup(BG240,A:A,J:J)</f>
        <v>#NAME?</v>
      </c>
      <c r="BJ240" s="153" t="e">
        <f aca="false">_xlfn.xlookup(BG240,A:A,N:N)+_xlfn.xlookup(BG240,A:A,O:O)</f>
        <v>#NAME?</v>
      </c>
      <c r="BK240" s="153" t="e">
        <f aca="false">_xlfn.xlookup(BG240,A189:A1183,AB189:AB1183)</f>
        <v>#NAME?</v>
      </c>
      <c r="BT240" s="189"/>
    </row>
    <row r="241" customFormat="false" ht="16.4" hidden="false" customHeight="false" outlineLevel="0" collapsed="false">
      <c r="A241" s="140" t="s">
        <v>1201</v>
      </c>
      <c r="B241" s="249" t="s">
        <v>1121</v>
      </c>
      <c r="C241" s="174" t="n">
        <v>45702</v>
      </c>
      <c r="D241" s="173" t="n">
        <v>348</v>
      </c>
      <c r="E241" s="138" t="s">
        <v>78</v>
      </c>
      <c r="F241" s="138" t="s">
        <v>919</v>
      </c>
      <c r="G241" s="140" t="n">
        <v>144945</v>
      </c>
      <c r="H241" s="173" t="n">
        <v>40294</v>
      </c>
      <c r="I241" s="173" t="n">
        <v>0</v>
      </c>
      <c r="J241" s="140" t="n">
        <v>0</v>
      </c>
      <c r="K241" s="140"/>
      <c r="L241" s="253"/>
      <c r="M241" s="253"/>
      <c r="N241" s="253"/>
      <c r="O241" s="253"/>
      <c r="P241" s="253"/>
      <c r="Q241" s="254"/>
      <c r="R241" s="255"/>
      <c r="S241" s="256" t="n">
        <v>0</v>
      </c>
      <c r="T241" s="215"/>
      <c r="U241" s="178" t="n">
        <v>0</v>
      </c>
      <c r="V241" s="177" t="n">
        <v>0</v>
      </c>
      <c r="W241" s="177" t="n">
        <v>0</v>
      </c>
      <c r="X241" s="179"/>
      <c r="Y241" s="177" t="n">
        <v>0</v>
      </c>
      <c r="Z241" s="177" t="n">
        <v>0</v>
      </c>
      <c r="AA241" s="177" t="n">
        <v>0</v>
      </c>
      <c r="AB241" s="177" t="n">
        <v>0</v>
      </c>
      <c r="AC241" s="215" t="n">
        <v>0.387</v>
      </c>
      <c r="AD241" s="215" t="s">
        <v>88</v>
      </c>
      <c r="AE241" s="177" t="n">
        <v>0</v>
      </c>
      <c r="AF241" s="177" t="n">
        <v>0</v>
      </c>
      <c r="AG241" s="181"/>
      <c r="AH241" s="180" t="n">
        <v>0</v>
      </c>
      <c r="AI241" s="181"/>
      <c r="AJ241" s="181" t="s">
        <v>895</v>
      </c>
      <c r="AK241" s="181" t="s">
        <v>1201</v>
      </c>
      <c r="AL241" s="182"/>
      <c r="AN241" s="144" t="e">
        <v>#NAME?</v>
      </c>
      <c r="AO241" s="144" t="e">
        <f aca="false">_xlfn.xlookup(AN241,A:A,F:F)</f>
        <v>#NAME?</v>
      </c>
      <c r="AP241" s="144" t="e">
        <f aca="false">_xlfn.xlookup(AN241,A:A,J:J)</f>
        <v>#NAME?</v>
      </c>
      <c r="AQ241" s="144" t="e">
        <f aca="false">_xlfn.xlookup(AN241,A:A,N:N)+_xlfn.xlookup(AN241,A:A,O:O)</f>
        <v>#NAME?</v>
      </c>
      <c r="AR241" s="150" t="e">
        <f aca="false">_xlfn.xlookup(AN241,A:A,AH:AH)</f>
        <v>#NAME?</v>
      </c>
      <c r="AS241" s="150" t="e">
        <f aca="false">_xlfn.xlookup(AN241,A:A,S:S)</f>
        <v>#NAME?</v>
      </c>
      <c r="AT241" s="150" t="e">
        <f aca="false">_xlfn.xlookup(AN241,A:A,AE:AE)</f>
        <v>#NAME?</v>
      </c>
      <c r="AU241" s="150" t="e">
        <f aca="false">_xlfn.xlookup(AN241,A:A,AF:AF)</f>
        <v>#NAME?</v>
      </c>
      <c r="BB241" s="246"/>
      <c r="BC241" s="246"/>
      <c r="BD241" s="246"/>
      <c r="BE241" s="246"/>
      <c r="BF241" s="246"/>
      <c r="BH241" s="152" t="e">
        <f aca="false">_xlfn.xlookup(BG241,A:A,F:F)</f>
        <v>#NAME?</v>
      </c>
      <c r="BI241" s="144" t="e">
        <f aca="false">_xlfn.xlookup(BG241,A:A,J:J)</f>
        <v>#NAME?</v>
      </c>
      <c r="BJ241" s="153" t="e">
        <f aca="false">_xlfn.xlookup(BG241,A:A,N:N)+_xlfn.xlookup(BG241,A:A,O:O)</f>
        <v>#NAME?</v>
      </c>
      <c r="BK241" s="153" t="e">
        <f aca="false">_xlfn.xlookup(BG241,A190:A1184,AB190:AB1184)</f>
        <v>#NAME?</v>
      </c>
      <c r="BT241" s="189"/>
    </row>
    <row r="242" customFormat="false" ht="16.4" hidden="false" customHeight="false" outlineLevel="0" collapsed="false">
      <c r="A242" s="140" t="s">
        <v>1202</v>
      </c>
      <c r="B242" s="249" t="s">
        <v>1121</v>
      </c>
      <c r="C242" s="174" t="n">
        <v>45702</v>
      </c>
      <c r="D242" s="173" t="n">
        <v>349</v>
      </c>
      <c r="E242" s="138" t="s">
        <v>78</v>
      </c>
      <c r="F242" s="138" t="s">
        <v>919</v>
      </c>
      <c r="G242" s="140" t="n">
        <v>144946</v>
      </c>
      <c r="H242" s="173" t="n">
        <v>40295</v>
      </c>
      <c r="I242" s="173" t="n">
        <v>0</v>
      </c>
      <c r="J242" s="140" t="n">
        <v>0</v>
      </c>
      <c r="K242" s="140"/>
      <c r="L242" s="253"/>
      <c r="M242" s="253"/>
      <c r="N242" s="253"/>
      <c r="O242" s="253"/>
      <c r="P242" s="253"/>
      <c r="Q242" s="254"/>
      <c r="R242" s="255"/>
      <c r="S242" s="256" t="n">
        <v>0</v>
      </c>
      <c r="T242" s="215"/>
      <c r="U242" s="178" t="n">
        <v>0</v>
      </c>
      <c r="V242" s="177" t="n">
        <v>0</v>
      </c>
      <c r="W242" s="177" t="n">
        <v>0</v>
      </c>
      <c r="X242" s="179"/>
      <c r="Y242" s="177" t="n">
        <v>0</v>
      </c>
      <c r="Z242" s="177" t="n">
        <v>0</v>
      </c>
      <c r="AA242" s="177" t="n">
        <v>0</v>
      </c>
      <c r="AB242" s="177" t="n">
        <v>0</v>
      </c>
      <c r="AC242" s="215" t="n">
        <v>0.425</v>
      </c>
      <c r="AD242" s="215" t="s">
        <v>88</v>
      </c>
      <c r="AE242" s="177" t="n">
        <v>0</v>
      </c>
      <c r="AF242" s="177" t="n">
        <v>0</v>
      </c>
      <c r="AG242" s="181"/>
      <c r="AH242" s="180" t="n">
        <v>0</v>
      </c>
      <c r="AI242" s="181"/>
      <c r="AJ242" s="181" t="s">
        <v>895</v>
      </c>
      <c r="AK242" s="181" t="s">
        <v>1202</v>
      </c>
      <c r="AL242" s="182"/>
      <c r="AN242" s="144" t="e">
        <v>#NAME?</v>
      </c>
      <c r="AO242" s="144" t="e">
        <f aca="false">_xlfn.xlookup(AN242,A:A,F:F)</f>
        <v>#NAME?</v>
      </c>
      <c r="AP242" s="144" t="e">
        <f aca="false">_xlfn.xlookup(AN242,A:A,J:J)</f>
        <v>#NAME?</v>
      </c>
      <c r="AQ242" s="144" t="e">
        <f aca="false">_xlfn.xlookup(AN242,A:A,N:N)+_xlfn.xlookup(AN242,A:A,O:O)</f>
        <v>#NAME?</v>
      </c>
      <c r="AR242" s="150" t="e">
        <f aca="false">_xlfn.xlookup(AN242,A:A,AH:AH)</f>
        <v>#NAME?</v>
      </c>
      <c r="AS242" s="150" t="e">
        <f aca="false">_xlfn.xlookup(AN242,A:A,S:S)</f>
        <v>#NAME?</v>
      </c>
      <c r="AT242" s="150" t="e">
        <f aca="false">_xlfn.xlookup(AN242,A:A,AE:AE)</f>
        <v>#NAME?</v>
      </c>
      <c r="AU242" s="150" t="e">
        <f aca="false">_xlfn.xlookup(AN242,A:A,AF:AF)</f>
        <v>#NAME?</v>
      </c>
      <c r="BB242" s="246"/>
      <c r="BC242" s="246"/>
      <c r="BD242" s="246"/>
      <c r="BE242" s="246"/>
      <c r="BF242" s="246"/>
      <c r="BH242" s="152" t="e">
        <f aca="false">_xlfn.xlookup(BG242,A:A,F:F)</f>
        <v>#NAME?</v>
      </c>
      <c r="BI242" s="144" t="e">
        <f aca="false">_xlfn.xlookup(BG242,A:A,J:J)</f>
        <v>#NAME?</v>
      </c>
      <c r="BJ242" s="153" t="e">
        <f aca="false">_xlfn.xlookup(BG242,A:A,N:N)+_xlfn.xlookup(BG242,A:A,O:O)</f>
        <v>#NAME?</v>
      </c>
      <c r="BK242" s="153" t="e">
        <f aca="false">_xlfn.xlookup(BG242,A191:A1185,AB191:AB1185)</f>
        <v>#NAME?</v>
      </c>
      <c r="BT242" s="189"/>
    </row>
    <row r="243" customFormat="false" ht="16.4" hidden="false" customHeight="false" outlineLevel="0" collapsed="false">
      <c r="A243" s="140" t="s">
        <v>1203</v>
      </c>
      <c r="B243" s="249" t="s">
        <v>893</v>
      </c>
      <c r="C243" s="174" t="n">
        <v>45702</v>
      </c>
      <c r="D243" s="173" t="n">
        <v>350</v>
      </c>
      <c r="E243" s="138" t="s">
        <v>78</v>
      </c>
      <c r="F243" s="138" t="s">
        <v>919</v>
      </c>
      <c r="G243" s="140" t="n">
        <v>144949</v>
      </c>
      <c r="H243" s="173" t="n">
        <v>40296</v>
      </c>
      <c r="I243" s="173" t="n">
        <v>30024</v>
      </c>
      <c r="J243" s="140" t="s">
        <v>911</v>
      </c>
      <c r="K243" s="140"/>
      <c r="L243" s="175" t="n">
        <v>5021.78208</v>
      </c>
      <c r="M243" s="175" t="n">
        <v>1489.8</v>
      </c>
      <c r="N243" s="175" t="n">
        <v>3442.5</v>
      </c>
      <c r="O243" s="175"/>
      <c r="P243" s="175" t="n">
        <v>84.75</v>
      </c>
      <c r="Q243" s="176" t="n">
        <v>1</v>
      </c>
      <c r="R243" s="138" t="n">
        <v>3</v>
      </c>
      <c r="S243" s="177" t="n">
        <v>134</v>
      </c>
      <c r="T243" s="215"/>
      <c r="U243" s="178" t="n">
        <v>0.286374902011219</v>
      </c>
      <c r="V243" s="177" t="n">
        <v>985.845600173621</v>
      </c>
      <c r="W243" s="177" t="n">
        <v>25.62542189176</v>
      </c>
      <c r="X243" s="179" t="n">
        <v>0.0178187899384117</v>
      </c>
      <c r="Y243" s="177" t="n">
        <v>14.336875</v>
      </c>
      <c r="Z243" s="177" t="n">
        <v>21.7</v>
      </c>
      <c r="AA243" s="177" t="n">
        <v>180.288461538462</v>
      </c>
      <c r="AB243" s="177" t="n">
        <v>1361.79635860384</v>
      </c>
      <c r="AC243" s="215" t="n">
        <v>0.387</v>
      </c>
      <c r="AD243" s="215" t="s">
        <v>88</v>
      </c>
      <c r="AE243" s="177" t="n">
        <v>1332.2475</v>
      </c>
      <c r="AF243" s="177" t="n">
        <v>-29.5488586038423</v>
      </c>
      <c r="AG243" s="181" t="n">
        <v>-0.0221797065514044</v>
      </c>
      <c r="AH243" s="180" t="n">
        <v>1011.47102206538</v>
      </c>
      <c r="AI243" s="181" t="n">
        <v>0.75922155760501</v>
      </c>
      <c r="AJ243" s="181"/>
      <c r="AK243" s="181" t="s">
        <v>1203</v>
      </c>
      <c r="AL243" s="182" t="n">
        <v>0.395583546435394</v>
      </c>
      <c r="AN243" s="144" t="e">
        <v>#NAME?</v>
      </c>
      <c r="AO243" s="144" t="e">
        <f aca="false">_xlfn.xlookup(AN243,A:A,F:F)</f>
        <v>#NAME?</v>
      </c>
      <c r="AP243" s="144" t="e">
        <f aca="false">_xlfn.xlookup(AN243,A:A,J:J)</f>
        <v>#NAME?</v>
      </c>
      <c r="AQ243" s="144" t="e">
        <f aca="false">_xlfn.xlookup(AN243,A:A,N:N)+_xlfn.xlookup(AN243,A:A,O:O)</f>
        <v>#NAME?</v>
      </c>
      <c r="AR243" s="150" t="e">
        <f aca="false">_xlfn.xlookup(AN243,A:A,AH:AH)</f>
        <v>#NAME?</v>
      </c>
      <c r="AS243" s="150" t="e">
        <f aca="false">_xlfn.xlookup(AN243,A:A,S:S)</f>
        <v>#NAME?</v>
      </c>
      <c r="AT243" s="150" t="e">
        <f aca="false">_xlfn.xlookup(AN243,A:A,AE:AE)</f>
        <v>#NAME?</v>
      </c>
      <c r="AU243" s="150" t="e">
        <f aca="false">_xlfn.xlookup(AN243,A:A,AF:AF)</f>
        <v>#NAME?</v>
      </c>
      <c r="BB243" s="246"/>
      <c r="BC243" s="246"/>
      <c r="BD243" s="246"/>
      <c r="BE243" s="246"/>
      <c r="BF243" s="246"/>
      <c r="BH243" s="152" t="e">
        <f aca="false">_xlfn.xlookup(BG243,A:A,F:F)</f>
        <v>#NAME?</v>
      </c>
      <c r="BI243" s="144" t="e">
        <f aca="false">_xlfn.xlookup(BG243,A:A,J:J)</f>
        <v>#NAME?</v>
      </c>
      <c r="BJ243" s="153" t="e">
        <f aca="false">_xlfn.xlookup(BG243,A:A,N:N)+_xlfn.xlookup(BG243,A:A,O:O)</f>
        <v>#NAME?</v>
      </c>
      <c r="BK243" s="153" t="e">
        <f aca="false">_xlfn.xlookup(BG243,A192:A1186,AB192:AB1186)</f>
        <v>#NAME?</v>
      </c>
      <c r="BQ243" s="144" t="str">
        <f aca="false">IF(VALUE(MONTH(C243))&lt;10,YEAR(C243)&amp;"-0"&amp;MONTH(C243),YEAR(C243)&amp;"-"&amp;MONTH(C243))</f>
        <v>2025-02</v>
      </c>
      <c r="BR243" s="144" t="str">
        <f aca="false">J243</f>
        <v>S31-1</v>
      </c>
      <c r="BS243" s="144" t="str">
        <f aca="false">IF(ISNUMBER(FIND("-", BR243)), LEFT(BR243, FIND("-", BR243) - 1), BR243)</f>
        <v>S31</v>
      </c>
      <c r="BT243" s="189" t="n">
        <f aca="false">L243-M243+O243</f>
        <v>3531.98208</v>
      </c>
    </row>
    <row r="244" customFormat="false" ht="16.4" hidden="false" customHeight="false" outlineLevel="0" collapsed="false">
      <c r="A244" s="140" t="s">
        <v>1204</v>
      </c>
      <c r="B244" s="249" t="s">
        <v>1121</v>
      </c>
      <c r="C244" s="174" t="n">
        <v>45702</v>
      </c>
      <c r="D244" s="173" t="n">
        <v>351</v>
      </c>
      <c r="E244" s="138" t="s">
        <v>78</v>
      </c>
      <c r="F244" s="138" t="s">
        <v>919</v>
      </c>
      <c r="G244" s="140" t="n">
        <v>144950</v>
      </c>
      <c r="H244" s="173" t="n">
        <v>40297</v>
      </c>
      <c r="I244" s="173" t="n">
        <v>0</v>
      </c>
      <c r="J244" s="140" t="n">
        <v>0</v>
      </c>
      <c r="K244" s="140"/>
      <c r="L244" s="253"/>
      <c r="M244" s="253"/>
      <c r="N244" s="253"/>
      <c r="O244" s="253"/>
      <c r="P244" s="253"/>
      <c r="Q244" s="254"/>
      <c r="R244" s="255"/>
      <c r="S244" s="256" t="n">
        <v>0</v>
      </c>
      <c r="T244" s="215"/>
      <c r="U244" s="178" t="n">
        <v>0</v>
      </c>
      <c r="V244" s="177" t="n">
        <v>0</v>
      </c>
      <c r="W244" s="177" t="n">
        <v>0</v>
      </c>
      <c r="X244" s="179"/>
      <c r="Y244" s="177" t="n">
        <v>0</v>
      </c>
      <c r="Z244" s="177" t="n">
        <v>0</v>
      </c>
      <c r="AA244" s="177" t="n">
        <v>0</v>
      </c>
      <c r="AB244" s="177" t="n">
        <v>0</v>
      </c>
      <c r="AC244" s="215" t="n">
        <v>0.425</v>
      </c>
      <c r="AD244" s="215" t="s">
        <v>88</v>
      </c>
      <c r="AE244" s="177" t="n">
        <v>0</v>
      </c>
      <c r="AF244" s="177" t="n">
        <v>0</v>
      </c>
      <c r="AG244" s="181"/>
      <c r="AH244" s="180" t="n">
        <v>0</v>
      </c>
      <c r="AI244" s="181"/>
      <c r="AJ244" s="181" t="s">
        <v>895</v>
      </c>
      <c r="AK244" s="181" t="s">
        <v>1204</v>
      </c>
      <c r="AL244" s="182"/>
      <c r="AN244" s="144" t="e">
        <v>#NAME?</v>
      </c>
      <c r="AO244" s="144" t="e">
        <f aca="false">_xlfn.xlookup(AN244,A:A,F:F)</f>
        <v>#NAME?</v>
      </c>
      <c r="AP244" s="144" t="e">
        <f aca="false">_xlfn.xlookup(AN244,A:A,J:J)</f>
        <v>#NAME?</v>
      </c>
      <c r="AQ244" s="144" t="e">
        <f aca="false">_xlfn.xlookup(AN244,A:A,N:N)+_xlfn.xlookup(AN244,A:A,O:O)</f>
        <v>#NAME?</v>
      </c>
      <c r="AR244" s="150" t="e">
        <f aca="false">_xlfn.xlookup(AN244,A:A,AH:AH)</f>
        <v>#NAME?</v>
      </c>
      <c r="AS244" s="150" t="e">
        <f aca="false">_xlfn.xlookup(AN244,A:A,S:S)</f>
        <v>#NAME?</v>
      </c>
      <c r="AT244" s="150" t="e">
        <f aca="false">_xlfn.xlookup(AN244,A:A,AE:AE)</f>
        <v>#NAME?</v>
      </c>
      <c r="AU244" s="150" t="e">
        <f aca="false">_xlfn.xlookup(AN244,A:A,AF:AF)</f>
        <v>#NAME?</v>
      </c>
      <c r="BB244" s="246"/>
      <c r="BC244" s="246"/>
      <c r="BD244" s="246"/>
      <c r="BE244" s="246"/>
      <c r="BF244" s="246"/>
      <c r="BH244" s="152" t="e">
        <f aca="false">_xlfn.xlookup(BG244,A:A,F:F)</f>
        <v>#NAME?</v>
      </c>
      <c r="BI244" s="144" t="e">
        <f aca="false">_xlfn.xlookup(BG244,A:A,J:J)</f>
        <v>#NAME?</v>
      </c>
      <c r="BJ244" s="153" t="e">
        <f aca="false">_xlfn.xlookup(BG244,A:A,N:N)+_xlfn.xlookup(BG244,A:A,O:O)</f>
        <v>#NAME?</v>
      </c>
      <c r="BK244" s="153" t="e">
        <f aca="false">_xlfn.xlookup(BG244,A193:A1187,AB193:AB1187)</f>
        <v>#NAME?</v>
      </c>
      <c r="BT244" s="189"/>
    </row>
    <row r="245" customFormat="false" ht="16.4" hidden="false" customHeight="false" outlineLevel="0" collapsed="false">
      <c r="A245" s="140" t="s">
        <v>1205</v>
      </c>
      <c r="B245" s="249" t="s">
        <v>893</v>
      </c>
      <c r="C245" s="174" t="n">
        <v>45702</v>
      </c>
      <c r="D245" s="173" t="n">
        <v>352</v>
      </c>
      <c r="E245" s="138" t="s">
        <v>78</v>
      </c>
      <c r="F245" s="138" t="s">
        <v>919</v>
      </c>
      <c r="G245" s="140" t="n">
        <v>144951</v>
      </c>
      <c r="H245" s="173" t="n">
        <v>40298</v>
      </c>
      <c r="I245" s="173" t="n">
        <v>30016</v>
      </c>
      <c r="J245" s="140" t="s">
        <v>764</v>
      </c>
      <c r="K245" s="140"/>
      <c r="L245" s="175" t="n">
        <v>6831.216</v>
      </c>
      <c r="M245" s="175" t="n">
        <v>3361.392</v>
      </c>
      <c r="N245" s="175" t="n">
        <v>3420</v>
      </c>
      <c r="O245" s="175"/>
      <c r="P245" s="175" t="n">
        <v>120.24</v>
      </c>
      <c r="Q245" s="176" t="n">
        <v>1</v>
      </c>
      <c r="R245" s="138" t="n">
        <v>1.5</v>
      </c>
      <c r="S245" s="177" t="n">
        <v>134</v>
      </c>
      <c r="T245" s="215"/>
      <c r="U245" s="178" t="n">
        <v>0.326284886247867</v>
      </c>
      <c r="V245" s="177" t="n">
        <v>1115.8943109677</v>
      </c>
      <c r="W245" s="177" t="n">
        <v>16.2568181724139</v>
      </c>
      <c r="X245" s="179" t="n">
        <v>0.00729357701469263</v>
      </c>
      <c r="Y245" s="177" t="n">
        <v>20.3406</v>
      </c>
      <c r="Z245" s="177" t="n">
        <v>21.7</v>
      </c>
      <c r="AA245" s="177" t="n">
        <v>90.1442307692308</v>
      </c>
      <c r="AB245" s="177" t="n">
        <v>1398.33595990935</v>
      </c>
      <c r="AC245" s="215" t="n">
        <v>0.425</v>
      </c>
      <c r="AD245" s="215" t="s">
        <v>88</v>
      </c>
      <c r="AE245" s="177" t="n">
        <v>1453.5</v>
      </c>
      <c r="AF245" s="177" t="n">
        <v>55.1640400906513</v>
      </c>
      <c r="AG245" s="181" t="n">
        <v>0.0379525559619204</v>
      </c>
      <c r="AH245" s="180" t="n">
        <v>1132.15112914012</v>
      </c>
      <c r="AI245" s="181" t="n">
        <v>0.778913745538437</v>
      </c>
      <c r="AJ245" s="181"/>
      <c r="AK245" s="181" t="s">
        <v>1205</v>
      </c>
      <c r="AL245" s="182" t="n">
        <v>0.408870163716184</v>
      </c>
      <c r="AN245" s="144" t="e">
        <v>#NAME?</v>
      </c>
      <c r="AO245" s="144" t="e">
        <f aca="false">_xlfn.xlookup(AN245,A:A,F:F)</f>
        <v>#NAME?</v>
      </c>
      <c r="AP245" s="144" t="e">
        <f aca="false">_xlfn.xlookup(AN245,A:A,J:J)</f>
        <v>#NAME?</v>
      </c>
      <c r="AQ245" s="144" t="e">
        <f aca="false">_xlfn.xlookup(AN245,A:A,N:N)+_xlfn.xlookup(AN245,A:A,O:O)</f>
        <v>#NAME?</v>
      </c>
      <c r="AR245" s="150" t="e">
        <f aca="false">_xlfn.xlookup(AN245,A:A,AH:AH)</f>
        <v>#NAME?</v>
      </c>
      <c r="AS245" s="150" t="e">
        <f aca="false">_xlfn.xlookup(AN245,A:A,S:S)</f>
        <v>#NAME?</v>
      </c>
      <c r="AT245" s="150" t="e">
        <f aca="false">_xlfn.xlookup(AN245,A:A,AE:AE)</f>
        <v>#NAME?</v>
      </c>
      <c r="AU245" s="150" t="e">
        <f aca="false">_xlfn.xlookup(AN245,A:A,AF:AF)</f>
        <v>#NAME?</v>
      </c>
      <c r="BB245" s="246"/>
      <c r="BC245" s="246"/>
      <c r="BD245" s="246"/>
      <c r="BE245" s="246"/>
      <c r="BF245" s="246"/>
      <c r="BH245" s="152" t="e">
        <f aca="false">_xlfn.xlookup(BG245,A:A,F:F)</f>
        <v>#NAME?</v>
      </c>
      <c r="BI245" s="144" t="e">
        <f aca="false">_xlfn.xlookup(BG245,A:A,J:J)</f>
        <v>#NAME?</v>
      </c>
      <c r="BJ245" s="153" t="e">
        <f aca="false">_xlfn.xlookup(BG245,A:A,N:N)+_xlfn.xlookup(BG245,A:A,O:O)</f>
        <v>#NAME?</v>
      </c>
      <c r="BK245" s="153" t="e">
        <f aca="false">_xlfn.xlookup(BG245,A194:A1188,AB194:AB1188)</f>
        <v>#NAME?</v>
      </c>
      <c r="BQ245" s="144" t="str">
        <f aca="false">IF(VALUE(MONTH(C245))&lt;10,YEAR(C245)&amp;"-0"&amp;MONTH(C245),YEAR(C245)&amp;"-"&amp;MONTH(C245))</f>
        <v>2025-02</v>
      </c>
      <c r="BR245" s="144" t="str">
        <f aca="false">J245</f>
        <v>B15-3</v>
      </c>
      <c r="BS245" s="144" t="str">
        <f aca="false">IF(ISNUMBER(FIND("-", BR245)), LEFT(BR245, FIND("-", BR245) - 1), BR245)</f>
        <v>B15</v>
      </c>
      <c r="BT245" s="189" t="n">
        <f aca="false">L245-M245+O245</f>
        <v>3469.824</v>
      </c>
    </row>
    <row r="246" customFormat="false" ht="16.4" hidden="false" customHeight="false" outlineLevel="0" collapsed="false">
      <c r="A246" s="140" t="s">
        <v>1206</v>
      </c>
      <c r="B246" s="249" t="s">
        <v>893</v>
      </c>
      <c r="C246" s="174" t="n">
        <v>45702</v>
      </c>
      <c r="D246" s="173" t="n">
        <v>353</v>
      </c>
      <c r="E246" s="138" t="s">
        <v>120</v>
      </c>
      <c r="F246" s="138" t="s">
        <v>617</v>
      </c>
      <c r="G246" s="140" t="n">
        <v>14369</v>
      </c>
      <c r="H246" s="173" t="n">
        <v>40299</v>
      </c>
      <c r="I246" s="173" t="n">
        <v>30011</v>
      </c>
      <c r="J246" s="140" t="s">
        <v>760</v>
      </c>
      <c r="K246" s="140"/>
      <c r="L246" s="175" t="n">
        <v>14229.8928</v>
      </c>
      <c r="M246" s="175" t="n">
        <v>0</v>
      </c>
      <c r="N246" s="175" t="n">
        <v>13701.6</v>
      </c>
      <c r="O246" s="175"/>
      <c r="P246" s="175" t="n">
        <v>120</v>
      </c>
      <c r="Q246" s="176" t="n">
        <v>3</v>
      </c>
      <c r="R246" s="138" t="n">
        <v>3.75</v>
      </c>
      <c r="S246" s="177" t="n">
        <v>158.4</v>
      </c>
      <c r="T246" s="215"/>
      <c r="U246" s="178" t="n">
        <v>0.28357864079936</v>
      </c>
      <c r="V246" s="177" t="n">
        <v>3885.48110477651</v>
      </c>
      <c r="W246" s="177" t="n">
        <v>149.812554168088</v>
      </c>
      <c r="X246" s="179" t="n">
        <v>0.0371255642909692</v>
      </c>
      <c r="Y246" s="177" t="n">
        <v>20.3</v>
      </c>
      <c r="Z246" s="177" t="n">
        <v>65.1</v>
      </c>
      <c r="AA246" s="177" t="n">
        <v>225.360576923077</v>
      </c>
      <c r="AB246" s="177" t="n">
        <v>4504.45423586768</v>
      </c>
      <c r="AC246" s="215" t="n">
        <v>0.333</v>
      </c>
      <c r="AD246" s="215" t="s">
        <v>88</v>
      </c>
      <c r="AE246" s="177" t="n">
        <v>4562.6328</v>
      </c>
      <c r="AF246" s="177" t="n">
        <v>58.1785641323258</v>
      </c>
      <c r="AG246" s="181" t="n">
        <v>0.0127510949669949</v>
      </c>
      <c r="AH246" s="180" t="n">
        <v>4035.2936589446</v>
      </c>
      <c r="AI246" s="181" t="n">
        <v>0.884422182504934</v>
      </c>
      <c r="AJ246" s="181"/>
      <c r="AK246" s="181" t="s">
        <v>1206</v>
      </c>
      <c r="AL246" s="182" t="n">
        <v>0.328753885375991</v>
      </c>
      <c r="AN246" s="144" t="e">
        <v>#NAME?</v>
      </c>
      <c r="AO246" s="144" t="e">
        <f aca="false">_xlfn.xlookup(AN246,A:A,F:F)</f>
        <v>#NAME?</v>
      </c>
      <c r="AP246" s="144" t="e">
        <f aca="false">_xlfn.xlookup(AN246,A:A,J:J)</f>
        <v>#NAME?</v>
      </c>
      <c r="AQ246" s="144" t="e">
        <f aca="false">_xlfn.xlookup(AN246,A:A,N:N)+_xlfn.xlookup(AN246,A:A,O:O)</f>
        <v>#NAME?</v>
      </c>
      <c r="AR246" s="150" t="e">
        <f aca="false">_xlfn.xlookup(AN246,A:A,AH:AH)</f>
        <v>#NAME?</v>
      </c>
      <c r="AS246" s="150" t="e">
        <f aca="false">_xlfn.xlookup(AN246,A:A,S:S)</f>
        <v>#NAME?</v>
      </c>
      <c r="AT246" s="150" t="e">
        <f aca="false">_xlfn.xlookup(AN246,A:A,AE:AE)</f>
        <v>#NAME?</v>
      </c>
      <c r="AU246" s="150" t="e">
        <f aca="false">_xlfn.xlookup(AN246,A:A,AF:AF)</f>
        <v>#NAME?</v>
      </c>
      <c r="BB246" s="246"/>
      <c r="BC246" s="246"/>
      <c r="BD246" s="246"/>
      <c r="BE246" s="246"/>
      <c r="BF246" s="246"/>
      <c r="BH246" s="152" t="e">
        <f aca="false">_xlfn.xlookup(BG246,A:A,F:F)</f>
        <v>#NAME?</v>
      </c>
      <c r="BI246" s="144" t="e">
        <f aca="false">_xlfn.xlookup(BG246,A:A,J:J)</f>
        <v>#NAME?</v>
      </c>
      <c r="BJ246" s="153" t="e">
        <f aca="false">_xlfn.xlookup(BG246,A:A,N:N)+_xlfn.xlookup(BG246,A:A,O:O)</f>
        <v>#NAME?</v>
      </c>
      <c r="BK246" s="153" t="e">
        <f aca="false">_xlfn.xlookup(BG246,A195:A1189,AB195:AB1189)</f>
        <v>#NAME?</v>
      </c>
      <c r="BQ246" s="144" t="str">
        <f aca="false">IF(VALUE(MONTH(C246))&lt;10,YEAR(C246)&amp;"-0"&amp;MONTH(C246),YEAR(C246)&amp;"-"&amp;MONTH(C246))</f>
        <v>2025-02</v>
      </c>
      <c r="BR246" s="144" t="str">
        <f aca="false">J246</f>
        <v>S21-1</v>
      </c>
      <c r="BS246" s="144" t="str">
        <f aca="false">IF(ISNUMBER(FIND("-", BR246)), LEFT(BR246, FIND("-", BR246) - 1), BR246)</f>
        <v>S21</v>
      </c>
      <c r="BT246" s="189" t="n">
        <f aca="false">L246-M246+O246</f>
        <v>14229.8928</v>
      </c>
    </row>
    <row r="247" customFormat="false" ht="16.4" hidden="false" customHeight="false" outlineLevel="0" collapsed="false">
      <c r="A247" s="140" t="s">
        <v>1207</v>
      </c>
      <c r="B247" s="249" t="s">
        <v>893</v>
      </c>
      <c r="C247" s="174" t="n">
        <v>45708</v>
      </c>
      <c r="D247" s="173" t="n">
        <v>354</v>
      </c>
      <c r="E247" s="138" t="s">
        <v>194</v>
      </c>
      <c r="F247" s="138" t="s">
        <v>194</v>
      </c>
      <c r="G247" s="140" t="n">
        <v>2501937</v>
      </c>
      <c r="H247" s="173" t="n">
        <v>40300</v>
      </c>
      <c r="I247" s="173" t="n">
        <v>30012</v>
      </c>
      <c r="J247" s="140" t="s">
        <v>908</v>
      </c>
      <c r="K247" s="140"/>
      <c r="L247" s="175" t="n">
        <v>14229.8928</v>
      </c>
      <c r="M247" s="175" t="n">
        <v>0</v>
      </c>
      <c r="N247" s="175" t="n">
        <v>14004</v>
      </c>
      <c r="O247" s="175"/>
      <c r="P247" s="175" t="n">
        <v>120</v>
      </c>
      <c r="Q247" s="176" t="n">
        <v>3</v>
      </c>
      <c r="R247" s="138" t="n">
        <v>3.5</v>
      </c>
      <c r="S247" s="177" t="n">
        <v>158.4</v>
      </c>
      <c r="T247" s="215"/>
      <c r="U247" s="178" t="n">
        <v>0.327974576595346</v>
      </c>
      <c r="V247" s="177" t="n">
        <v>4592.95597064123</v>
      </c>
      <c r="W247" s="177" t="n">
        <v>74.0870954359371</v>
      </c>
      <c r="X247" s="179" t="n">
        <v>0.0158745257729559</v>
      </c>
      <c r="Y247" s="177" t="n">
        <v>20.3</v>
      </c>
      <c r="Z247" s="177" t="n">
        <v>65.1</v>
      </c>
      <c r="AA247" s="177" t="n">
        <v>210.336538461538</v>
      </c>
      <c r="AB247" s="177" t="n">
        <v>5121.1796045387</v>
      </c>
      <c r="AC247" s="215" t="n">
        <v>0.41</v>
      </c>
      <c r="AD247" s="215" t="s">
        <v>88</v>
      </c>
      <c r="AE247" s="177" t="n">
        <v>5741.64</v>
      </c>
      <c r="AF247" s="177" t="n">
        <v>620.460395461297</v>
      </c>
      <c r="AG247" s="181" t="n">
        <v>0.108063270330654</v>
      </c>
      <c r="AH247" s="180" t="n">
        <v>4667.04306607717</v>
      </c>
      <c r="AI247" s="181" t="n">
        <v>0.812841464473071</v>
      </c>
      <c r="AJ247" s="181"/>
      <c r="AK247" s="181" t="s">
        <v>1207</v>
      </c>
      <c r="AL247" s="182" t="n">
        <v>0.365694059164432</v>
      </c>
      <c r="AN247" s="144" t="e">
        <v>#NAME?</v>
      </c>
      <c r="AO247" s="144" t="e">
        <f aca="false">_xlfn.xlookup(AN247,A:A,F:F)</f>
        <v>#NAME?</v>
      </c>
      <c r="AP247" s="144" t="e">
        <f aca="false">_xlfn.xlookup(AN247,A:A,J:J)</f>
        <v>#NAME?</v>
      </c>
      <c r="AQ247" s="144" t="e">
        <f aca="false">_xlfn.xlookup(AN247,A:A,N:N)+_xlfn.xlookup(AN247,A:A,O:O)</f>
        <v>#NAME?</v>
      </c>
      <c r="AR247" s="150" t="e">
        <f aca="false">_xlfn.xlookup(AN247,A:A,AH:AH)</f>
        <v>#NAME?</v>
      </c>
      <c r="AS247" s="150" t="e">
        <f aca="false">_xlfn.xlookup(AN247,A:A,S:S)</f>
        <v>#NAME?</v>
      </c>
      <c r="AT247" s="150" t="e">
        <f aca="false">_xlfn.xlookup(AN247,A:A,AE:AE)</f>
        <v>#NAME?</v>
      </c>
      <c r="AU247" s="150" t="e">
        <f aca="false">_xlfn.xlookup(AN247,A:A,AF:AF)</f>
        <v>#NAME?</v>
      </c>
      <c r="BB247" s="246"/>
      <c r="BC247" s="246"/>
      <c r="BD247" s="246"/>
      <c r="BE247" s="246"/>
      <c r="BF247" s="246"/>
      <c r="BH247" s="152" t="e">
        <f aca="false">_xlfn.xlookup(BG247,A:A,F:F)</f>
        <v>#NAME?</v>
      </c>
      <c r="BI247" s="144" t="e">
        <f aca="false">_xlfn.xlookup(BG247,A:A,J:J)</f>
        <v>#NAME?</v>
      </c>
      <c r="BJ247" s="153" t="e">
        <f aca="false">_xlfn.xlookup(BG247,A:A,N:N)+_xlfn.xlookup(BG247,A:A,O:O)</f>
        <v>#NAME?</v>
      </c>
      <c r="BK247" s="153" t="e">
        <f aca="false">_xlfn.xlookup(BG247,A196:A1190,AB196:AB1190)</f>
        <v>#NAME?</v>
      </c>
      <c r="BQ247" s="144" t="str">
        <f aca="false">IF(VALUE(MONTH(C247))&lt;10,YEAR(C247)&amp;"-0"&amp;MONTH(C247),YEAR(C247)&amp;"-"&amp;MONTH(C247))</f>
        <v>2025-02</v>
      </c>
      <c r="BR247" s="144" t="str">
        <f aca="false">J247</f>
        <v>D21-1</v>
      </c>
      <c r="BS247" s="144" t="str">
        <f aca="false">IF(ISNUMBER(FIND("-", BR247)), LEFT(BR247, FIND("-", BR247) - 1), BR247)</f>
        <v>D21</v>
      </c>
      <c r="BT247" s="189" t="n">
        <f aca="false">L247-M247+O247</f>
        <v>14229.8928</v>
      </c>
    </row>
    <row r="248" customFormat="false" ht="16.4" hidden="false" customHeight="false" outlineLevel="0" collapsed="false">
      <c r="A248" s="140" t="s">
        <v>1208</v>
      </c>
      <c r="B248" s="249" t="s">
        <v>893</v>
      </c>
      <c r="C248" s="174" t="n">
        <v>45706</v>
      </c>
      <c r="D248" s="173" t="n">
        <v>355</v>
      </c>
      <c r="E248" s="138" t="s">
        <v>300</v>
      </c>
      <c r="F248" s="138" t="s">
        <v>462</v>
      </c>
      <c r="G248" s="140" t="s">
        <v>1209</v>
      </c>
      <c r="H248" s="173" t="n">
        <v>40302</v>
      </c>
      <c r="I248" s="173" t="n">
        <v>30018</v>
      </c>
      <c r="J248" s="140" t="s">
        <v>760</v>
      </c>
      <c r="K248" s="140"/>
      <c r="L248" s="175" t="n">
        <v>7116.489</v>
      </c>
      <c r="M248" s="175" t="n">
        <v>3506.55</v>
      </c>
      <c r="N248" s="175" t="n">
        <v>3474.9</v>
      </c>
      <c r="O248" s="175"/>
      <c r="P248" s="175" t="n">
        <v>118.75</v>
      </c>
      <c r="Q248" s="176" t="n">
        <v>1</v>
      </c>
      <c r="R248" s="138" t="n">
        <v>3</v>
      </c>
      <c r="S248" s="177" t="n">
        <v>125</v>
      </c>
      <c r="T248" s="215"/>
      <c r="U248" s="178" t="n">
        <v>0.264285602410524</v>
      </c>
      <c r="V248" s="177" t="n">
        <v>918.36603981633</v>
      </c>
      <c r="W248" s="177" t="n">
        <v>35.6888634639147</v>
      </c>
      <c r="X248" s="179" t="n">
        <v>0.0189755088499399</v>
      </c>
      <c r="Y248" s="177" t="n">
        <v>20.0885416666667</v>
      </c>
      <c r="Z248" s="177" t="n">
        <v>21.7</v>
      </c>
      <c r="AA248" s="177" t="n">
        <v>180.288461538462</v>
      </c>
      <c r="AB248" s="177" t="n">
        <v>1301.13190648537</v>
      </c>
      <c r="AC248" s="215" t="n">
        <v>0.349</v>
      </c>
      <c r="AD248" s="215" t="s">
        <v>88</v>
      </c>
      <c r="AE248" s="177" t="n">
        <v>1212.7401</v>
      </c>
      <c r="AF248" s="177" t="n">
        <v>-88.3918064853731</v>
      </c>
      <c r="AG248" s="181" t="n">
        <v>-0.072886026021052</v>
      </c>
      <c r="AH248" s="180" t="n">
        <v>954.054903280245</v>
      </c>
      <c r="AI248" s="181" t="n">
        <v>0.78669362320933</v>
      </c>
      <c r="AJ248" s="181"/>
      <c r="AK248" s="181" t="s">
        <v>1208</v>
      </c>
      <c r="AL248" s="182" t="n">
        <v>0.374437223081347</v>
      </c>
      <c r="AN248" s="144" t="e">
        <v>#NAME?</v>
      </c>
      <c r="AO248" s="144" t="e">
        <f aca="false">_xlfn.xlookup(AN248,A:A,F:F)</f>
        <v>#NAME?</v>
      </c>
      <c r="AP248" s="144" t="e">
        <f aca="false">_xlfn.xlookup(AN248,A:A,J:J)</f>
        <v>#NAME?</v>
      </c>
      <c r="AQ248" s="144" t="e">
        <f aca="false">_xlfn.xlookup(AN248,A:A,N:N)+_xlfn.xlookup(AN248,A:A,O:O)</f>
        <v>#NAME?</v>
      </c>
      <c r="AR248" s="150" t="e">
        <f aca="false">_xlfn.xlookup(AN248,A:A,AH:AH)</f>
        <v>#NAME?</v>
      </c>
      <c r="AS248" s="150" t="e">
        <f aca="false">_xlfn.xlookup(AN248,A:A,S:S)</f>
        <v>#NAME?</v>
      </c>
      <c r="AT248" s="150" t="e">
        <f aca="false">_xlfn.xlookup(AN248,A:A,AE:AE)</f>
        <v>#NAME?</v>
      </c>
      <c r="AU248" s="150" t="e">
        <f aca="false">_xlfn.xlookup(AN248,A:A,AF:AF)</f>
        <v>#NAME?</v>
      </c>
      <c r="BB248" s="246"/>
      <c r="BC248" s="246"/>
      <c r="BD248" s="246"/>
      <c r="BE248" s="246"/>
      <c r="BF248" s="246"/>
      <c r="BH248" s="152" t="e">
        <f aca="false">_xlfn.xlookup(BG248,A:A,F:F)</f>
        <v>#NAME?</v>
      </c>
      <c r="BI248" s="144" t="e">
        <f aca="false">_xlfn.xlookup(BG248,A:A,J:J)</f>
        <v>#NAME?</v>
      </c>
      <c r="BJ248" s="153" t="e">
        <f aca="false">_xlfn.xlookup(BG248,A:A,N:N)+_xlfn.xlookup(BG248,A:A,O:O)</f>
        <v>#NAME?</v>
      </c>
      <c r="BK248" s="153" t="e">
        <f aca="false">_xlfn.xlookup(BG248,A197:A1191,AB197:AB1191)</f>
        <v>#NAME?</v>
      </c>
      <c r="BQ248" s="144" t="str">
        <f aca="false">IF(VALUE(MONTH(C248))&lt;10,YEAR(C248)&amp;"-0"&amp;MONTH(C248),YEAR(C248)&amp;"-"&amp;MONTH(C248))</f>
        <v>2025-02</v>
      </c>
      <c r="BR248" s="144" t="str">
        <f aca="false">J248</f>
        <v>S21-1</v>
      </c>
      <c r="BS248" s="144" t="str">
        <f aca="false">IF(ISNUMBER(FIND("-", BR248)), LEFT(BR248, FIND("-", BR248) - 1), BR248)</f>
        <v>S21</v>
      </c>
      <c r="BT248" s="189" t="n">
        <f aca="false">L248-M248+O248</f>
        <v>3609.939</v>
      </c>
    </row>
    <row r="249" customFormat="false" ht="16.4" hidden="false" customHeight="false" outlineLevel="0" collapsed="false">
      <c r="A249" s="140" t="s">
        <v>1210</v>
      </c>
      <c r="B249" s="249" t="s">
        <v>893</v>
      </c>
      <c r="C249" s="174" t="n">
        <v>45706</v>
      </c>
      <c r="D249" s="173" t="n">
        <v>356</v>
      </c>
      <c r="E249" s="138" t="s">
        <v>131</v>
      </c>
      <c r="F249" s="138" t="s">
        <v>131</v>
      </c>
      <c r="G249" s="140" t="s">
        <v>408</v>
      </c>
      <c r="H249" s="173"/>
      <c r="I249" s="173" t="n">
        <v>30023</v>
      </c>
      <c r="J249" s="140" t="s">
        <v>754</v>
      </c>
      <c r="K249" s="140"/>
      <c r="L249" s="175" t="n">
        <v>994.5</v>
      </c>
      <c r="M249" s="175" t="n">
        <v>887.4</v>
      </c>
      <c r="N249" s="175" t="n">
        <v>102</v>
      </c>
      <c r="O249" s="175"/>
      <c r="P249" s="175" t="n">
        <v>8.5</v>
      </c>
      <c r="Q249" s="176" t="n">
        <v>0</v>
      </c>
      <c r="R249" s="138" t="n">
        <v>0.375</v>
      </c>
      <c r="S249" s="177" t="n">
        <v>0</v>
      </c>
      <c r="T249" s="215"/>
      <c r="U249" s="178" t="n">
        <v>0.2951148717267</v>
      </c>
      <c r="V249" s="177" t="n">
        <v>30.1017169161234</v>
      </c>
      <c r="W249" s="177" t="n">
        <v>1.50508584580618</v>
      </c>
      <c r="X249" s="179" t="n">
        <v>0.00512820512820515</v>
      </c>
      <c r="Y249" s="177" t="n">
        <v>1.43791666666667</v>
      </c>
      <c r="Z249" s="177" t="n">
        <v>0</v>
      </c>
      <c r="AA249" s="177" t="n">
        <v>22.5360576923077</v>
      </c>
      <c r="AB249" s="177" t="n">
        <v>55.5807771209039</v>
      </c>
      <c r="AC249" s="215" t="n">
        <v>0</v>
      </c>
      <c r="AD249" s="215" t="n">
        <v>0</v>
      </c>
      <c r="AE249" s="177" t="n">
        <v>0</v>
      </c>
      <c r="AF249" s="177" t="n">
        <v>-55.5807771209039</v>
      </c>
      <c r="AG249" s="181"/>
      <c r="AH249" s="180" t="n">
        <v>31.6068027619296</v>
      </c>
      <c r="AI249" s="181"/>
      <c r="AJ249" s="181" t="s">
        <v>895</v>
      </c>
      <c r="AK249" s="181" t="s">
        <v>1210</v>
      </c>
      <c r="AL249" s="182" t="n">
        <v>0.393365468845061</v>
      </c>
      <c r="AN249" s="144" t="e">
        <v>#NAME?</v>
      </c>
      <c r="AO249" s="144" t="e">
        <f aca="false">_xlfn.xlookup(AN249,A:A,F:F)</f>
        <v>#NAME?</v>
      </c>
      <c r="AP249" s="144" t="e">
        <f aca="false">_xlfn.xlookup(AN249,A:A,J:J)</f>
        <v>#NAME?</v>
      </c>
      <c r="AQ249" s="144" t="e">
        <f aca="false">_xlfn.xlookup(AN249,A:A,N:N)+_xlfn.xlookup(AN249,A:A,O:O)</f>
        <v>#NAME?</v>
      </c>
      <c r="AR249" s="150" t="e">
        <f aca="false">_xlfn.xlookup(AN249,A:A,AH:AH)</f>
        <v>#NAME?</v>
      </c>
      <c r="AS249" s="150" t="e">
        <f aca="false">_xlfn.xlookup(AN249,A:A,S:S)</f>
        <v>#NAME?</v>
      </c>
      <c r="AT249" s="150" t="e">
        <f aca="false">_xlfn.xlookup(AN249,A:A,AE:AE)</f>
        <v>#NAME?</v>
      </c>
      <c r="AU249" s="150" t="e">
        <f aca="false">_xlfn.xlookup(AN249,A:A,AF:AF)</f>
        <v>#NAME?</v>
      </c>
      <c r="BB249" s="246"/>
      <c r="BC249" s="246"/>
      <c r="BD249" s="246"/>
      <c r="BE249" s="246"/>
      <c r="BF249" s="246"/>
      <c r="BH249" s="152" t="e">
        <f aca="false">_xlfn.xlookup(BG249,A:A,F:F)</f>
        <v>#NAME?</v>
      </c>
      <c r="BI249" s="144" t="e">
        <f aca="false">_xlfn.xlookup(BG249,A:A,J:J)</f>
        <v>#NAME?</v>
      </c>
      <c r="BJ249" s="153" t="e">
        <f aca="false">_xlfn.xlookup(BG249,A:A,N:N)+_xlfn.xlookup(BG249,A:A,O:O)</f>
        <v>#NAME?</v>
      </c>
      <c r="BK249" s="153" t="e">
        <f aca="false">_xlfn.xlookup(BG249,A198:A1192,AB198:AB1192)</f>
        <v>#NAME?</v>
      </c>
      <c r="BT249" s="189"/>
    </row>
    <row r="250" customFormat="false" ht="16.4" hidden="false" customHeight="false" outlineLevel="0" collapsed="false">
      <c r="A250" s="140" t="s">
        <v>1211</v>
      </c>
      <c r="B250" s="249" t="s">
        <v>893</v>
      </c>
      <c r="C250" s="174" t="n">
        <v>45707</v>
      </c>
      <c r="D250" s="173" t="n">
        <v>357</v>
      </c>
      <c r="E250" s="138" t="s">
        <v>131</v>
      </c>
      <c r="F250" s="138" t="s">
        <v>131</v>
      </c>
      <c r="G250" s="140" t="s">
        <v>408</v>
      </c>
      <c r="H250" s="173"/>
      <c r="I250" s="173" t="n">
        <v>30015</v>
      </c>
      <c r="J250" s="140" t="s">
        <v>762</v>
      </c>
      <c r="K250" s="140"/>
      <c r="L250" s="175" t="n">
        <v>263.16</v>
      </c>
      <c r="M250" s="175" t="n">
        <v>149.64</v>
      </c>
      <c r="N250" s="175" t="n">
        <v>102</v>
      </c>
      <c r="O250" s="175"/>
      <c r="P250" s="175" t="n">
        <v>8.5</v>
      </c>
      <c r="Q250" s="176" t="n">
        <v>0</v>
      </c>
      <c r="R250" s="138" t="n">
        <v>0.375</v>
      </c>
      <c r="S250" s="177" t="n">
        <v>0</v>
      </c>
      <c r="T250" s="215"/>
      <c r="U250" s="178" t="n">
        <v>0.268854241086576</v>
      </c>
      <c r="V250" s="177" t="n">
        <v>27.4231325908308</v>
      </c>
      <c r="W250" s="177" t="n">
        <v>3.09720085731738</v>
      </c>
      <c r="X250" s="179" t="n">
        <v>0.0437756497948019</v>
      </c>
      <c r="Y250" s="177" t="n">
        <v>1.43791666666667</v>
      </c>
      <c r="Z250" s="177" t="n">
        <v>0</v>
      </c>
      <c r="AA250" s="177" t="n">
        <v>22.5360576923077</v>
      </c>
      <c r="AB250" s="177" t="n">
        <v>54.4943078071225</v>
      </c>
      <c r="AC250" s="215" t="n">
        <v>0</v>
      </c>
      <c r="AD250" s="215"/>
      <c r="AE250" s="177" t="n">
        <v>0</v>
      </c>
      <c r="AF250" s="177" t="n">
        <v>-54.4943078071225</v>
      </c>
      <c r="AG250" s="181"/>
      <c r="AH250" s="180" t="n">
        <v>30.5203334481482</v>
      </c>
      <c r="AI250" s="181"/>
      <c r="AJ250" s="181" t="s">
        <v>895</v>
      </c>
      <c r="AK250" s="181" t="s">
        <v>1211</v>
      </c>
      <c r="AL250" s="182" t="n">
        <v>0.836982022797822</v>
      </c>
      <c r="AN250" s="144" t="e">
        <v>#NAME?</v>
      </c>
      <c r="AO250" s="144" t="e">
        <f aca="false">_xlfn.xlookup(AN250,A:A,F:F)</f>
        <v>#NAME?</v>
      </c>
      <c r="AP250" s="144" t="e">
        <f aca="false">_xlfn.xlookup(AN250,A:A,J:J)</f>
        <v>#NAME?</v>
      </c>
      <c r="AQ250" s="144" t="e">
        <f aca="false">_xlfn.xlookup(AN250,A:A,N:N)+_xlfn.xlookup(AN250,A:A,O:O)</f>
        <v>#NAME?</v>
      </c>
      <c r="AR250" s="150" t="e">
        <f aca="false">_xlfn.xlookup(AN250,A:A,AH:AH)</f>
        <v>#NAME?</v>
      </c>
      <c r="AS250" s="150" t="e">
        <f aca="false">_xlfn.xlookup(AN250,A:A,S:S)</f>
        <v>#NAME?</v>
      </c>
      <c r="AT250" s="150" t="e">
        <f aca="false">_xlfn.xlookup(AN250,A:A,AE:AE)</f>
        <v>#NAME?</v>
      </c>
      <c r="AU250" s="150" t="e">
        <f aca="false">_xlfn.xlookup(AN250,A:A,AF:AF)</f>
        <v>#NAME?</v>
      </c>
      <c r="BB250" s="246"/>
      <c r="BC250" s="246"/>
      <c r="BD250" s="246"/>
      <c r="BE250" s="246"/>
      <c r="BF250" s="246"/>
      <c r="BH250" s="152" t="e">
        <f aca="false">_xlfn.xlookup(BG250,A:A,F:F)</f>
        <v>#NAME?</v>
      </c>
      <c r="BI250" s="144" t="e">
        <f aca="false">_xlfn.xlookup(BG250,A:A,J:J)</f>
        <v>#NAME?</v>
      </c>
      <c r="BJ250" s="153" t="e">
        <f aca="false">_xlfn.xlookup(BG250,A:A,N:N)+_xlfn.xlookup(BG250,A:A,O:O)</f>
        <v>#NAME?</v>
      </c>
      <c r="BK250" s="153" t="e">
        <f aca="false">_xlfn.xlookup(BG250,A199:A1193,AB199:AB1193)</f>
        <v>#NAME?</v>
      </c>
      <c r="BT250" s="189"/>
    </row>
    <row r="251" customFormat="false" ht="16.4" hidden="false" customHeight="false" outlineLevel="0" collapsed="false">
      <c r="A251" s="140" t="s">
        <v>1212</v>
      </c>
      <c r="B251" s="249" t="s">
        <v>893</v>
      </c>
      <c r="C251" s="174" t="n">
        <v>45707</v>
      </c>
      <c r="D251" s="173" t="n">
        <v>358</v>
      </c>
      <c r="E251" s="138" t="s">
        <v>131</v>
      </c>
      <c r="F251" s="138" t="s">
        <v>131</v>
      </c>
      <c r="G251" s="140" t="s">
        <v>408</v>
      </c>
      <c r="H251" s="173"/>
      <c r="I251" s="173" t="n">
        <v>30012</v>
      </c>
      <c r="J251" s="140" t="s">
        <v>908</v>
      </c>
      <c r="K251" s="140"/>
      <c r="L251" s="175" t="n">
        <v>512.16</v>
      </c>
      <c r="M251" s="175" t="n">
        <v>401.28</v>
      </c>
      <c r="N251" s="175" t="n">
        <v>102</v>
      </c>
      <c r="O251" s="175"/>
      <c r="P251" s="175" t="n">
        <v>8.5</v>
      </c>
      <c r="Q251" s="176" t="n">
        <v>0</v>
      </c>
      <c r="R251" s="138" t="n">
        <v>0.375</v>
      </c>
      <c r="S251" s="177" t="n">
        <v>0</v>
      </c>
      <c r="T251" s="215"/>
      <c r="U251" s="178" t="n">
        <v>0.327974576595346</v>
      </c>
      <c r="V251" s="177" t="n">
        <v>33.4534068127253</v>
      </c>
      <c r="W251" s="177" t="n">
        <v>2.91241424016667</v>
      </c>
      <c r="X251" s="179" t="n">
        <v>0.0173383317713215</v>
      </c>
      <c r="Y251" s="177" t="n">
        <v>1.43791666666667</v>
      </c>
      <c r="Z251" s="177" t="n">
        <v>0</v>
      </c>
      <c r="AA251" s="177" t="n">
        <v>22.5360576923077</v>
      </c>
      <c r="AB251" s="177" t="n">
        <v>60.3397954118664</v>
      </c>
      <c r="AC251" s="215" t="n">
        <v>0</v>
      </c>
      <c r="AD251" s="215" t="n">
        <v>0</v>
      </c>
      <c r="AE251" s="177" t="n">
        <v>0</v>
      </c>
      <c r="AF251" s="177" t="n">
        <v>-60.3397954118664</v>
      </c>
      <c r="AG251" s="181"/>
      <c r="AH251" s="180" t="n">
        <v>36.365821052892</v>
      </c>
      <c r="AI251" s="181"/>
      <c r="AJ251" s="181" t="s">
        <v>895</v>
      </c>
      <c r="AK251" s="181" t="s">
        <v>1212</v>
      </c>
      <c r="AL251" s="182" t="n">
        <v>0.568967440592451</v>
      </c>
      <c r="AN251" s="144" t="e">
        <v>#NAME?</v>
      </c>
      <c r="AO251" s="144" t="e">
        <f aca="false">_xlfn.xlookup(AN251,A:A,F:F)</f>
        <v>#NAME?</v>
      </c>
      <c r="AP251" s="144" t="e">
        <f aca="false">_xlfn.xlookup(AN251,A:A,J:J)</f>
        <v>#NAME?</v>
      </c>
      <c r="AQ251" s="144" t="e">
        <f aca="false">_xlfn.xlookup(AN251,A:A,N:N)+_xlfn.xlookup(AN251,A:A,O:O)</f>
        <v>#NAME?</v>
      </c>
      <c r="AR251" s="150" t="e">
        <f aca="false">_xlfn.xlookup(AN251,A:A,AH:AH)</f>
        <v>#NAME?</v>
      </c>
      <c r="AS251" s="150" t="e">
        <f aca="false">_xlfn.xlookup(AN251,A:A,S:S)</f>
        <v>#NAME?</v>
      </c>
      <c r="AT251" s="150" t="e">
        <f aca="false">_xlfn.xlookup(AN251,A:A,AE:AE)</f>
        <v>#NAME?</v>
      </c>
      <c r="AU251" s="150" t="e">
        <f aca="false">_xlfn.xlookup(AN251,A:A,AF:AF)</f>
        <v>#NAME?</v>
      </c>
      <c r="BB251" s="246"/>
      <c r="BC251" s="246"/>
      <c r="BD251" s="246"/>
      <c r="BE251" s="246"/>
      <c r="BF251" s="246"/>
      <c r="BH251" s="152" t="e">
        <f aca="false">_xlfn.xlookup(BG251,A:A,F:F)</f>
        <v>#NAME?</v>
      </c>
      <c r="BI251" s="144" t="e">
        <f aca="false">_xlfn.xlookup(BG251,A:A,J:J)</f>
        <v>#NAME?</v>
      </c>
      <c r="BJ251" s="153" t="e">
        <f aca="false">_xlfn.xlookup(BG251,A:A,N:N)+_xlfn.xlookup(BG251,A:A,O:O)</f>
        <v>#NAME?</v>
      </c>
      <c r="BK251" s="153" t="e">
        <f aca="false">_xlfn.xlookup(BG251,A200:A1194,AB200:AB1194)</f>
        <v>#NAME?</v>
      </c>
      <c r="BT251" s="189"/>
    </row>
    <row r="252" customFormat="false" ht="16.4" hidden="false" customHeight="false" outlineLevel="0" collapsed="false">
      <c r="A252" s="140" t="s">
        <v>1213</v>
      </c>
      <c r="B252" s="249" t="s">
        <v>893</v>
      </c>
      <c r="C252" s="174" t="n">
        <v>45713</v>
      </c>
      <c r="D252" s="173" t="n">
        <v>359</v>
      </c>
      <c r="E252" s="138" t="s">
        <v>131</v>
      </c>
      <c r="F252" s="138" t="s">
        <v>131</v>
      </c>
      <c r="G252" s="140" t="s">
        <v>408</v>
      </c>
      <c r="H252" s="173"/>
      <c r="I252" s="173" t="n">
        <v>30011</v>
      </c>
      <c r="J252" s="140" t="s">
        <v>760</v>
      </c>
      <c r="K252" s="140"/>
      <c r="L252" s="175" t="n">
        <v>312</v>
      </c>
      <c r="M252" s="175" t="n">
        <v>180</v>
      </c>
      <c r="N252" s="175" t="n">
        <v>102</v>
      </c>
      <c r="O252" s="175"/>
      <c r="P252" s="175" t="n">
        <v>8.5</v>
      </c>
      <c r="Q252" s="176" t="n">
        <v>0</v>
      </c>
      <c r="R252" s="138" t="n">
        <v>0.375</v>
      </c>
      <c r="S252" s="177" t="n">
        <v>0</v>
      </c>
      <c r="T252" s="215"/>
      <c r="U252" s="178" t="n">
        <v>0.28357864079936</v>
      </c>
      <c r="V252" s="177" t="n">
        <v>28.9250213615347</v>
      </c>
      <c r="W252" s="177" t="n">
        <v>8.5073592239808</v>
      </c>
      <c r="X252" s="179" t="n">
        <v>0.0961538461538462</v>
      </c>
      <c r="Y252" s="177" t="n">
        <v>1.43791666666667</v>
      </c>
      <c r="Z252" s="177" t="n">
        <v>0</v>
      </c>
      <c r="AA252" s="177" t="n">
        <v>22.5360576923077</v>
      </c>
      <c r="AB252" s="177" t="n">
        <v>61.4063549444899</v>
      </c>
      <c r="AC252" s="215" t="n">
        <v>0</v>
      </c>
      <c r="AD252" s="215"/>
      <c r="AE252" s="177" t="n">
        <v>0</v>
      </c>
      <c r="AF252" s="177" t="n">
        <v>-61.4063549444899</v>
      </c>
      <c r="AG252" s="181"/>
      <c r="AH252" s="180" t="n">
        <v>37.4323805855155</v>
      </c>
      <c r="AI252" s="181"/>
      <c r="AJ252" s="181" t="s">
        <v>895</v>
      </c>
      <c r="AK252" s="181" t="s">
        <v>1213</v>
      </c>
      <c r="AL252" s="182" t="n">
        <v>0.832682727077168</v>
      </c>
      <c r="AN252" s="144" t="e">
        <v>#NAME?</v>
      </c>
      <c r="AO252" s="144" t="e">
        <f aca="false">_xlfn.xlookup(AN252,A:A,F:F)</f>
        <v>#NAME?</v>
      </c>
      <c r="AP252" s="144" t="e">
        <f aca="false">_xlfn.xlookup(AN252,A:A,J:J)</f>
        <v>#NAME?</v>
      </c>
      <c r="AQ252" s="144" t="e">
        <f aca="false">_xlfn.xlookup(AN252,A:A,N:N)+_xlfn.xlookup(AN252,A:A,O:O)</f>
        <v>#NAME?</v>
      </c>
      <c r="AR252" s="150" t="e">
        <f aca="false">_xlfn.xlookup(AN252,A:A,AH:AH)</f>
        <v>#NAME?</v>
      </c>
      <c r="AS252" s="150" t="e">
        <f aca="false">_xlfn.xlookup(AN252,A:A,S:S)</f>
        <v>#NAME?</v>
      </c>
      <c r="AT252" s="150" t="e">
        <f aca="false">_xlfn.xlookup(AN252,A:A,AE:AE)</f>
        <v>#NAME?</v>
      </c>
      <c r="AU252" s="150" t="e">
        <f aca="false">_xlfn.xlookup(AN252,A:A,AF:AF)</f>
        <v>#NAME?</v>
      </c>
      <c r="BB252" s="246"/>
      <c r="BC252" s="246"/>
      <c r="BD252" s="246"/>
      <c r="BE252" s="246"/>
      <c r="BF252" s="246"/>
      <c r="BH252" s="152" t="e">
        <f aca="false">_xlfn.xlookup(BG252,A:A,F:F)</f>
        <v>#NAME?</v>
      </c>
      <c r="BI252" s="144" t="e">
        <f aca="false">_xlfn.xlookup(BG252,A:A,J:J)</f>
        <v>#NAME?</v>
      </c>
      <c r="BJ252" s="153" t="e">
        <f aca="false">_xlfn.xlookup(BG252,A:A,N:N)+_xlfn.xlookup(BG252,A:A,O:O)</f>
        <v>#NAME?</v>
      </c>
      <c r="BK252" s="153" t="e">
        <f aca="false">_xlfn.xlookup(BG252,A201:A1195,AB201:AB1195)</f>
        <v>#NAME?</v>
      </c>
      <c r="BT252" s="189"/>
    </row>
    <row r="253" customFormat="false" ht="16.4" hidden="false" customHeight="false" outlineLevel="0" collapsed="false">
      <c r="A253" s="140" t="s">
        <v>1214</v>
      </c>
      <c r="B253" s="249" t="s">
        <v>893</v>
      </c>
      <c r="C253" s="174" t="n">
        <v>45707</v>
      </c>
      <c r="D253" s="173" t="n">
        <v>357</v>
      </c>
      <c r="E253" s="138" t="s">
        <v>63</v>
      </c>
      <c r="F253" s="138" t="s">
        <v>500</v>
      </c>
      <c r="G253" s="140" t="n">
        <v>50009215</v>
      </c>
      <c r="H253" s="173" t="n">
        <v>40033</v>
      </c>
      <c r="I253" s="173" t="n">
        <v>30043</v>
      </c>
      <c r="J253" s="140" t="s">
        <v>740</v>
      </c>
      <c r="K253" s="140"/>
      <c r="L253" s="175" t="n">
        <v>45831.91464</v>
      </c>
      <c r="M253" s="175" t="n">
        <v>120</v>
      </c>
      <c r="N253" s="175" t="n">
        <v>44822.4</v>
      </c>
      <c r="O253" s="175"/>
      <c r="P253" s="175" t="n">
        <v>720</v>
      </c>
      <c r="Q253" s="176" t="n">
        <v>6</v>
      </c>
      <c r="R253" s="138" t="n">
        <v>8.5</v>
      </c>
      <c r="S253" s="177" t="n">
        <v>-90.67</v>
      </c>
      <c r="T253" s="215" t="n">
        <v>1.4287</v>
      </c>
      <c r="U253" s="178" t="n">
        <v>0.346913319532401</v>
      </c>
      <c r="V253" s="177" t="n">
        <v>15549.4875734091</v>
      </c>
      <c r="W253" s="177" t="n">
        <v>308.584476535069</v>
      </c>
      <c r="X253" s="179" t="n">
        <v>0.0194081928932481</v>
      </c>
      <c r="Y253" s="177" t="n">
        <v>121.8</v>
      </c>
      <c r="Z253" s="177" t="n">
        <v>130.2</v>
      </c>
      <c r="AA253" s="177" t="n">
        <v>510.817307692308</v>
      </c>
      <c r="AB253" s="177" t="n">
        <v>16530.2193576365</v>
      </c>
      <c r="AC253" s="215" t="n">
        <v>0.31</v>
      </c>
      <c r="AD253" s="215" t="s">
        <v>77</v>
      </c>
      <c r="AE253" s="177" t="n">
        <v>19851.7064928</v>
      </c>
      <c r="AF253" s="177" t="n">
        <v>3321.48713516353</v>
      </c>
      <c r="AG253" s="181" t="n">
        <v>0.167314942741481</v>
      </c>
      <c r="AH253" s="180" t="n">
        <v>15858.0720499442</v>
      </c>
      <c r="AI253" s="181" t="n">
        <v>0.79882664272191</v>
      </c>
      <c r="AJ253" s="181"/>
      <c r="AK253" s="181" t="s">
        <v>1214</v>
      </c>
      <c r="AL253" s="182" t="n">
        <v>0.368793713804626</v>
      </c>
      <c r="AN253" s="144" t="e">
        <v>#NAME?</v>
      </c>
      <c r="AO253" s="144" t="e">
        <f aca="false">_xlfn.xlookup(AN253,A:A,F:F)</f>
        <v>#NAME?</v>
      </c>
      <c r="AP253" s="144" t="e">
        <f aca="false">_xlfn.xlookup(AN253,A:A,J:J)</f>
        <v>#NAME?</v>
      </c>
      <c r="AQ253" s="144" t="e">
        <f aca="false">_xlfn.xlookup(AN253,A:A,N:N)+_xlfn.xlookup(AN253,A:A,O:O)</f>
        <v>#NAME?</v>
      </c>
      <c r="AR253" s="150" t="e">
        <f aca="false">_xlfn.xlookup(AN253,A:A,AH:AH)</f>
        <v>#NAME?</v>
      </c>
      <c r="AS253" s="150" t="e">
        <f aca="false">_xlfn.xlookup(AN253,A:A,S:S)</f>
        <v>#NAME?</v>
      </c>
      <c r="AT253" s="150" t="e">
        <f aca="false">_xlfn.xlookup(AN253,A:A,AE:AE)</f>
        <v>#NAME?</v>
      </c>
      <c r="AU253" s="150" t="e">
        <f aca="false">_xlfn.xlookup(AN253,A:A,AF:AF)</f>
        <v>#NAME?</v>
      </c>
      <c r="BB253" s="246"/>
      <c r="BC253" s="246"/>
      <c r="BD253" s="246"/>
      <c r="BE253" s="246"/>
      <c r="BF253" s="246"/>
      <c r="BH253" s="152" t="e">
        <f aca="false">_xlfn.xlookup(BG253,A:A,F:F)</f>
        <v>#NAME?</v>
      </c>
      <c r="BI253" s="144" t="e">
        <f aca="false">_xlfn.xlookup(BG253,A:A,J:J)</f>
        <v>#NAME?</v>
      </c>
      <c r="BJ253" s="153" t="e">
        <f aca="false">_xlfn.xlookup(BG253,A:A,N:N)+_xlfn.xlookup(BG253,A:A,O:O)</f>
        <v>#NAME?</v>
      </c>
      <c r="BK253" s="153" t="e">
        <f aca="false">_xlfn.xlookup(BG253,A202:A1196,AB202:AB1196)</f>
        <v>#NAME?</v>
      </c>
      <c r="BQ253" s="144" t="str">
        <f aca="false">IF(VALUE(MONTH(C253))&lt;10,YEAR(C253)&amp;"-0"&amp;MONTH(C253),YEAR(C253)&amp;"-"&amp;MONTH(C253))</f>
        <v>2025-02</v>
      </c>
      <c r="BR253" s="144" t="str">
        <f aca="false">J253</f>
        <v>D11-12</v>
      </c>
      <c r="BS253" s="144" t="str">
        <f aca="false">IF(ISNUMBER(FIND("-", BR253)), LEFT(BR253, FIND("-", BR253) - 1), BR253)</f>
        <v>D11</v>
      </c>
      <c r="BT253" s="189" t="n">
        <f aca="false">L253-M253+O253</f>
        <v>45711.91464</v>
      </c>
    </row>
    <row r="254" customFormat="false" ht="16.4" hidden="false" customHeight="false" outlineLevel="0" collapsed="false">
      <c r="A254" s="140" t="s">
        <v>1215</v>
      </c>
      <c r="B254" s="249" t="s">
        <v>893</v>
      </c>
      <c r="C254" s="174" t="n">
        <v>45707</v>
      </c>
      <c r="D254" s="173" t="n">
        <v>358</v>
      </c>
      <c r="E254" s="138" t="s">
        <v>159</v>
      </c>
      <c r="F254" s="138" t="s">
        <v>726</v>
      </c>
      <c r="G254" s="140" t="n">
        <v>179201</v>
      </c>
      <c r="H254" s="173" t="n">
        <v>40144</v>
      </c>
      <c r="I254" s="173" t="n">
        <v>30043</v>
      </c>
      <c r="J254" s="140" t="s">
        <v>740</v>
      </c>
      <c r="K254" s="140"/>
      <c r="L254" s="175" t="n">
        <v>7638.65244</v>
      </c>
      <c r="M254" s="175" t="n">
        <v>0</v>
      </c>
      <c r="N254" s="175" t="n">
        <v>7452</v>
      </c>
      <c r="O254" s="175"/>
      <c r="P254" s="175" t="n">
        <v>120</v>
      </c>
      <c r="Q254" s="176" t="n">
        <v>2</v>
      </c>
      <c r="R254" s="138" t="n">
        <v>2.5</v>
      </c>
      <c r="S254" s="177" t="n">
        <v>143.2</v>
      </c>
      <c r="T254" s="215"/>
      <c r="U254" s="178" t="n">
        <v>0.346913319532401</v>
      </c>
      <c r="V254" s="177" t="n">
        <v>2585.19805715545</v>
      </c>
      <c r="W254" s="177" t="n">
        <v>64.7522175592229</v>
      </c>
      <c r="X254" s="179" t="n">
        <v>0.0244352575884447</v>
      </c>
      <c r="Y254" s="177" t="n">
        <v>20.3</v>
      </c>
      <c r="Z254" s="177" t="n">
        <v>43.4</v>
      </c>
      <c r="AA254" s="177" t="n">
        <v>150.240384615385</v>
      </c>
      <c r="AB254" s="177" t="n">
        <v>3007.09065933006</v>
      </c>
      <c r="AC254" s="215" t="n">
        <v>0.431</v>
      </c>
      <c r="AD254" s="215" t="s">
        <v>88</v>
      </c>
      <c r="AE254" s="177" t="n">
        <v>3211.812</v>
      </c>
      <c r="AF254" s="177" t="n">
        <v>204.721340669939</v>
      </c>
      <c r="AG254" s="181" t="n">
        <v>0.0637401381743199</v>
      </c>
      <c r="AH254" s="180" t="n">
        <v>2649.95027471468</v>
      </c>
      <c r="AI254" s="181" t="n">
        <v>0.825063943566646</v>
      </c>
      <c r="AJ254" s="181"/>
      <c r="AK254" s="181" t="s">
        <v>1215</v>
      </c>
      <c r="AL254" s="182" t="n">
        <v>0.403528000446868</v>
      </c>
      <c r="AN254" s="144" t="e">
        <v>#NAME?</v>
      </c>
      <c r="AO254" s="144" t="e">
        <f aca="false">_xlfn.xlookup(AN254,A:A,F:F)</f>
        <v>#NAME?</v>
      </c>
      <c r="AP254" s="144" t="e">
        <f aca="false">_xlfn.xlookup(AN254,A:A,J:J)</f>
        <v>#NAME?</v>
      </c>
      <c r="AQ254" s="144" t="e">
        <f aca="false">_xlfn.xlookup(AN254,A:A,N:N)+_xlfn.xlookup(AN254,A:A,O:O)</f>
        <v>#NAME?</v>
      </c>
      <c r="AR254" s="150" t="e">
        <f aca="false">_xlfn.xlookup(AN254,A:A,AH:AH)</f>
        <v>#NAME?</v>
      </c>
      <c r="AS254" s="150" t="e">
        <f aca="false">_xlfn.xlookup(AN254,A:A,S:S)</f>
        <v>#NAME?</v>
      </c>
      <c r="AT254" s="150" t="e">
        <f aca="false">_xlfn.xlookup(AN254,A:A,AE:AE)</f>
        <v>#NAME?</v>
      </c>
      <c r="AU254" s="150" t="e">
        <f aca="false">_xlfn.xlookup(AN254,A:A,AF:AF)</f>
        <v>#NAME?</v>
      </c>
      <c r="BB254" s="246"/>
      <c r="BC254" s="246"/>
      <c r="BD254" s="246"/>
      <c r="BE254" s="246"/>
      <c r="BF254" s="246"/>
      <c r="BH254" s="152" t="e">
        <f aca="false">_xlfn.xlookup(BG254,A:A,F:F)</f>
        <v>#NAME?</v>
      </c>
      <c r="BI254" s="144" t="e">
        <f aca="false">_xlfn.xlookup(BG254,A:A,J:J)</f>
        <v>#NAME?</v>
      </c>
      <c r="BJ254" s="153" t="e">
        <f aca="false">_xlfn.xlookup(BG254,A:A,N:N)+_xlfn.xlookup(BG254,A:A,O:O)</f>
        <v>#NAME?</v>
      </c>
      <c r="BK254" s="153" t="e">
        <f aca="false">_xlfn.xlookup(BG254,A203:A1197,AB203:AB1197)</f>
        <v>#NAME?</v>
      </c>
      <c r="BQ254" s="144" t="str">
        <f aca="false">IF(VALUE(MONTH(C254))&lt;10,YEAR(C254)&amp;"-0"&amp;MONTH(C254),YEAR(C254)&amp;"-"&amp;MONTH(C254))</f>
        <v>2025-02</v>
      </c>
      <c r="BR254" s="144" t="str">
        <f aca="false">J254</f>
        <v>D11-12</v>
      </c>
      <c r="BS254" s="144" t="str">
        <f aca="false">IF(ISNUMBER(FIND("-", BR254)), LEFT(BR254, FIND("-", BR254) - 1), BR254)</f>
        <v>D11</v>
      </c>
      <c r="BT254" s="189" t="n">
        <f aca="false">L254-M254+O254</f>
        <v>7638.65244</v>
      </c>
    </row>
    <row r="255" customFormat="false" ht="16.4" hidden="false" customHeight="false" outlineLevel="0" collapsed="false">
      <c r="A255" s="140" t="s">
        <v>1216</v>
      </c>
      <c r="B255" s="249" t="s">
        <v>893</v>
      </c>
      <c r="C255" s="174" t="n">
        <v>45713</v>
      </c>
      <c r="D255" s="173" t="n">
        <v>359</v>
      </c>
      <c r="E255" s="138" t="s">
        <v>94</v>
      </c>
      <c r="F255" s="138" t="s">
        <v>522</v>
      </c>
      <c r="G255" s="140" t="n">
        <v>107832</v>
      </c>
      <c r="H255" s="173" t="n">
        <v>40067</v>
      </c>
      <c r="I255" s="173" t="n">
        <v>30047</v>
      </c>
      <c r="J255" s="140" t="s">
        <v>762</v>
      </c>
      <c r="K255" s="140"/>
      <c r="L255" s="175" t="n">
        <v>14347.492368</v>
      </c>
      <c r="M255" s="175" t="n">
        <v>10770.1968</v>
      </c>
      <c r="N255" s="175" t="n">
        <v>3528</v>
      </c>
      <c r="O255" s="175"/>
      <c r="P255" s="175" t="n">
        <v>120.236</v>
      </c>
      <c r="Q255" s="176" t="n">
        <v>1</v>
      </c>
      <c r="R255" s="138" t="n">
        <v>0.25</v>
      </c>
      <c r="S255" s="177" t="n">
        <f aca="false">-76.15/4</f>
        <v>-19.0375</v>
      </c>
      <c r="T255" s="215" t="n">
        <v>1.437</v>
      </c>
      <c r="U255" s="178" t="n">
        <v>0.259635140959208</v>
      </c>
      <c r="V255" s="177" t="n">
        <v>915.992777304086</v>
      </c>
      <c r="W255" s="177" t="n">
        <v>12.7988617463441</v>
      </c>
      <c r="X255" s="179" t="n">
        <v>0.00343583162378578</v>
      </c>
      <c r="Y255" s="177" t="n">
        <v>20.3399233333333</v>
      </c>
      <c r="Z255" s="177" t="n">
        <v>21.7</v>
      </c>
      <c r="AA255" s="177" t="n">
        <v>15.0240384615385</v>
      </c>
      <c r="AB255" s="177" t="n">
        <v>966.818100845301</v>
      </c>
      <c r="AC255" s="215" t="n">
        <v>0.28</v>
      </c>
      <c r="AD255" s="215" t="s">
        <v>77</v>
      </c>
      <c r="AE255" s="177" t="n">
        <v>1419.52608</v>
      </c>
      <c r="AF255" s="177" t="n">
        <v>452.707979154699</v>
      </c>
      <c r="AG255" s="181" t="n">
        <v>0.318914872740273</v>
      </c>
      <c r="AH255" s="180" t="n">
        <v>928.79163905043</v>
      </c>
      <c r="AI255" s="181" t="n">
        <v>0.654296988365603</v>
      </c>
      <c r="AJ255" s="181"/>
      <c r="AK255" s="262" t="s">
        <v>1216</v>
      </c>
      <c r="AL255" s="182" t="n">
        <v>0.274041411804224</v>
      </c>
      <c r="AN255" s="144" t="e">
        <v>#NAME?</v>
      </c>
      <c r="AO255" s="144" t="e">
        <f aca="false">_xlfn.xlookup(AN255,A:A,F:F)</f>
        <v>#NAME?</v>
      </c>
      <c r="AP255" s="144" t="e">
        <f aca="false">_xlfn.xlookup(AN255,A:A,J:J)</f>
        <v>#NAME?</v>
      </c>
      <c r="AQ255" s="144" t="e">
        <f aca="false">_xlfn.xlookup(AN255,A:A,N:N)+_xlfn.xlookup(AN255,A:A,O:O)</f>
        <v>#NAME?</v>
      </c>
      <c r="AR255" s="150" t="e">
        <f aca="false">_xlfn.xlookup(AN255,A:A,AH:AH)</f>
        <v>#NAME?</v>
      </c>
      <c r="AS255" s="150" t="e">
        <f aca="false">_xlfn.xlookup(AN255,A:A,S:S)</f>
        <v>#NAME?</v>
      </c>
      <c r="AT255" s="150" t="e">
        <f aca="false">_xlfn.xlookup(AN255,A:A,AE:AE)</f>
        <v>#NAME?</v>
      </c>
      <c r="AU255" s="150" t="e">
        <f aca="false">_xlfn.xlookup(AN255,A:A,AF:AF)</f>
        <v>#NAME?</v>
      </c>
      <c r="BB255" s="246"/>
      <c r="BC255" s="246"/>
      <c r="BD255" s="246"/>
      <c r="BE255" s="246"/>
      <c r="BF255" s="246"/>
      <c r="BH255" s="152" t="e">
        <f aca="false">_xlfn.xlookup(BG255,A:A,F:F)</f>
        <v>#NAME?</v>
      </c>
      <c r="BI255" s="144" t="e">
        <f aca="false">_xlfn.xlookup(BG255,A:A,J:J)</f>
        <v>#NAME?</v>
      </c>
      <c r="BJ255" s="153" t="e">
        <f aca="false">_xlfn.xlookup(BG255,A:A,N:N)+_xlfn.xlookup(BG255,A:A,O:O)</f>
        <v>#NAME?</v>
      </c>
      <c r="BK255" s="153" t="e">
        <f aca="false">_xlfn.xlookup(BG255,A204:A1198,AB204:AB1198)</f>
        <v>#NAME?</v>
      </c>
      <c r="BQ255" s="144" t="str">
        <f aca="false">IF(VALUE(MONTH(C255))&lt;10,YEAR(C255)&amp;"-0"&amp;MONTH(C255),YEAR(C255)&amp;"-"&amp;MONTH(C255))</f>
        <v>2025-02</v>
      </c>
      <c r="BR255" s="144" t="str">
        <f aca="false">J255</f>
        <v>S15-3</v>
      </c>
      <c r="BS255" s="144" t="str">
        <f aca="false">IF(ISNUMBER(FIND("-", BR255)), LEFT(BR255, FIND("-", BR255) - 1), BR255)</f>
        <v>S15</v>
      </c>
      <c r="BT255" s="189" t="n">
        <f aca="false">L255-M255+O255</f>
        <v>3577.295568</v>
      </c>
    </row>
    <row r="256" customFormat="false" ht="16.4" hidden="false" customHeight="false" outlineLevel="0" collapsed="false">
      <c r="A256" s="140" t="s">
        <v>1217</v>
      </c>
      <c r="B256" s="249" t="s">
        <v>893</v>
      </c>
      <c r="C256" s="174" t="n">
        <v>45708</v>
      </c>
      <c r="D256" s="173" t="n">
        <v>360</v>
      </c>
      <c r="E256" s="138" t="s">
        <v>248</v>
      </c>
      <c r="F256" s="138" t="s">
        <v>527</v>
      </c>
      <c r="G256" s="140" t="s">
        <v>410</v>
      </c>
      <c r="H256" s="173" t="n">
        <v>40306</v>
      </c>
      <c r="I256" s="173" t="n">
        <v>30043</v>
      </c>
      <c r="J256" s="140" t="s">
        <v>740</v>
      </c>
      <c r="K256" s="140"/>
      <c r="L256" s="175" t="n">
        <v>7638.65244</v>
      </c>
      <c r="M256" s="175" t="n">
        <v>0</v>
      </c>
      <c r="N256" s="175" t="n">
        <v>7488</v>
      </c>
      <c r="O256" s="175"/>
      <c r="P256" s="175" t="n">
        <v>60</v>
      </c>
      <c r="Q256" s="176" t="n">
        <v>2</v>
      </c>
      <c r="R256" s="138" t="n">
        <v>2.25</v>
      </c>
      <c r="S256" s="177" t="n">
        <v>190</v>
      </c>
      <c r="T256" s="215"/>
      <c r="U256" s="178" t="n">
        <v>0.346913319532401</v>
      </c>
      <c r="V256" s="177" t="n">
        <v>2597.68693665862</v>
      </c>
      <c r="W256" s="177" t="n">
        <v>52.2633380560565</v>
      </c>
      <c r="X256" s="179" t="n">
        <v>0.0197223844366981</v>
      </c>
      <c r="Y256" s="177" t="n">
        <v>10.15</v>
      </c>
      <c r="Z256" s="177" t="n">
        <v>43.4</v>
      </c>
      <c r="AA256" s="177" t="n">
        <v>135.216346153846</v>
      </c>
      <c r="AB256" s="177" t="n">
        <v>3028.71662086852</v>
      </c>
      <c r="AC256" s="215" t="n">
        <v>0.472</v>
      </c>
      <c r="AD256" s="215" t="s">
        <v>88</v>
      </c>
      <c r="AE256" s="177" t="n">
        <v>3534.336</v>
      </c>
      <c r="AF256" s="177" t="n">
        <v>505.619379131477</v>
      </c>
      <c r="AG256" s="181" t="n">
        <v>0.143059227852552</v>
      </c>
      <c r="AH256" s="180" t="n">
        <v>2649.95027471468</v>
      </c>
      <c r="AI256" s="181" t="n">
        <v>0.749773160988281</v>
      </c>
      <c r="AJ256" s="181"/>
      <c r="AK256" s="181" t="s">
        <v>1217</v>
      </c>
      <c r="AL256" s="182" t="n">
        <v>0.404476044453595</v>
      </c>
      <c r="AN256" s="144" t="e">
        <v>#NAME?</v>
      </c>
      <c r="AO256" s="144" t="e">
        <f aca="false">_xlfn.xlookup(AN256,A:A,F:F)</f>
        <v>#NAME?</v>
      </c>
      <c r="AP256" s="144" t="e">
        <f aca="false">_xlfn.xlookup(AN256,A:A,J:J)</f>
        <v>#NAME?</v>
      </c>
      <c r="AQ256" s="144" t="e">
        <f aca="false">_xlfn.xlookup(AN256,A:A,N:N)+_xlfn.xlookup(AN256,A:A,O:O)</f>
        <v>#NAME?</v>
      </c>
      <c r="AR256" s="150" t="e">
        <f aca="false">_xlfn.xlookup(AN256,A:A,AH:AH)</f>
        <v>#NAME?</v>
      </c>
      <c r="AS256" s="150" t="e">
        <f aca="false">_xlfn.xlookup(AN256,A:A,S:S)</f>
        <v>#NAME?</v>
      </c>
      <c r="AT256" s="150" t="e">
        <f aca="false">_xlfn.xlookup(AN256,A:A,AE:AE)</f>
        <v>#NAME?</v>
      </c>
      <c r="AU256" s="150" t="e">
        <f aca="false">_xlfn.xlookup(AN256,A:A,AF:AF)</f>
        <v>#NAME?</v>
      </c>
      <c r="BB256" s="246"/>
      <c r="BC256" s="246"/>
      <c r="BD256" s="246"/>
      <c r="BE256" s="246"/>
      <c r="BF256" s="246"/>
      <c r="BH256" s="152" t="e">
        <f aca="false">_xlfn.xlookup(BG256,A:A,F:F)</f>
        <v>#NAME?</v>
      </c>
      <c r="BI256" s="144" t="e">
        <f aca="false">_xlfn.xlookup(BG256,A:A,J:J)</f>
        <v>#NAME?</v>
      </c>
      <c r="BJ256" s="153" t="e">
        <f aca="false">_xlfn.xlookup(BG256,A:A,N:N)+_xlfn.xlookup(BG256,A:A,O:O)</f>
        <v>#NAME?</v>
      </c>
      <c r="BK256" s="153" t="e">
        <f aca="false">_xlfn.xlookup(BG256,A205:A1199,AB205:AB1199)</f>
        <v>#NAME?</v>
      </c>
      <c r="BQ256" s="144" t="str">
        <f aca="false">IF(VALUE(MONTH(C256))&lt;10,YEAR(C256)&amp;"-0"&amp;MONTH(C256),YEAR(C256)&amp;"-"&amp;MONTH(C256))</f>
        <v>2025-02</v>
      </c>
      <c r="BR256" s="144" t="str">
        <f aca="false">J256</f>
        <v>D11-12</v>
      </c>
      <c r="BS256" s="144" t="str">
        <f aca="false">IF(ISNUMBER(FIND("-", BR256)), LEFT(BR256, FIND("-", BR256) - 1), BR256)</f>
        <v>D11</v>
      </c>
      <c r="BT256" s="189" t="n">
        <f aca="false">L256-M256+O256</f>
        <v>7638.65244</v>
      </c>
    </row>
    <row r="257" customFormat="false" ht="16.4" hidden="false" customHeight="false" outlineLevel="0" collapsed="false">
      <c r="A257" s="140" t="s">
        <v>1218</v>
      </c>
      <c r="B257" s="249" t="s">
        <v>893</v>
      </c>
      <c r="C257" s="174" t="n">
        <v>45708</v>
      </c>
      <c r="D257" s="173" t="n">
        <v>0</v>
      </c>
      <c r="E257" s="138" t="s">
        <v>159</v>
      </c>
      <c r="F257" s="138" t="s">
        <v>726</v>
      </c>
      <c r="G257" s="140" t="s">
        <v>113</v>
      </c>
      <c r="H257" s="173" t="n">
        <v>40308</v>
      </c>
      <c r="I257" s="173" t="n">
        <v>30027</v>
      </c>
      <c r="J257" s="140" t="s">
        <v>768</v>
      </c>
      <c r="K257" s="140"/>
      <c r="L257" s="175" t="n">
        <v>242.25</v>
      </c>
      <c r="M257" s="175" t="n">
        <v>83.45</v>
      </c>
      <c r="N257" s="175" t="n">
        <v>199.8</v>
      </c>
      <c r="O257" s="175"/>
      <c r="P257" s="175" t="n">
        <v>9</v>
      </c>
      <c r="Q257" s="176" t="n">
        <v>0</v>
      </c>
      <c r="R257" s="138" t="n">
        <v>0.25</v>
      </c>
      <c r="S257" s="177" t="n">
        <v>0</v>
      </c>
      <c r="T257" s="215"/>
      <c r="U257" s="178" t="n">
        <v>0.307208514182256</v>
      </c>
      <c r="V257" s="177" t="n">
        <v>61.3802611336147</v>
      </c>
      <c r="W257" s="177" t="n">
        <v>-12.5955490814725</v>
      </c>
      <c r="X257" s="179" t="n">
        <v>-0.169246646026832</v>
      </c>
      <c r="Y257" s="177" t="n">
        <v>1.5225</v>
      </c>
      <c r="Z257" s="177" t="n">
        <v>0</v>
      </c>
      <c r="AA257" s="177" t="n">
        <v>15.0240384615385</v>
      </c>
      <c r="AB257" s="177" t="n">
        <v>65.3312505136807</v>
      </c>
      <c r="AC257" s="215" t="n">
        <v>0</v>
      </c>
      <c r="AD257" s="215" t="s">
        <v>88</v>
      </c>
      <c r="AE257" s="177" t="n">
        <v>0</v>
      </c>
      <c r="AF257" s="177" t="n">
        <v>-65.3312505136807</v>
      </c>
      <c r="AG257" s="181"/>
      <c r="AH257" s="180" t="n">
        <v>48.7847120521422</v>
      </c>
      <c r="AI257" s="181"/>
      <c r="AJ257" s="181" t="s">
        <v>895</v>
      </c>
      <c r="AK257" s="181" t="s">
        <v>1218</v>
      </c>
      <c r="AL257" s="182" t="n">
        <v>0.326983235804208</v>
      </c>
      <c r="AN257" s="144" t="e">
        <v>#NAME?</v>
      </c>
      <c r="AO257" s="144" t="e">
        <f aca="false">_xlfn.xlookup(AN257,A:A,F:F)</f>
        <v>#NAME?</v>
      </c>
      <c r="AP257" s="144" t="e">
        <f aca="false">_xlfn.xlookup(AN257,A:A,J:J)</f>
        <v>#NAME?</v>
      </c>
      <c r="AQ257" s="144" t="e">
        <f aca="false">_xlfn.xlookup(AN257,A:A,N:N)+_xlfn.xlookup(AN257,A:A,O:O)</f>
        <v>#NAME?</v>
      </c>
      <c r="AR257" s="150" t="e">
        <f aca="false">_xlfn.xlookup(AN257,A:A,AH:AH)</f>
        <v>#NAME?</v>
      </c>
      <c r="AS257" s="150" t="e">
        <f aca="false">_xlfn.xlookup(AN257,A:A,S:S)</f>
        <v>#NAME?</v>
      </c>
      <c r="AT257" s="150" t="e">
        <f aca="false">_xlfn.xlookup(AN257,A:A,AE:AE)</f>
        <v>#NAME?</v>
      </c>
      <c r="AU257" s="150" t="e">
        <f aca="false">_xlfn.xlookup(AN257,A:A,AF:AF)</f>
        <v>#NAME?</v>
      </c>
      <c r="BB257" s="246"/>
      <c r="BC257" s="246"/>
      <c r="BD257" s="246"/>
      <c r="BE257" s="246"/>
      <c r="BF257" s="246"/>
      <c r="BH257" s="152" t="e">
        <f aca="false">_xlfn.xlookup(BG257,A:A,F:F)</f>
        <v>#NAME?</v>
      </c>
      <c r="BI257" s="144" t="e">
        <f aca="false">_xlfn.xlookup(BG257,A:A,J:J)</f>
        <v>#NAME?</v>
      </c>
      <c r="BJ257" s="153" t="e">
        <f aca="false">_xlfn.xlookup(BG257,A:A,N:N)+_xlfn.xlookup(BG257,A:A,O:O)</f>
        <v>#NAME?</v>
      </c>
      <c r="BK257" s="153" t="e">
        <f aca="false">_xlfn.xlookup(BG257,A206:A1200,AB206:AB1200)</f>
        <v>#NAME?</v>
      </c>
      <c r="BQ257" s="144" t="str">
        <f aca="false">IF(VALUE(MONTH(C257))&lt;10,YEAR(C257)&amp;"-0"&amp;MONTH(C257),YEAR(C257)&amp;"-"&amp;MONTH(C257))</f>
        <v>2025-02</v>
      </c>
      <c r="BR257" s="144" t="str">
        <f aca="false">J257</f>
        <v>B25-3</v>
      </c>
      <c r="BS257" s="144" t="str">
        <f aca="false">IF(ISNUMBER(FIND("-", BR257)), LEFT(BR257, FIND("-", BR257) - 1), BR257)</f>
        <v>B25</v>
      </c>
      <c r="BT257" s="189" t="n">
        <f aca="false">L257-M257+O257</f>
        <v>158.8</v>
      </c>
    </row>
    <row r="258" customFormat="false" ht="16.4" hidden="false" customHeight="false" outlineLevel="0" collapsed="false">
      <c r="A258" s="140" t="s">
        <v>1219</v>
      </c>
      <c r="B258" s="249" t="s">
        <v>893</v>
      </c>
      <c r="C258" s="174" t="n">
        <v>45708</v>
      </c>
      <c r="D258" s="173" t="n">
        <v>0</v>
      </c>
      <c r="E258" s="138" t="s">
        <v>131</v>
      </c>
      <c r="F258" s="138" t="s">
        <v>131</v>
      </c>
      <c r="G258" s="140" t="s">
        <v>408</v>
      </c>
      <c r="H258" s="173"/>
      <c r="I258" s="173" t="n">
        <v>30027</v>
      </c>
      <c r="J258" s="140" t="s">
        <v>768</v>
      </c>
      <c r="K258" s="140"/>
      <c r="L258" s="175" t="n">
        <v>242.25</v>
      </c>
      <c r="M258" s="175" t="n">
        <v>83.45</v>
      </c>
      <c r="N258" s="175" t="n">
        <v>102</v>
      </c>
      <c r="O258" s="175"/>
      <c r="P258" s="175" t="n">
        <v>8.5</v>
      </c>
      <c r="Q258" s="176" t="n">
        <v>0</v>
      </c>
      <c r="R258" s="138" t="n">
        <v>0.25</v>
      </c>
      <c r="S258" s="177" t="n">
        <v>0</v>
      </c>
      <c r="T258" s="215"/>
      <c r="U258" s="178" t="n">
        <v>0.307208514182256</v>
      </c>
      <c r="V258" s="177" t="n">
        <v>31.3352684465901</v>
      </c>
      <c r="W258" s="177" t="n">
        <v>17.4494436055521</v>
      </c>
      <c r="X258" s="179" t="n">
        <v>0.234468524251806</v>
      </c>
      <c r="Y258" s="177" t="n">
        <v>1.43791666666667</v>
      </c>
      <c r="Z258" s="177" t="n">
        <v>0</v>
      </c>
      <c r="AA258" s="177" t="n">
        <v>15.0240384615385</v>
      </c>
      <c r="AB258" s="177" t="n">
        <v>65.2466671803474</v>
      </c>
      <c r="AC258" s="215" t="n">
        <v>0</v>
      </c>
      <c r="AD258" s="215"/>
      <c r="AE258" s="177" t="n">
        <v>0</v>
      </c>
      <c r="AF258" s="177" t="n">
        <v>-65.2466671803474</v>
      </c>
      <c r="AG258" s="181"/>
      <c r="AH258" s="180" t="n">
        <v>48.7847120521422</v>
      </c>
      <c r="AI258" s="181"/>
      <c r="AJ258" s="181" t="s">
        <v>895</v>
      </c>
      <c r="AK258" s="181" t="s">
        <v>1219</v>
      </c>
      <c r="AL258" s="182" t="n">
        <v>1.67367201606949</v>
      </c>
      <c r="AN258" s="144" t="e">
        <v>#NAME?</v>
      </c>
      <c r="AO258" s="144" t="e">
        <f aca="false">_xlfn.xlookup(AN258,A:A,F:F)</f>
        <v>#NAME?</v>
      </c>
      <c r="AP258" s="144" t="e">
        <f aca="false">_xlfn.xlookup(AN258,A:A,J:J)</f>
        <v>#NAME?</v>
      </c>
      <c r="AQ258" s="144" t="e">
        <f aca="false">_xlfn.xlookup(AN258,A:A,N:N)+_xlfn.xlookup(AN258,A:A,O:O)</f>
        <v>#NAME?</v>
      </c>
      <c r="AR258" s="150" t="e">
        <f aca="false">_xlfn.xlookup(AN258,A:A,AH:AH)</f>
        <v>#NAME?</v>
      </c>
      <c r="AS258" s="150" t="e">
        <f aca="false">_xlfn.xlookup(AN258,A:A,S:S)</f>
        <v>#NAME?</v>
      </c>
      <c r="AT258" s="150" t="e">
        <f aca="false">_xlfn.xlookup(AN258,A:A,AE:AE)</f>
        <v>#NAME?</v>
      </c>
      <c r="AU258" s="150" t="e">
        <f aca="false">_xlfn.xlookup(AN258,A:A,AF:AF)</f>
        <v>#NAME?</v>
      </c>
      <c r="BB258" s="246"/>
      <c r="BC258" s="246"/>
      <c r="BD258" s="246"/>
      <c r="BE258" s="246"/>
      <c r="BF258" s="246"/>
      <c r="BH258" s="152" t="e">
        <f aca="false">_xlfn.xlookup(BG258,A:A,F:F)</f>
        <v>#NAME?</v>
      </c>
      <c r="BI258" s="144" t="e">
        <f aca="false">_xlfn.xlookup(BG258,A:A,J:J)</f>
        <v>#NAME?</v>
      </c>
      <c r="BJ258" s="153" t="e">
        <f aca="false">_xlfn.xlookup(BG258,A:A,N:N)+_xlfn.xlookup(BG258,A:A,O:O)</f>
        <v>#NAME?</v>
      </c>
      <c r="BK258" s="153" t="e">
        <f aca="false">_xlfn.xlookup(BG258,A207:A1201,AB207:AB1201)</f>
        <v>#NAME?</v>
      </c>
      <c r="BT258" s="189"/>
    </row>
    <row r="259" customFormat="false" ht="16.4" hidden="false" customHeight="false" outlineLevel="0" collapsed="false">
      <c r="A259" s="140" t="s">
        <v>1220</v>
      </c>
      <c r="B259" s="249" t="s">
        <v>893</v>
      </c>
      <c r="C259" s="174" t="n">
        <v>45712</v>
      </c>
      <c r="D259" s="173" t="n">
        <v>361</v>
      </c>
      <c r="E259" s="138" t="s">
        <v>94</v>
      </c>
      <c r="F259" s="138" t="s">
        <v>522</v>
      </c>
      <c r="G259" s="140" t="n">
        <v>107899</v>
      </c>
      <c r="H259" s="173" t="n">
        <v>40117</v>
      </c>
      <c r="I259" s="173" t="n">
        <v>30047</v>
      </c>
      <c r="J259" s="140" t="s">
        <v>762</v>
      </c>
      <c r="K259" s="140"/>
      <c r="L259" s="175" t="n">
        <v>10770.1968</v>
      </c>
      <c r="M259" s="175" t="n">
        <v>3614.16</v>
      </c>
      <c r="N259" s="175" t="n">
        <v>7056</v>
      </c>
      <c r="O259" s="175"/>
      <c r="P259" s="175" t="n">
        <v>180.236</v>
      </c>
      <c r="Q259" s="176" t="n">
        <v>2</v>
      </c>
      <c r="R259" s="138" t="n">
        <v>0.75</v>
      </c>
      <c r="S259" s="177" t="n">
        <f aca="false">-76.15/2</f>
        <v>-38.075</v>
      </c>
      <c r="T259" s="215" t="n">
        <v>1.437</v>
      </c>
      <c r="U259" s="178" t="n">
        <v>0.259635140959208</v>
      </c>
      <c r="V259" s="177" t="n">
        <v>1831.98555460817</v>
      </c>
      <c r="W259" s="177" t="n">
        <v>25.9730686691085</v>
      </c>
      <c r="X259" s="179" t="n">
        <v>0.00928829824168131</v>
      </c>
      <c r="Y259" s="177" t="n">
        <v>30.4899233333333</v>
      </c>
      <c r="Z259" s="177" t="n">
        <v>43.4</v>
      </c>
      <c r="AA259" s="177" t="n">
        <v>45.0721153846154</v>
      </c>
      <c r="AB259" s="177" t="n">
        <v>1938.84566199523</v>
      </c>
      <c r="AC259" s="215" t="n">
        <v>0.28</v>
      </c>
      <c r="AD259" s="215" t="s">
        <v>77</v>
      </c>
      <c r="AE259" s="177" t="n">
        <v>2839.05216</v>
      </c>
      <c r="AF259" s="177" t="n">
        <v>900.206498004772</v>
      </c>
      <c r="AG259" s="181" t="n">
        <v>0.317079943330373</v>
      </c>
      <c r="AH259" s="180" t="n">
        <v>1857.95862327728</v>
      </c>
      <c r="AI259" s="181" t="n">
        <v>0.654429196284044</v>
      </c>
      <c r="AJ259" s="181"/>
      <c r="AK259" s="262" t="s">
        <v>1220</v>
      </c>
      <c r="AL259" s="182" t="n">
        <v>0.274779714001591</v>
      </c>
      <c r="AN259" s="144" t="e">
        <v>#NAME?</v>
      </c>
      <c r="AO259" s="144" t="e">
        <f aca="false">_xlfn.xlookup(AN259,A:A,F:F)</f>
        <v>#NAME?</v>
      </c>
      <c r="AP259" s="144" t="e">
        <f aca="false">_xlfn.xlookup(AN259,A:A,J:J)</f>
        <v>#NAME?</v>
      </c>
      <c r="AQ259" s="144" t="e">
        <f aca="false">_xlfn.xlookup(AN259,A:A,N:N)+_xlfn.xlookup(AN259,A:A,O:O)</f>
        <v>#NAME?</v>
      </c>
      <c r="AR259" s="150" t="e">
        <f aca="false">_xlfn.xlookup(AN259,A:A,AH:AH)</f>
        <v>#NAME?</v>
      </c>
      <c r="AS259" s="150" t="e">
        <f aca="false">_xlfn.xlookup(AN259,A:A,S:S)</f>
        <v>#NAME?</v>
      </c>
      <c r="AT259" s="150" t="e">
        <f aca="false">_xlfn.xlookup(AN259,A:A,AE:AE)</f>
        <v>#NAME?</v>
      </c>
      <c r="AU259" s="150" t="e">
        <f aca="false">_xlfn.xlookup(AN259,A:A,AF:AF)</f>
        <v>#NAME?</v>
      </c>
      <c r="BB259" s="246"/>
      <c r="BC259" s="246"/>
      <c r="BD259" s="246"/>
      <c r="BE259" s="246"/>
      <c r="BF259" s="246"/>
      <c r="BH259" s="152" t="e">
        <f aca="false">_xlfn.xlookup(BG259,A:A,F:F)</f>
        <v>#NAME?</v>
      </c>
      <c r="BI259" s="144" t="e">
        <f aca="false">_xlfn.xlookup(BG259,A:A,J:J)</f>
        <v>#NAME?</v>
      </c>
      <c r="BJ259" s="153" t="e">
        <f aca="false">_xlfn.xlookup(BG259,A:A,N:N)+_xlfn.xlookup(BG259,A:A,O:O)</f>
        <v>#NAME?</v>
      </c>
      <c r="BK259" s="153" t="e">
        <f aca="false">_xlfn.xlookup(BG259,A208:A1202,AB208:AB1202)</f>
        <v>#NAME?</v>
      </c>
      <c r="BQ259" s="144" t="str">
        <f aca="false">IF(VALUE(MONTH(C259))&lt;10,YEAR(C259)&amp;"-0"&amp;MONTH(C259),YEAR(C259)&amp;"-"&amp;MONTH(C259))</f>
        <v>2025-02</v>
      </c>
      <c r="BR259" s="144" t="str">
        <f aca="false">J259</f>
        <v>S15-3</v>
      </c>
      <c r="BS259" s="144" t="str">
        <f aca="false">IF(ISNUMBER(FIND("-", BR259)), LEFT(BR259, FIND("-", BR259) - 1), BR259)</f>
        <v>S15</v>
      </c>
      <c r="BT259" s="189" t="n">
        <f aca="false">L259-M259+O259</f>
        <v>7156.0368</v>
      </c>
    </row>
    <row r="260" customFormat="false" ht="16.4" hidden="false" customHeight="false" outlineLevel="0" collapsed="false">
      <c r="A260" s="140" t="s">
        <v>1221</v>
      </c>
      <c r="B260" s="249" t="s">
        <v>893</v>
      </c>
      <c r="C260" s="174" t="n">
        <v>45712</v>
      </c>
      <c r="D260" s="173" t="n">
        <v>362</v>
      </c>
      <c r="E260" s="138" t="s">
        <v>94</v>
      </c>
      <c r="F260" s="138" t="s">
        <v>522</v>
      </c>
      <c r="G260" s="140" t="n">
        <v>107945</v>
      </c>
      <c r="H260" s="173" t="n">
        <v>40081</v>
      </c>
      <c r="I260" s="173" t="n">
        <v>30018</v>
      </c>
      <c r="J260" s="140" t="s">
        <v>760</v>
      </c>
      <c r="K260" s="140"/>
      <c r="L260" s="175" t="n">
        <v>7114.32</v>
      </c>
      <c r="M260" s="175" t="n">
        <v>3542.7</v>
      </c>
      <c r="N260" s="175" t="n">
        <v>3492</v>
      </c>
      <c r="O260" s="175"/>
      <c r="P260" s="175" t="n">
        <v>120.25</v>
      </c>
      <c r="Q260" s="176" t="n">
        <v>1</v>
      </c>
      <c r="R260" s="138" t="n">
        <v>1</v>
      </c>
      <c r="S260" s="177" t="n">
        <v>-10.33</v>
      </c>
      <c r="T260" s="263" t="n">
        <v>1.4438</v>
      </c>
      <c r="U260" s="178" t="n">
        <v>0.264285602410524</v>
      </c>
      <c r="V260" s="177" t="n">
        <v>922.88532361755</v>
      </c>
      <c r="W260" s="177" t="n">
        <v>21.0424196639259</v>
      </c>
      <c r="X260" s="179" t="n">
        <v>0.011191512330061</v>
      </c>
      <c r="Y260" s="177" t="n">
        <v>20.3422916666667</v>
      </c>
      <c r="Z260" s="177" t="n">
        <v>21.7</v>
      </c>
      <c r="AA260" s="177" t="n">
        <v>60.0961538461539</v>
      </c>
      <c r="AB260" s="177" t="n">
        <v>1035.7361887943</v>
      </c>
      <c r="AC260" s="215" t="n">
        <v>0.27</v>
      </c>
      <c r="AD260" s="215" t="s">
        <v>77</v>
      </c>
      <c r="AE260" s="177" t="n">
        <v>1361.272392</v>
      </c>
      <c r="AF260" s="177" t="n">
        <v>325.536203205704</v>
      </c>
      <c r="AG260" s="181" t="n">
        <v>0.239141119087431</v>
      </c>
      <c r="AH260" s="180" t="n">
        <v>943.927743281476</v>
      </c>
      <c r="AI260" s="181" t="n">
        <v>0.693415769561479</v>
      </c>
      <c r="AJ260" s="181"/>
      <c r="AK260" s="181" t="s">
        <v>1221</v>
      </c>
      <c r="AL260" s="182" t="n">
        <v>0.296602574110623</v>
      </c>
      <c r="AN260" s="144" t="e">
        <v>#NAME?</v>
      </c>
      <c r="AO260" s="144" t="e">
        <f aca="false">_xlfn.xlookup(AN260,A:A,F:F)</f>
        <v>#NAME?</v>
      </c>
      <c r="AP260" s="144" t="e">
        <f aca="false">_xlfn.xlookup(AN260,A:A,J:J)</f>
        <v>#NAME?</v>
      </c>
      <c r="AQ260" s="144" t="e">
        <f aca="false">_xlfn.xlookup(AN260,A:A,N:N)+_xlfn.xlookup(AN260,A:A,O:O)</f>
        <v>#NAME?</v>
      </c>
      <c r="AR260" s="150" t="e">
        <f aca="false">_xlfn.xlookup(AN260,A:A,AH:AH)</f>
        <v>#NAME?</v>
      </c>
      <c r="AS260" s="150" t="e">
        <f aca="false">_xlfn.xlookup(AN260,A:A,S:S)</f>
        <v>#NAME?</v>
      </c>
      <c r="AT260" s="150" t="e">
        <f aca="false">_xlfn.xlookup(AN260,A:A,AE:AE)</f>
        <v>#NAME?</v>
      </c>
      <c r="AU260" s="150" t="e">
        <f aca="false">_xlfn.xlookup(AN260,A:A,AF:AF)</f>
        <v>#NAME?</v>
      </c>
      <c r="BB260" s="246"/>
      <c r="BC260" s="246"/>
      <c r="BD260" s="246"/>
      <c r="BE260" s="246"/>
      <c r="BF260" s="246"/>
      <c r="BH260" s="152" t="e">
        <f aca="false">_xlfn.xlookup(BG260,A:A,F:F)</f>
        <v>#NAME?</v>
      </c>
      <c r="BI260" s="144" t="e">
        <f aca="false">_xlfn.xlookup(BG260,A:A,J:J)</f>
        <v>#NAME?</v>
      </c>
      <c r="BJ260" s="153" t="e">
        <f aca="false">_xlfn.xlookup(BG260,A:A,N:N)+_xlfn.xlookup(BG260,A:A,O:O)</f>
        <v>#NAME?</v>
      </c>
      <c r="BK260" s="153" t="e">
        <f aca="false">_xlfn.xlookup(BG260,A209:A1203,AB209:AB1203)</f>
        <v>#NAME?</v>
      </c>
      <c r="BQ260" s="144" t="str">
        <f aca="false">IF(VALUE(MONTH(C260))&lt;10,YEAR(C260)&amp;"-0"&amp;MONTH(C260),YEAR(C260)&amp;"-"&amp;MONTH(C260))</f>
        <v>2025-02</v>
      </c>
      <c r="BR260" s="144" t="str">
        <f aca="false">J260</f>
        <v>S21-1</v>
      </c>
      <c r="BS260" s="144" t="str">
        <f aca="false">IF(ISNUMBER(FIND("-", BR260)), LEFT(BR260, FIND("-", BR260) - 1), BR260)</f>
        <v>S21</v>
      </c>
      <c r="BT260" s="189" t="n">
        <f aca="false">L260-M260+O260</f>
        <v>3571.62</v>
      </c>
    </row>
    <row r="261" customFormat="false" ht="16.4" hidden="false" customHeight="false" outlineLevel="0" collapsed="false">
      <c r="A261" s="140" t="s">
        <v>1222</v>
      </c>
      <c r="B261" s="249" t="s">
        <v>893</v>
      </c>
      <c r="C261" s="174" t="n">
        <v>45712</v>
      </c>
      <c r="D261" s="173" t="n">
        <v>363</v>
      </c>
      <c r="E261" s="138" t="s">
        <v>131</v>
      </c>
      <c r="F261" s="138" t="s">
        <v>131</v>
      </c>
      <c r="G261" s="140" t="s">
        <v>1223</v>
      </c>
      <c r="H261" s="173" t="n">
        <v>0</v>
      </c>
      <c r="I261" s="173" t="n">
        <v>30042</v>
      </c>
      <c r="J261" s="140" t="s">
        <v>754</v>
      </c>
      <c r="K261" s="140"/>
      <c r="L261" s="175" t="n">
        <v>7638.65244</v>
      </c>
      <c r="M261" s="175" t="n">
        <v>7388</v>
      </c>
      <c r="N261" s="175" t="n">
        <v>0</v>
      </c>
      <c r="O261" s="175"/>
      <c r="P261" s="175" t="n">
        <v>60</v>
      </c>
      <c r="Q261" s="176" t="n">
        <v>0</v>
      </c>
      <c r="R261" s="138" t="n">
        <v>0.75</v>
      </c>
      <c r="S261" s="177" t="n">
        <v>0</v>
      </c>
      <c r="T261" s="215"/>
      <c r="U261" s="178" t="n">
        <v>0.273486093127953</v>
      </c>
      <c r="V261" s="177" t="n">
        <v>0</v>
      </c>
      <c r="W261" s="177" t="n">
        <v>68.5499565485889</v>
      </c>
      <c r="X261" s="179" t="n">
        <v>0.0328136987471053</v>
      </c>
      <c r="Y261" s="177" t="n">
        <v>10.15</v>
      </c>
      <c r="Z261" s="177" t="n">
        <v>0</v>
      </c>
      <c r="AA261" s="177" t="n">
        <v>45.0721153846154</v>
      </c>
      <c r="AB261" s="177" t="n">
        <v>123.772071933204</v>
      </c>
      <c r="AC261" s="215"/>
      <c r="AD261" s="215"/>
      <c r="AE261" s="177" t="n">
        <v>0</v>
      </c>
      <c r="AF261" s="177" t="n">
        <v>-123.772071933204</v>
      </c>
      <c r="AG261" s="181"/>
      <c r="AH261" s="180" t="n">
        <v>68.5499565485889</v>
      </c>
      <c r="AI261" s="181"/>
      <c r="AJ261" s="181" t="s">
        <v>895</v>
      </c>
      <c r="AK261" s="181" t="s">
        <v>1222</v>
      </c>
      <c r="AL261" s="182" t="n">
        <v>0.299517769966312</v>
      </c>
      <c r="AN261" s="144" t="e">
        <v>#NAME?</v>
      </c>
      <c r="AO261" s="144" t="e">
        <f aca="false">_xlfn.xlookup(AN261,A:A,F:F)</f>
        <v>#NAME?</v>
      </c>
      <c r="AP261" s="144" t="e">
        <f aca="false">_xlfn.xlookup(AN261,A:A,J:J)</f>
        <v>#NAME?</v>
      </c>
      <c r="AQ261" s="144" t="e">
        <f aca="false">_xlfn.xlookup(AN261,A:A,N:N)+_xlfn.xlookup(AN261,A:A,O:O)</f>
        <v>#NAME?</v>
      </c>
      <c r="AR261" s="150" t="e">
        <f aca="false">_xlfn.xlookup(AN261,A:A,AH:AH)</f>
        <v>#NAME?</v>
      </c>
      <c r="AS261" s="150" t="e">
        <f aca="false">_xlfn.xlookup(AN261,A:A,S:S)</f>
        <v>#NAME?</v>
      </c>
      <c r="AT261" s="150" t="e">
        <f aca="false">_xlfn.xlookup(AN261,A:A,AE:AE)</f>
        <v>#NAME?</v>
      </c>
      <c r="AU261" s="150" t="e">
        <f aca="false">_xlfn.xlookup(AN261,A:A,AF:AF)</f>
        <v>#NAME?</v>
      </c>
      <c r="BB261" s="246"/>
      <c r="BC261" s="246"/>
      <c r="BD261" s="246"/>
      <c r="BE261" s="246"/>
      <c r="BF261" s="246"/>
      <c r="BH261" s="152" t="e">
        <f aca="false">_xlfn.xlookup(BG261,A:A,F:F)</f>
        <v>#NAME?</v>
      </c>
      <c r="BI261" s="144" t="e">
        <f aca="false">_xlfn.xlookup(BG261,A:A,J:J)</f>
        <v>#NAME?</v>
      </c>
      <c r="BJ261" s="153" t="e">
        <f aca="false">_xlfn.xlookup(BG261,A:A,N:N)+_xlfn.xlookup(BG261,A:A,O:O)</f>
        <v>#NAME?</v>
      </c>
      <c r="BK261" s="153" t="e">
        <f aca="false">_xlfn.xlookup(BG261,A210:A1204,AB210:AB1204)</f>
        <v>#NAME?</v>
      </c>
      <c r="BQ261" s="144" t="str">
        <f aca="false">IF(VALUE(MONTH(C261))&lt;10,YEAR(C261)&amp;"-0"&amp;MONTH(C261),YEAR(C261)&amp;"-"&amp;MONTH(C261))</f>
        <v>2025-02</v>
      </c>
      <c r="BR261" s="144" t="str">
        <f aca="false">J261</f>
        <v>T11-1</v>
      </c>
      <c r="BS261" s="144" t="str">
        <f aca="false">IF(ISNUMBER(FIND("-", BR261)), LEFT(BR261, FIND("-", BR261) - 1), BR261)</f>
        <v>T11</v>
      </c>
      <c r="BT261" s="189" t="n">
        <f aca="false">L261-M261+O261</f>
        <v>250.652440000001</v>
      </c>
    </row>
    <row r="262" customFormat="false" ht="16.4" hidden="false" customHeight="false" outlineLevel="0" collapsed="false">
      <c r="A262" s="140" t="s">
        <v>1224</v>
      </c>
      <c r="B262" s="249" t="s">
        <v>893</v>
      </c>
      <c r="C262" s="174" t="n">
        <v>45713</v>
      </c>
      <c r="D262" s="173" t="n">
        <v>364</v>
      </c>
      <c r="E262" s="138" t="s">
        <v>300</v>
      </c>
      <c r="F262" s="138" t="s">
        <v>462</v>
      </c>
      <c r="G262" s="140" t="s">
        <v>413</v>
      </c>
      <c r="H262" s="173" t="n">
        <v>40309</v>
      </c>
      <c r="I262" s="173" t="n">
        <v>30039</v>
      </c>
      <c r="J262" s="140" t="s">
        <v>768</v>
      </c>
      <c r="K262" s="140"/>
      <c r="L262" s="175" t="n">
        <v>14228.94792</v>
      </c>
      <c r="M262" s="175" t="n">
        <v>7083.7536</v>
      </c>
      <c r="N262" s="175" t="n">
        <v>7069.5</v>
      </c>
      <c r="O262" s="175"/>
      <c r="P262" s="175" t="n">
        <v>138.986</v>
      </c>
      <c r="Q262" s="176" t="n">
        <v>2</v>
      </c>
      <c r="R262" s="138" t="n">
        <v>3.5</v>
      </c>
      <c r="S262" s="177" t="n">
        <v>190</v>
      </c>
      <c r="T262" s="215"/>
      <c r="U262" s="178" t="n">
        <v>0.289910376924445</v>
      </c>
      <c r="V262" s="177" t="n">
        <v>2049.52140966737</v>
      </c>
      <c r="W262" s="177" t="n">
        <v>21.9445688422397</v>
      </c>
      <c r="X262" s="179" t="n">
        <v>0.00531974116607776</v>
      </c>
      <c r="Y262" s="177" t="n">
        <v>23.5117983333333</v>
      </c>
      <c r="Z262" s="177" t="n">
        <v>43.4</v>
      </c>
      <c r="AA262" s="177" t="n">
        <v>210.336538461538</v>
      </c>
      <c r="AB262" s="177" t="n">
        <v>2538.71431530448</v>
      </c>
      <c r="AC262" s="215" t="n">
        <v>0.472</v>
      </c>
      <c r="AD262" s="215" t="s">
        <v>88</v>
      </c>
      <c r="AE262" s="177" t="n">
        <v>3336.804</v>
      </c>
      <c r="AF262" s="177" t="n">
        <v>798.089684695521</v>
      </c>
      <c r="AG262" s="181" t="n">
        <v>0.239177873406865</v>
      </c>
      <c r="AH262" s="180" t="n">
        <v>2071.46597850961</v>
      </c>
      <c r="AI262" s="181" t="n">
        <v>0.620793423440396</v>
      </c>
      <c r="AJ262" s="181"/>
      <c r="AK262" s="181" t="s">
        <v>1224</v>
      </c>
      <c r="AL262" s="182" t="n">
        <v>0.35910804375196</v>
      </c>
      <c r="AN262" s="144" t="e">
        <v>#NAME?</v>
      </c>
      <c r="AO262" s="144" t="e">
        <f aca="false">_xlfn.xlookup(AN262,A:A,F:F)</f>
        <v>#NAME?</v>
      </c>
      <c r="AP262" s="144" t="e">
        <f aca="false">_xlfn.xlookup(AN262,A:A,J:J)</f>
        <v>#NAME?</v>
      </c>
      <c r="AQ262" s="144" t="e">
        <f aca="false">_xlfn.xlookup(AN262,A:A,N:N)+_xlfn.xlookup(AN262,A:A,O:O)</f>
        <v>#NAME?</v>
      </c>
      <c r="AR262" s="150" t="e">
        <f aca="false">_xlfn.xlookup(AN262,A:A,AH:AH)</f>
        <v>#NAME?</v>
      </c>
      <c r="AS262" s="150" t="e">
        <f aca="false">_xlfn.xlookup(AN262,A:A,S:S)</f>
        <v>#NAME?</v>
      </c>
      <c r="AT262" s="150" t="e">
        <f aca="false">_xlfn.xlookup(AN262,A:A,AE:AE)</f>
        <v>#NAME?</v>
      </c>
      <c r="AU262" s="150" t="e">
        <f aca="false">_xlfn.xlookup(AN262,A:A,AF:AF)</f>
        <v>#NAME?</v>
      </c>
      <c r="BB262" s="246"/>
      <c r="BC262" s="246"/>
      <c r="BD262" s="246"/>
      <c r="BE262" s="246"/>
      <c r="BF262" s="246"/>
      <c r="BH262" s="152" t="e">
        <f aca="false">_xlfn.xlookup(BG262,A:A,F:F)</f>
        <v>#NAME?</v>
      </c>
      <c r="BI262" s="144" t="e">
        <f aca="false">_xlfn.xlookup(BG262,A:A,J:J)</f>
        <v>#NAME?</v>
      </c>
      <c r="BJ262" s="153" t="e">
        <f aca="false">_xlfn.xlookup(BG262,A:A,N:N)+_xlfn.xlookup(BG262,A:A,O:O)</f>
        <v>#NAME?</v>
      </c>
      <c r="BK262" s="153" t="e">
        <f aca="false">_xlfn.xlookup(BG262,A211:A1205,AB211:AB1205)</f>
        <v>#NAME?</v>
      </c>
      <c r="BQ262" s="144" t="str">
        <f aca="false">IF(VALUE(MONTH(C262))&lt;10,YEAR(C262)&amp;"-0"&amp;MONTH(C262),YEAR(C262)&amp;"-"&amp;MONTH(C262))</f>
        <v>2025-02</v>
      </c>
      <c r="BR262" s="144" t="str">
        <f aca="false">J262</f>
        <v>B25-3</v>
      </c>
      <c r="BS262" s="144" t="str">
        <f aca="false">IF(ISNUMBER(FIND("-", BR262)), LEFT(BR262, FIND("-", BR262) - 1), BR262)</f>
        <v>B25</v>
      </c>
      <c r="BT262" s="189" t="n">
        <f aca="false">L262-M262+O262</f>
        <v>7145.19432</v>
      </c>
    </row>
    <row r="263" customFormat="false" ht="16.4" hidden="false" customHeight="false" outlineLevel="0" collapsed="false">
      <c r="A263" s="140" t="s">
        <v>1225</v>
      </c>
      <c r="B263" s="249" t="s">
        <v>893</v>
      </c>
      <c r="C263" s="174" t="n">
        <v>45713</v>
      </c>
      <c r="D263" s="173" t="n">
        <v>0</v>
      </c>
      <c r="E263" s="138" t="s">
        <v>131</v>
      </c>
      <c r="F263" s="138" t="s">
        <v>131</v>
      </c>
      <c r="G263" s="261" t="b">
        <f aca="false">FALSE()</f>
        <v>0</v>
      </c>
      <c r="H263" s="173" t="n">
        <v>40298</v>
      </c>
      <c r="I263" s="173" t="n">
        <v>30016</v>
      </c>
      <c r="J263" s="140" t="s">
        <v>764</v>
      </c>
      <c r="K263" s="140"/>
      <c r="L263" s="175" t="n">
        <v>1306.8</v>
      </c>
      <c r="M263" s="175" t="n">
        <v>1169.1</v>
      </c>
      <c r="N263" s="175" t="n">
        <v>102</v>
      </c>
      <c r="O263" s="175"/>
      <c r="P263" s="175" t="n">
        <v>49.5</v>
      </c>
      <c r="Q263" s="176" t="n">
        <v>0</v>
      </c>
      <c r="R263" s="138" t="n">
        <v>0.5</v>
      </c>
      <c r="S263" s="177" t="n">
        <v>0</v>
      </c>
      <c r="T263" s="215"/>
      <c r="U263" s="178" t="n">
        <v>0.326284886247867</v>
      </c>
      <c r="V263" s="177" t="n">
        <v>33.2810583972824</v>
      </c>
      <c r="W263" s="177" t="n">
        <v>11.6483704390489</v>
      </c>
      <c r="X263" s="179" t="n">
        <v>0.0273186409550046</v>
      </c>
      <c r="Y263" s="177" t="n">
        <v>8.37375</v>
      </c>
      <c r="Z263" s="177" t="n">
        <v>0</v>
      </c>
      <c r="AA263" s="177" t="n">
        <v>30.0480769230769</v>
      </c>
      <c r="AB263" s="177" t="n">
        <v>83.3512557594082</v>
      </c>
      <c r="AC263" s="215" t="n">
        <v>0</v>
      </c>
      <c r="AD263" s="215" t="s">
        <v>88</v>
      </c>
      <c r="AE263" s="177" t="n">
        <v>0</v>
      </c>
      <c r="AF263" s="177" t="n">
        <v>-83.3512557594082</v>
      </c>
      <c r="AG263" s="181"/>
      <c r="AH263" s="180" t="n">
        <v>44.9294288363313</v>
      </c>
      <c r="AI263" s="181"/>
      <c r="AJ263" s="181" t="s">
        <v>895</v>
      </c>
      <c r="AK263" s="181" t="s">
        <v>1225</v>
      </c>
      <c r="AL263" s="182" t="n">
        <v>0.436010901640681</v>
      </c>
      <c r="AN263" s="144" t="e">
        <v>#NAME?</v>
      </c>
      <c r="AO263" s="144" t="e">
        <f aca="false">_xlfn.xlookup(AN263,A:A,F:F)</f>
        <v>#NAME?</v>
      </c>
      <c r="AP263" s="144" t="e">
        <f aca="false">_xlfn.xlookup(AN263,A:A,J:J)</f>
        <v>#NAME?</v>
      </c>
      <c r="AQ263" s="144" t="e">
        <f aca="false">_xlfn.xlookup(AN263,A:A,N:N)+_xlfn.xlookup(AN263,A:A,O:O)</f>
        <v>#NAME?</v>
      </c>
      <c r="AR263" s="150" t="e">
        <f aca="false">_xlfn.xlookup(AN263,A:A,AH:AH)</f>
        <v>#NAME?</v>
      </c>
      <c r="AS263" s="150" t="e">
        <f aca="false">_xlfn.xlookup(AN263,A:A,S:S)</f>
        <v>#NAME?</v>
      </c>
      <c r="AT263" s="150" t="e">
        <f aca="false">_xlfn.xlookup(AN263,A:A,AE:AE)</f>
        <v>#NAME?</v>
      </c>
      <c r="AU263" s="150" t="e">
        <f aca="false">_xlfn.xlookup(AN263,A:A,AF:AF)</f>
        <v>#NAME?</v>
      </c>
      <c r="BB263" s="246"/>
      <c r="BC263" s="246"/>
      <c r="BD263" s="246"/>
      <c r="BE263" s="246"/>
      <c r="BF263" s="246"/>
      <c r="BH263" s="152" t="e">
        <f aca="false">_xlfn.xlookup(BG263,A:A,F:F)</f>
        <v>#NAME?</v>
      </c>
      <c r="BI263" s="144" t="e">
        <f aca="false">_xlfn.xlookup(BG263,A:A,J:J)</f>
        <v>#NAME?</v>
      </c>
      <c r="BJ263" s="153" t="e">
        <f aca="false">_xlfn.xlookup(BG263,A:A,N:N)+_xlfn.xlookup(BG263,A:A,O:O)</f>
        <v>#NAME?</v>
      </c>
      <c r="BK263" s="153" t="e">
        <f aca="false">_xlfn.xlookup(BG263,A212:A1206,AB212:AB1206)</f>
        <v>#NAME?</v>
      </c>
      <c r="BQ263" s="144" t="str">
        <f aca="false">IF(VALUE(MONTH(C263))&lt;10,YEAR(C263)&amp;"-0"&amp;MONTH(C263),YEAR(C263)&amp;"-"&amp;MONTH(C263))</f>
        <v>2025-02</v>
      </c>
      <c r="BR263" s="144" t="str">
        <f aca="false">J263</f>
        <v>B15-3</v>
      </c>
      <c r="BS263" s="144" t="str">
        <f aca="false">IF(ISNUMBER(FIND("-", BR263)), LEFT(BR263, FIND("-", BR263) - 1), BR263)</f>
        <v>B15</v>
      </c>
      <c r="BT263" s="189" t="n">
        <f aca="false">L263-M263+O263</f>
        <v>137.7</v>
      </c>
    </row>
    <row r="264" customFormat="false" ht="16.4" hidden="false" customHeight="false" outlineLevel="0" collapsed="false">
      <c r="A264" s="140" t="s">
        <v>1226</v>
      </c>
      <c r="B264" s="249" t="s">
        <v>893</v>
      </c>
      <c r="C264" s="174" t="n">
        <v>45713</v>
      </c>
      <c r="D264" s="173" t="n">
        <v>0</v>
      </c>
      <c r="E264" s="138" t="s">
        <v>131</v>
      </c>
      <c r="F264" s="138" t="s">
        <v>131</v>
      </c>
      <c r="G264" s="261" t="b">
        <f aca="false">FALSE()</f>
        <v>0</v>
      </c>
      <c r="H264" s="173" t="n">
        <v>40296</v>
      </c>
      <c r="I264" s="173" t="n">
        <v>30024</v>
      </c>
      <c r="J264" s="140" t="s">
        <v>911</v>
      </c>
      <c r="K264" s="140"/>
      <c r="L264" s="175" t="n">
        <v>590.4</v>
      </c>
      <c r="M264" s="175" t="n">
        <v>471.3</v>
      </c>
      <c r="N264" s="175" t="n">
        <v>102</v>
      </c>
      <c r="O264" s="175"/>
      <c r="P264" s="175" t="n">
        <v>40.6</v>
      </c>
      <c r="Q264" s="176" t="n">
        <v>0</v>
      </c>
      <c r="R264" s="138" t="n">
        <v>0.5</v>
      </c>
      <c r="S264" s="177" t="n">
        <v>0</v>
      </c>
      <c r="T264" s="215"/>
      <c r="U264" s="178" t="n">
        <v>0.286374902011219</v>
      </c>
      <c r="V264" s="177" t="n">
        <v>29.2102400051443</v>
      </c>
      <c r="W264" s="177" t="n">
        <v>4.89701082439185</v>
      </c>
      <c r="X264" s="179" t="n">
        <v>0.0289634146341464</v>
      </c>
      <c r="Y264" s="177" t="n">
        <v>6.86816666666667</v>
      </c>
      <c r="Z264" s="177" t="n">
        <v>0</v>
      </c>
      <c r="AA264" s="177" t="n">
        <v>30.0480769230769</v>
      </c>
      <c r="AB264" s="177" t="n">
        <v>71.0234944192797</v>
      </c>
      <c r="AC264" s="215" t="n">
        <v>0</v>
      </c>
      <c r="AD264" s="215" t="s">
        <v>88</v>
      </c>
      <c r="AE264" s="177" t="n">
        <v>0</v>
      </c>
      <c r="AF264" s="177" t="n">
        <v>-71.0234944192797</v>
      </c>
      <c r="AG264" s="181"/>
      <c r="AH264" s="180" t="n">
        <v>34.1072508295362</v>
      </c>
      <c r="AI264" s="181"/>
      <c r="AJ264" s="181" t="s">
        <v>895</v>
      </c>
      <c r="AK264" s="181" t="s">
        <v>1226</v>
      </c>
      <c r="AL264" s="182" t="n">
        <v>0.509440349176116</v>
      </c>
      <c r="AN264" s="144" t="e">
        <v>#NAME?</v>
      </c>
      <c r="AO264" s="144" t="e">
        <f aca="false">_xlfn.xlookup(AN264,A:A,F:F)</f>
        <v>#NAME?</v>
      </c>
      <c r="AP264" s="144" t="e">
        <f aca="false">_xlfn.xlookup(AN264,A:A,J:J)</f>
        <v>#NAME?</v>
      </c>
      <c r="AQ264" s="144" t="e">
        <f aca="false">_xlfn.xlookup(AN264,A:A,N:N)+_xlfn.xlookup(AN264,A:A,O:O)</f>
        <v>#NAME?</v>
      </c>
      <c r="AR264" s="150" t="e">
        <f aca="false">_xlfn.xlookup(AN264,A:A,AH:AH)</f>
        <v>#NAME?</v>
      </c>
      <c r="AS264" s="150" t="e">
        <f aca="false">_xlfn.xlookup(AN264,A:A,S:S)</f>
        <v>#NAME?</v>
      </c>
      <c r="AT264" s="150" t="e">
        <f aca="false">_xlfn.xlookup(AN264,A:A,AE:AE)</f>
        <v>#NAME?</v>
      </c>
      <c r="AU264" s="150" t="e">
        <f aca="false">_xlfn.xlookup(AN264,A:A,AF:AF)</f>
        <v>#NAME?</v>
      </c>
      <c r="BB264" s="246"/>
      <c r="BC264" s="246"/>
      <c r="BD264" s="246"/>
      <c r="BE264" s="246"/>
      <c r="BF264" s="246"/>
      <c r="BH264" s="152" t="e">
        <f aca="false">_xlfn.xlookup(BG264,A:A,F:F)</f>
        <v>#NAME?</v>
      </c>
      <c r="BI264" s="144" t="e">
        <f aca="false">_xlfn.xlookup(BG264,A:A,J:J)</f>
        <v>#NAME?</v>
      </c>
      <c r="BJ264" s="153" t="e">
        <f aca="false">_xlfn.xlookup(BG264,A:A,N:N)+_xlfn.xlookup(BG264,A:A,O:O)</f>
        <v>#NAME?</v>
      </c>
      <c r="BK264" s="153" t="e">
        <f aca="false">_xlfn.xlookup(BG264,A213:A1207,AB213:AB1207)</f>
        <v>#NAME?</v>
      </c>
      <c r="BQ264" s="144" t="str">
        <f aca="false">IF(VALUE(MONTH(C264))&lt;10,YEAR(C264)&amp;"-0"&amp;MONTH(C264),YEAR(C264)&amp;"-"&amp;MONTH(C264))</f>
        <v>2025-02</v>
      </c>
      <c r="BR264" s="144" t="str">
        <f aca="false">J264</f>
        <v>S31-1</v>
      </c>
      <c r="BS264" s="144" t="str">
        <f aca="false">IF(ISNUMBER(FIND("-", BR264)), LEFT(BR264, FIND("-", BR264) - 1), BR264)</f>
        <v>S31</v>
      </c>
      <c r="BT264" s="189" t="n">
        <f aca="false">L264-M264+O264</f>
        <v>119.1</v>
      </c>
    </row>
    <row r="265" customFormat="false" ht="16.4" hidden="false" customHeight="false" outlineLevel="0" collapsed="false">
      <c r="A265" s="140" t="s">
        <v>1227</v>
      </c>
      <c r="B265" s="249" t="s">
        <v>893</v>
      </c>
      <c r="C265" s="174" t="n">
        <v>45713</v>
      </c>
      <c r="D265" s="173" t="n">
        <v>0</v>
      </c>
      <c r="E265" s="138" t="s">
        <v>131</v>
      </c>
      <c r="F265" s="138" t="s">
        <v>131</v>
      </c>
      <c r="G265" s="261" t="b">
        <f aca="false">FALSE()</f>
        <v>0</v>
      </c>
      <c r="H265" s="173" t="n">
        <v>40277</v>
      </c>
      <c r="I265" s="173" t="n">
        <v>30030</v>
      </c>
      <c r="J265" s="140" t="s">
        <v>790</v>
      </c>
      <c r="K265" s="140"/>
      <c r="L265" s="175" t="n">
        <v>798.525</v>
      </c>
      <c r="M265" s="175" t="n">
        <v>682.74</v>
      </c>
      <c r="N265" s="175" t="n">
        <v>102</v>
      </c>
      <c r="O265" s="175"/>
      <c r="P265" s="175" t="n">
        <v>68.125</v>
      </c>
      <c r="Q265" s="176" t="n">
        <v>0</v>
      </c>
      <c r="R265" s="138" t="n">
        <v>1</v>
      </c>
      <c r="S265" s="177" t="n">
        <v>0</v>
      </c>
      <c r="T265" s="215"/>
      <c r="U265" s="178" t="n">
        <v>0.27644690127903</v>
      </c>
      <c r="V265" s="177" t="n">
        <v>28.1975839304611</v>
      </c>
      <c r="W265" s="177" t="n">
        <v>3.81082053413142</v>
      </c>
      <c r="X265" s="179" t="n">
        <v>0.0172630788015403</v>
      </c>
      <c r="Y265" s="177" t="n">
        <v>11.5244791666667</v>
      </c>
      <c r="Z265" s="177" t="n">
        <v>0</v>
      </c>
      <c r="AA265" s="177" t="n">
        <v>60.0961538461539</v>
      </c>
      <c r="AB265" s="177" t="n">
        <v>103.629037477413</v>
      </c>
      <c r="AC265" s="215" t="n">
        <v>0</v>
      </c>
      <c r="AD265" s="215" t="s">
        <v>88</v>
      </c>
      <c r="AE265" s="177" t="n">
        <v>0</v>
      </c>
      <c r="AF265" s="177" t="n">
        <v>-103.629037477413</v>
      </c>
      <c r="AG265" s="181"/>
      <c r="AH265" s="180" t="n">
        <v>32.0084044645925</v>
      </c>
      <c r="AI265" s="181"/>
      <c r="AJ265" s="181" t="s">
        <v>895</v>
      </c>
      <c r="AK265" s="181" t="s">
        <v>1227</v>
      </c>
      <c r="AL265" s="182" t="n">
        <v>0.475113219265387</v>
      </c>
      <c r="AN265" s="144" t="e">
        <v>#NAME?</v>
      </c>
      <c r="AO265" s="144" t="e">
        <f aca="false">_xlfn.xlookup(AN265,A:A,F:F)</f>
        <v>#NAME?</v>
      </c>
      <c r="AP265" s="144" t="e">
        <f aca="false">_xlfn.xlookup(AN265,A:A,J:J)</f>
        <v>#NAME?</v>
      </c>
      <c r="AQ265" s="144" t="e">
        <f aca="false">_xlfn.xlookup(AN265,A:A,N:N)+_xlfn.xlookup(AN265,A:A,O:O)</f>
        <v>#NAME?</v>
      </c>
      <c r="AR265" s="150" t="e">
        <f aca="false">_xlfn.xlookup(AN265,A:A,AH:AH)</f>
        <v>#NAME?</v>
      </c>
      <c r="AS265" s="150" t="e">
        <f aca="false">_xlfn.xlookup(AN265,A:A,S:S)</f>
        <v>#NAME?</v>
      </c>
      <c r="AT265" s="150" t="e">
        <f aca="false">_xlfn.xlookup(AN265,A:A,AE:AE)</f>
        <v>#NAME?</v>
      </c>
      <c r="AU265" s="150" t="e">
        <f aca="false">_xlfn.xlookup(AN265,A:A,AF:AF)</f>
        <v>#NAME?</v>
      </c>
      <c r="BB265" s="246"/>
      <c r="BC265" s="246"/>
      <c r="BD265" s="246"/>
      <c r="BE265" s="246"/>
      <c r="BF265" s="246"/>
      <c r="BH265" s="152" t="e">
        <f aca="false">_xlfn.xlookup(BG265,A:A,F:F)</f>
        <v>#NAME?</v>
      </c>
      <c r="BI265" s="144" t="e">
        <f aca="false">_xlfn.xlookup(BG265,A:A,J:J)</f>
        <v>#NAME?</v>
      </c>
      <c r="BJ265" s="153" t="e">
        <f aca="false">_xlfn.xlookup(BG265,A:A,N:N)+_xlfn.xlookup(BG265,A:A,O:O)</f>
        <v>#NAME?</v>
      </c>
      <c r="BK265" s="153" t="e">
        <f aca="false">_xlfn.xlookup(BG265,A214:A1208,AB214:AB1208)</f>
        <v>#NAME?</v>
      </c>
      <c r="BQ265" s="144" t="str">
        <f aca="false">IF(VALUE(MONTH(C265))&lt;10,YEAR(C265)&amp;"-0"&amp;MONTH(C265),YEAR(C265)&amp;"-"&amp;MONTH(C265))</f>
        <v>2025-02</v>
      </c>
      <c r="BR265" s="144" t="str">
        <f aca="false">J265</f>
        <v>S35-3</v>
      </c>
      <c r="BS265" s="144" t="str">
        <f aca="false">IF(ISNUMBER(FIND("-", BR265)), LEFT(BR265, FIND("-", BR265) - 1), BR265)</f>
        <v>S35</v>
      </c>
      <c r="BT265" s="189" t="n">
        <f aca="false">L265-M265+O265</f>
        <v>115.785</v>
      </c>
    </row>
    <row r="266" customFormat="false" ht="16.4" hidden="false" customHeight="false" outlineLevel="0" collapsed="false">
      <c r="A266" s="140" t="s">
        <v>1228</v>
      </c>
      <c r="B266" s="249" t="s">
        <v>893</v>
      </c>
      <c r="C266" s="174" t="n">
        <v>45713</v>
      </c>
      <c r="D266" s="173" t="n">
        <v>0</v>
      </c>
      <c r="E266" s="138" t="s">
        <v>131</v>
      </c>
      <c r="F266" s="138" t="s">
        <v>131</v>
      </c>
      <c r="G266" s="261" t="b">
        <f aca="false">FALSE()</f>
        <v>0</v>
      </c>
      <c r="H266" s="173" t="n">
        <v>40144</v>
      </c>
      <c r="I266" s="173" t="n">
        <v>30043</v>
      </c>
      <c r="J266" s="140" t="s">
        <v>740</v>
      </c>
      <c r="K266" s="140"/>
      <c r="L266" s="175" t="n">
        <v>102</v>
      </c>
      <c r="M266" s="175" t="n">
        <v>0</v>
      </c>
      <c r="N266" s="175" t="n">
        <v>102</v>
      </c>
      <c r="O266" s="175"/>
      <c r="P266" s="175" t="n">
        <v>8.5</v>
      </c>
      <c r="Q266" s="176" t="n">
        <v>0</v>
      </c>
      <c r="R266" s="138" t="n">
        <v>0.5</v>
      </c>
      <c r="S266" s="177" t="n">
        <v>0</v>
      </c>
      <c r="T266" s="215"/>
      <c r="U266" s="178" t="n">
        <v>0.346913319532401</v>
      </c>
      <c r="V266" s="177" t="n">
        <v>35.3851585923049</v>
      </c>
      <c r="W266" s="177" t="n">
        <v>0</v>
      </c>
      <c r="X266" s="179" t="n">
        <v>0</v>
      </c>
      <c r="Y266" s="177" t="n">
        <v>1.43791666666667</v>
      </c>
      <c r="Z266" s="177" t="n">
        <v>0</v>
      </c>
      <c r="AA266" s="177" t="n">
        <v>30.0480769230769</v>
      </c>
      <c r="AB266" s="177" t="n">
        <v>66.8711521820485</v>
      </c>
      <c r="AC266" s="215" t="n">
        <v>0</v>
      </c>
      <c r="AD266" s="215" t="s">
        <v>88</v>
      </c>
      <c r="AE266" s="177" t="n">
        <v>0</v>
      </c>
      <c r="AF266" s="177" t="n">
        <v>-66.8711521820485</v>
      </c>
      <c r="AG266" s="181"/>
      <c r="AH266" s="180" t="n">
        <v>35.3851585923049</v>
      </c>
      <c r="AI266" s="181"/>
      <c r="AJ266" s="181" t="s">
        <v>895</v>
      </c>
      <c r="AK266" s="181" t="s">
        <v>1228</v>
      </c>
      <c r="AL266" s="182"/>
      <c r="AN266" s="144" t="e">
        <v>#NAME?</v>
      </c>
      <c r="AO266" s="144" t="e">
        <f aca="false">_xlfn.xlookup(AN266,A:A,F:F)</f>
        <v>#NAME?</v>
      </c>
      <c r="AP266" s="144" t="e">
        <f aca="false">_xlfn.xlookup(AN266,A:A,J:J)</f>
        <v>#NAME?</v>
      </c>
      <c r="AQ266" s="144" t="e">
        <f aca="false">_xlfn.xlookup(AN266,A:A,N:N)+_xlfn.xlookup(AN266,A:A,O:O)</f>
        <v>#NAME?</v>
      </c>
      <c r="AR266" s="150" t="e">
        <f aca="false">_xlfn.xlookup(AN266,A:A,AH:AH)</f>
        <v>#NAME?</v>
      </c>
      <c r="AS266" s="150" t="e">
        <f aca="false">_xlfn.xlookup(AN266,A:A,S:S)</f>
        <v>#NAME?</v>
      </c>
      <c r="AT266" s="150" t="e">
        <f aca="false">_xlfn.xlookup(AN266,A:A,AE:AE)</f>
        <v>#NAME?</v>
      </c>
      <c r="AU266" s="150" t="e">
        <f aca="false">_xlfn.xlookup(AN266,A:A,AF:AF)</f>
        <v>#NAME?</v>
      </c>
      <c r="BB266" s="246"/>
      <c r="BC266" s="246"/>
      <c r="BD266" s="246"/>
      <c r="BE266" s="246"/>
      <c r="BF266" s="246"/>
      <c r="BH266" s="152" t="e">
        <f aca="false">_xlfn.xlookup(BG266,A:A,F:F)</f>
        <v>#NAME?</v>
      </c>
      <c r="BI266" s="144" t="e">
        <f aca="false">_xlfn.xlookup(BG266,A:A,J:J)</f>
        <v>#NAME?</v>
      </c>
      <c r="BJ266" s="153" t="e">
        <f aca="false">_xlfn.xlookup(BG266,A:A,N:N)+_xlfn.xlookup(BG266,A:A,O:O)</f>
        <v>#NAME?</v>
      </c>
      <c r="BK266" s="153" t="e">
        <f aca="false">_xlfn.xlookup(BG266,A215:A1209,AB215:AB1209)</f>
        <v>#NAME?</v>
      </c>
      <c r="BQ266" s="144" t="str">
        <f aca="false">IF(VALUE(MONTH(C266))&lt;10,YEAR(C266)&amp;"-0"&amp;MONTH(C266),YEAR(C266)&amp;"-"&amp;MONTH(C266))</f>
        <v>2025-02</v>
      </c>
      <c r="BR266" s="144" t="str">
        <f aca="false">J266</f>
        <v>D11-12</v>
      </c>
      <c r="BS266" s="144" t="str">
        <f aca="false">IF(ISNUMBER(FIND("-", BR266)), LEFT(BR266, FIND("-", BR266) - 1), BR266)</f>
        <v>D11</v>
      </c>
      <c r="BT266" s="189" t="n">
        <f aca="false">L266-M266+O266</f>
        <v>102</v>
      </c>
    </row>
    <row r="267" customFormat="false" ht="16.4" hidden="false" customHeight="false" outlineLevel="0" collapsed="false">
      <c r="A267" s="140" t="s">
        <v>1229</v>
      </c>
      <c r="B267" s="249" t="s">
        <v>893</v>
      </c>
      <c r="C267" s="174" t="n">
        <v>45713</v>
      </c>
      <c r="D267" s="173" t="n">
        <v>0</v>
      </c>
      <c r="E267" s="138" t="s">
        <v>131</v>
      </c>
      <c r="F267" s="138" t="s">
        <v>131</v>
      </c>
      <c r="G267" s="261" t="b">
        <f aca="false">FALSE()</f>
        <v>0</v>
      </c>
      <c r="H267" s="173" t="n">
        <v>0</v>
      </c>
      <c r="I267" s="173" t="n">
        <v>30037</v>
      </c>
      <c r="J267" s="140" t="s">
        <v>1230</v>
      </c>
      <c r="K267" s="140"/>
      <c r="L267" s="175" t="n">
        <v>14136.11346</v>
      </c>
      <c r="M267" s="175" t="n">
        <v>13770.204</v>
      </c>
      <c r="N267" s="175" t="n">
        <v>92.8199999999997</v>
      </c>
      <c r="O267" s="175"/>
      <c r="P267" s="175" t="n">
        <v>60</v>
      </c>
      <c r="Q267" s="176" t="n">
        <v>0</v>
      </c>
      <c r="R267" s="138" t="n">
        <v>2</v>
      </c>
      <c r="S267" s="177" t="n">
        <v>0</v>
      </c>
      <c r="T267" s="215"/>
      <c r="U267" s="178" t="n">
        <v>0.475309731763155</v>
      </c>
      <c r="V267" s="177" t="n">
        <v>44.1182493022559</v>
      </c>
      <c r="W267" s="177" t="n">
        <v>129.802077979944</v>
      </c>
      <c r="X267" s="179" t="n">
        <v>0.0193185673539436</v>
      </c>
      <c r="Y267" s="177" t="n">
        <v>10.15</v>
      </c>
      <c r="Z267" s="177" t="n">
        <v>0</v>
      </c>
      <c r="AA267" s="177" t="n">
        <v>120.192307692308</v>
      </c>
      <c r="AB267" s="177" t="n">
        <v>304.262634974508</v>
      </c>
      <c r="AC267" s="215" t="n">
        <v>0</v>
      </c>
      <c r="AD267" s="215"/>
      <c r="AE267" s="177" t="n">
        <v>0</v>
      </c>
      <c r="AF267" s="177" t="n">
        <v>-304.262634974508</v>
      </c>
      <c r="AG267" s="181"/>
      <c r="AH267" s="180" t="n">
        <v>173.9203272822</v>
      </c>
      <c r="AI267" s="181"/>
      <c r="AJ267" s="181" t="s">
        <v>895</v>
      </c>
      <c r="AK267" s="181" t="s">
        <v>1229</v>
      </c>
      <c r="AL267" s="182" t="n">
        <v>0.510035648841559</v>
      </c>
      <c r="AN267" s="144" t="e">
        <v>#NAME?</v>
      </c>
      <c r="AO267" s="144" t="e">
        <f aca="false">_xlfn.xlookup(AN267,A:A,F:F)</f>
        <v>#NAME?</v>
      </c>
      <c r="AP267" s="144" t="e">
        <f aca="false">_xlfn.xlookup(AN267,A:A,J:J)</f>
        <v>#NAME?</v>
      </c>
      <c r="AQ267" s="144" t="e">
        <f aca="false">_xlfn.xlookup(AN267,A:A,N:N)+_xlfn.xlookup(AN267,A:A,O:O)</f>
        <v>#NAME?</v>
      </c>
      <c r="AR267" s="150" t="e">
        <f aca="false">_xlfn.xlookup(AN267,A:A,AH:AH)</f>
        <v>#NAME?</v>
      </c>
      <c r="AS267" s="150" t="e">
        <f aca="false">_xlfn.xlookup(AN267,A:A,S:S)</f>
        <v>#NAME?</v>
      </c>
      <c r="AT267" s="150" t="e">
        <f aca="false">_xlfn.xlookup(AN267,A:A,AE:AE)</f>
        <v>#NAME?</v>
      </c>
      <c r="AU267" s="150" t="e">
        <f aca="false">_xlfn.xlookup(AN267,A:A,AF:AF)</f>
        <v>#NAME?</v>
      </c>
      <c r="BB267" s="246"/>
      <c r="BC267" s="246"/>
      <c r="BD267" s="246"/>
      <c r="BE267" s="246"/>
      <c r="BF267" s="246"/>
      <c r="BH267" s="152" t="e">
        <f aca="false">_xlfn.xlookup(BG267,A:A,F:F)</f>
        <v>#NAME?</v>
      </c>
      <c r="BI267" s="144" t="e">
        <f aca="false">_xlfn.xlookup(BG267,A:A,J:J)</f>
        <v>#NAME?</v>
      </c>
      <c r="BJ267" s="153" t="e">
        <f aca="false">_xlfn.xlookup(BG267,A:A,N:N)+_xlfn.xlookup(BG267,A:A,O:O)</f>
        <v>#NAME?</v>
      </c>
      <c r="BK267" s="153" t="e">
        <f aca="false">_xlfn.xlookup(BG267,A216:A1210,AB216:AB1210)</f>
        <v>#NAME?</v>
      </c>
      <c r="BQ267" s="144" t="str">
        <f aca="false">IF(VALUE(MONTH(C267))&lt;10,YEAR(C267)&amp;"-0"&amp;MONTH(C267),YEAR(C267)&amp;"-"&amp;MONTH(C267))</f>
        <v>2025-02</v>
      </c>
      <c r="BR267" s="144" t="str">
        <f aca="false">J267</f>
        <v>DF52-3</v>
      </c>
      <c r="BS267" s="144" t="str">
        <f aca="false">IF(ISNUMBER(FIND("-", BR267)), LEFT(BR267, FIND("-", BR267) - 1), BR267)</f>
        <v>DF52</v>
      </c>
      <c r="BT267" s="189" t="n">
        <f aca="false">L267-M267+O267</f>
        <v>365.909459999999</v>
      </c>
    </row>
    <row r="268" customFormat="false" ht="16.4" hidden="false" customHeight="false" outlineLevel="0" collapsed="false">
      <c r="A268" s="140" t="s">
        <v>1231</v>
      </c>
      <c r="B268" s="249" t="s">
        <v>893</v>
      </c>
      <c r="C268" s="174" t="n">
        <v>45713</v>
      </c>
      <c r="D268" s="173" t="n">
        <v>365</v>
      </c>
      <c r="E268" s="138" t="s">
        <v>194</v>
      </c>
      <c r="F268" s="138" t="s">
        <v>194</v>
      </c>
      <c r="G268" s="140" t="n">
        <v>2501994</v>
      </c>
      <c r="H268" s="173" t="n">
        <v>40311</v>
      </c>
      <c r="I268" s="173" t="n">
        <v>30043</v>
      </c>
      <c r="J268" s="140" t="s">
        <v>740</v>
      </c>
      <c r="K268" s="140"/>
      <c r="L268" s="175" t="n">
        <v>7638.65244</v>
      </c>
      <c r="M268" s="175" t="n">
        <v>102</v>
      </c>
      <c r="N268" s="175" t="n">
        <v>7358.76</v>
      </c>
      <c r="O268" s="175"/>
      <c r="P268" s="175" t="n">
        <v>60</v>
      </c>
      <c r="Q268" s="176" t="n">
        <v>2</v>
      </c>
      <c r="R268" s="138" t="n">
        <v>4</v>
      </c>
      <c r="S268" s="177" t="n">
        <v>112.2</v>
      </c>
      <c r="T268" s="215"/>
      <c r="U268" s="178" t="n">
        <v>0.346913319532401</v>
      </c>
      <c r="V268" s="177" t="n">
        <v>2552.85185924225</v>
      </c>
      <c r="W268" s="177" t="n">
        <v>61.7132568801187</v>
      </c>
      <c r="X268" s="179" t="n">
        <v>0.0232884584548529</v>
      </c>
      <c r="Y268" s="177" t="n">
        <v>10.15</v>
      </c>
      <c r="Z268" s="177" t="n">
        <v>43.4</v>
      </c>
      <c r="AA268" s="177" t="n">
        <v>240.384615384615</v>
      </c>
      <c r="AB268" s="177" t="n">
        <v>3020.69973150699</v>
      </c>
      <c r="AC268" s="215" t="n">
        <v>0.41</v>
      </c>
      <c r="AD268" s="215" t="s">
        <v>88</v>
      </c>
      <c r="AE268" s="177" t="n">
        <v>3017.0916</v>
      </c>
      <c r="AF268" s="177" t="n">
        <v>-3.60813150698596</v>
      </c>
      <c r="AG268" s="181" t="n">
        <v>-0.00119589723659241</v>
      </c>
      <c r="AH268" s="180" t="n">
        <v>2614.56511612237</v>
      </c>
      <c r="AI268" s="181" t="n">
        <v>0.866584599593321</v>
      </c>
      <c r="AJ268" s="181"/>
      <c r="AK268" s="181" t="s">
        <v>1231</v>
      </c>
      <c r="AL268" s="182" t="n">
        <v>0.410490317867003</v>
      </c>
      <c r="AN268" s="144" t="e">
        <v>#NAME?</v>
      </c>
      <c r="AO268" s="144" t="e">
        <f aca="false">_xlfn.xlookup(AN268,A:A,F:F)</f>
        <v>#NAME?</v>
      </c>
      <c r="AP268" s="144" t="e">
        <f aca="false">_xlfn.xlookup(AN268,A:A,J:J)</f>
        <v>#NAME?</v>
      </c>
      <c r="AQ268" s="144" t="e">
        <f aca="false">_xlfn.xlookup(AN268,A:A,N:N)+_xlfn.xlookup(AN268,A:A,O:O)</f>
        <v>#NAME?</v>
      </c>
      <c r="AR268" s="150" t="e">
        <f aca="false">_xlfn.xlookup(AN268,A:A,AH:AH)</f>
        <v>#NAME?</v>
      </c>
      <c r="AS268" s="150" t="e">
        <f aca="false">_xlfn.xlookup(AN268,A:A,S:S)</f>
        <v>#NAME?</v>
      </c>
      <c r="AT268" s="150" t="e">
        <f aca="false">_xlfn.xlookup(AN268,A:A,AE:AE)</f>
        <v>#NAME?</v>
      </c>
      <c r="AU268" s="150" t="e">
        <f aca="false">_xlfn.xlookup(AN268,A:A,AF:AF)</f>
        <v>#NAME?</v>
      </c>
      <c r="BB268" s="246"/>
      <c r="BC268" s="246"/>
      <c r="BD268" s="246"/>
      <c r="BE268" s="246"/>
      <c r="BF268" s="246"/>
      <c r="BH268" s="152" t="e">
        <f aca="false">_xlfn.xlookup(BG268,A:A,F:F)</f>
        <v>#NAME?</v>
      </c>
      <c r="BI268" s="144" t="e">
        <f aca="false">_xlfn.xlookup(BG268,A:A,J:J)</f>
        <v>#NAME?</v>
      </c>
      <c r="BJ268" s="153" t="e">
        <f aca="false">_xlfn.xlookup(BG268,A:A,N:N)+_xlfn.xlookup(BG268,A:A,O:O)</f>
        <v>#NAME?</v>
      </c>
      <c r="BK268" s="153" t="e">
        <f aca="false">_xlfn.xlookup(BG268,A217:A1211,AB217:AB1211)</f>
        <v>#NAME?</v>
      </c>
      <c r="BQ268" s="144" t="str">
        <f aca="false">IF(VALUE(MONTH(C268))&lt;10,YEAR(C268)&amp;"-0"&amp;MONTH(C268),YEAR(C268)&amp;"-"&amp;MONTH(C268))</f>
        <v>2025-02</v>
      </c>
      <c r="BR268" s="144" t="str">
        <f aca="false">J268</f>
        <v>D11-12</v>
      </c>
      <c r="BS268" s="144" t="str">
        <f aca="false">IF(ISNUMBER(FIND("-", BR268)), LEFT(BR268, FIND("-", BR268) - 1), BR268)</f>
        <v>D11</v>
      </c>
      <c r="BT268" s="189" t="n">
        <f aca="false">L268-M268+O268</f>
        <v>7536.65244</v>
      </c>
    </row>
    <row r="269" customFormat="false" ht="16.4" hidden="false" customHeight="false" outlineLevel="0" collapsed="false">
      <c r="A269" s="140" t="s">
        <v>1232</v>
      </c>
      <c r="B269" s="249" t="s">
        <v>893</v>
      </c>
      <c r="C269" s="174" t="n">
        <v>45714</v>
      </c>
      <c r="D269" s="173" t="n">
        <v>366</v>
      </c>
      <c r="E269" s="138" t="s">
        <v>94</v>
      </c>
      <c r="F269" s="138" t="s">
        <v>522</v>
      </c>
      <c r="G269" s="140" t="n">
        <v>108029</v>
      </c>
      <c r="H269" s="173" t="n">
        <v>40117</v>
      </c>
      <c r="I269" s="173" t="n">
        <v>30047</v>
      </c>
      <c r="J269" s="140" t="s">
        <v>762</v>
      </c>
      <c r="K269" s="140"/>
      <c r="L269" s="175" t="n">
        <v>3758.7264</v>
      </c>
      <c r="M269" s="175" t="n">
        <v>0</v>
      </c>
      <c r="N269" s="175" t="n">
        <v>3729.6</v>
      </c>
      <c r="O269" s="175"/>
      <c r="P269" s="175" t="n">
        <v>60</v>
      </c>
      <c r="Q269" s="176" t="n">
        <v>2</v>
      </c>
      <c r="R269" s="138" t="n">
        <v>0.5</v>
      </c>
      <c r="S269" s="177" t="n">
        <f aca="false">-76.15/4</f>
        <v>-19.0375</v>
      </c>
      <c r="T269" s="215" t="n">
        <v>1.437</v>
      </c>
      <c r="U269" s="178" t="n">
        <v>0.259635140959208</v>
      </c>
      <c r="V269" s="177" t="n">
        <v>968.335221721462</v>
      </c>
      <c r="W269" s="177" t="n">
        <v>7.5622369696343</v>
      </c>
      <c r="X269" s="179" t="n">
        <v>0.00774900774900778</v>
      </c>
      <c r="Y269" s="177" t="n">
        <v>10.15</v>
      </c>
      <c r="Z269" s="177" t="n">
        <v>43.4</v>
      </c>
      <c r="AA269" s="177" t="n">
        <v>30.0480769230769</v>
      </c>
      <c r="AB269" s="177" t="n">
        <v>1040.45803561417</v>
      </c>
      <c r="AC269" s="215" t="n">
        <v>0.28</v>
      </c>
      <c r="AD269" s="215" t="s">
        <v>77</v>
      </c>
      <c r="AE269" s="177" t="n">
        <v>1500.641856</v>
      </c>
      <c r="AF269" s="177" t="n">
        <v>460.183820385827</v>
      </c>
      <c r="AG269" s="181" t="n">
        <v>0.30665799340854</v>
      </c>
      <c r="AH269" s="180" t="n">
        <v>975.897458691096</v>
      </c>
      <c r="AI269" s="181" t="n">
        <v>0.650320031251412</v>
      </c>
      <c r="AJ269" s="181"/>
      <c r="AK269" s="262" t="s">
        <v>1232</v>
      </c>
      <c r="AL269" s="182" t="n">
        <v>0.27897308977214</v>
      </c>
      <c r="AN269" s="144" t="e">
        <v>#NAME?</v>
      </c>
      <c r="AO269" s="144" t="e">
        <f aca="false">_xlfn.xlookup(AN269,A:A,F:F)</f>
        <v>#NAME?</v>
      </c>
      <c r="AP269" s="144" t="e">
        <f aca="false">_xlfn.xlookup(AN269,A:A,J:J)</f>
        <v>#NAME?</v>
      </c>
      <c r="AQ269" s="144" t="e">
        <f aca="false">_xlfn.xlookup(AN269,A:A,N:N)+_xlfn.xlookup(AN269,A:A,O:O)</f>
        <v>#NAME?</v>
      </c>
      <c r="AR269" s="150" t="e">
        <f aca="false">_xlfn.xlookup(AN269,A:A,AH:AH)</f>
        <v>#NAME?</v>
      </c>
      <c r="AS269" s="150" t="e">
        <f aca="false">_xlfn.xlookup(AN269,A:A,S:S)</f>
        <v>#NAME?</v>
      </c>
      <c r="AT269" s="150" t="e">
        <f aca="false">_xlfn.xlookup(AN269,A:A,AE:AE)</f>
        <v>#NAME?</v>
      </c>
      <c r="AU269" s="150" t="e">
        <f aca="false">_xlfn.xlookup(AN269,A:A,AF:AF)</f>
        <v>#NAME?</v>
      </c>
      <c r="BH269" s="152" t="e">
        <f aca="false">_xlfn.xlookup(BG269,A:A,F:F)</f>
        <v>#NAME?</v>
      </c>
      <c r="BI269" s="144" t="e">
        <f aca="false">_xlfn.xlookup(BG269,A:A,J:J)</f>
        <v>#NAME?</v>
      </c>
      <c r="BJ269" s="153" t="e">
        <f aca="false">_xlfn.xlookup(BG269,A:A,N:N)+_xlfn.xlookup(BG269,A:A,O:O)</f>
        <v>#NAME?</v>
      </c>
      <c r="BK269" s="153" t="e">
        <f aca="false">_xlfn.xlookup(BG269,A218:A1212,AB218:AB1212)</f>
        <v>#NAME?</v>
      </c>
      <c r="BQ269" s="144" t="str">
        <f aca="false">IF(VALUE(MONTH(C269))&lt;10,YEAR(C269)&amp;"-0"&amp;MONTH(C269),YEAR(C269)&amp;"-"&amp;MONTH(C269))</f>
        <v>2025-02</v>
      </c>
      <c r="BR269" s="144" t="str">
        <f aca="false">J269</f>
        <v>S15-3</v>
      </c>
      <c r="BS269" s="144" t="str">
        <f aca="false">IF(ISNUMBER(FIND("-", BR269)), LEFT(BR269, FIND("-", BR269) - 1), BR269)</f>
        <v>S15</v>
      </c>
      <c r="BT269" s="189" t="n">
        <f aca="false">L269-M269+O269</f>
        <v>3758.7264</v>
      </c>
    </row>
    <row r="270" customFormat="false" ht="16.4" hidden="false" customHeight="false" outlineLevel="0" collapsed="false">
      <c r="A270" s="140" t="s">
        <v>1233</v>
      </c>
      <c r="B270" s="249" t="s">
        <v>893</v>
      </c>
      <c r="C270" s="174" t="n">
        <v>45714</v>
      </c>
      <c r="D270" s="173" t="n">
        <v>367</v>
      </c>
      <c r="E270" s="138" t="s">
        <v>63</v>
      </c>
      <c r="F270" s="138" t="s">
        <v>500</v>
      </c>
      <c r="G270" s="140" t="n">
        <v>50009243</v>
      </c>
      <c r="H270" s="173" t="n">
        <v>40103</v>
      </c>
      <c r="I270" s="173" t="n">
        <v>30043</v>
      </c>
      <c r="J270" s="140" t="s">
        <v>740</v>
      </c>
      <c r="K270" s="140"/>
      <c r="L270" s="175" t="n">
        <v>61109.21952</v>
      </c>
      <c r="M270" s="175" t="n">
        <v>6079.818</v>
      </c>
      <c r="N270" s="175" t="n">
        <v>53907.3</v>
      </c>
      <c r="O270" s="175"/>
      <c r="P270" s="175" t="n">
        <v>957.85</v>
      </c>
      <c r="Q270" s="176" t="n">
        <v>7</v>
      </c>
      <c r="R270" s="138" t="n">
        <v>7.25</v>
      </c>
      <c r="S270" s="177" t="n">
        <v>-34.87</v>
      </c>
      <c r="T270" s="215" t="n">
        <v>1.4422</v>
      </c>
      <c r="U270" s="178" t="n">
        <v>0.346913319532401</v>
      </c>
      <c r="V270" s="177" t="n">
        <v>18701.160390029</v>
      </c>
      <c r="W270" s="177" t="n">
        <v>389.271963155569</v>
      </c>
      <c r="X270" s="179" t="n">
        <v>0.018362229608133</v>
      </c>
      <c r="Y270" s="177" t="n">
        <v>162.036291666667</v>
      </c>
      <c r="Z270" s="177" t="n">
        <v>151.9</v>
      </c>
      <c r="AA270" s="177" t="n">
        <v>435.697115384615</v>
      </c>
      <c r="AB270" s="177" t="n">
        <v>19805.1957602359</v>
      </c>
      <c r="AC270" s="215" t="n">
        <v>0.31</v>
      </c>
      <c r="AD270" s="215" t="s">
        <v>77</v>
      </c>
      <c r="AE270" s="177" t="n">
        <v>24100.9834986</v>
      </c>
      <c r="AF270" s="177" t="n">
        <v>4295.78773836413</v>
      </c>
      <c r="AG270" s="181" t="n">
        <v>0.178241180017142</v>
      </c>
      <c r="AH270" s="180" t="n">
        <v>19090.4323531846</v>
      </c>
      <c r="AI270" s="181" t="n">
        <v>0.792101797600647</v>
      </c>
      <c r="AJ270" s="181"/>
      <c r="AK270" s="181" t="s">
        <v>1233</v>
      </c>
      <c r="AL270" s="182" t="n">
        <v>0.367393576755576</v>
      </c>
      <c r="AN270" s="144" t="e">
        <v>#NAME?</v>
      </c>
      <c r="AO270" s="144" t="e">
        <f aca="false">_xlfn.xlookup(AN270,A:A,F:F)</f>
        <v>#NAME?</v>
      </c>
      <c r="AP270" s="144" t="e">
        <f aca="false">_xlfn.xlookup(AN270,A:A,J:J)</f>
        <v>#NAME?</v>
      </c>
      <c r="AQ270" s="144" t="e">
        <f aca="false">_xlfn.xlookup(AN270,A:A,N:N)+_xlfn.xlookup(AN270,A:A,O:O)</f>
        <v>#NAME?</v>
      </c>
      <c r="AR270" s="150" t="e">
        <f aca="false">_xlfn.xlookup(AN270,A:A,AH:AH)</f>
        <v>#NAME?</v>
      </c>
      <c r="AS270" s="150" t="e">
        <f aca="false">_xlfn.xlookup(AN270,A:A,S:S)</f>
        <v>#NAME?</v>
      </c>
      <c r="AT270" s="150" t="e">
        <f aca="false">_xlfn.xlookup(AN270,A:A,AE:AE)</f>
        <v>#NAME?</v>
      </c>
      <c r="AU270" s="150" t="e">
        <f aca="false">_xlfn.xlookup(AN270,A:A,AF:AF)</f>
        <v>#NAME?</v>
      </c>
      <c r="BH270" s="152" t="e">
        <f aca="false">_xlfn.xlookup(BG270,A:A,F:F)</f>
        <v>#NAME?</v>
      </c>
      <c r="BI270" s="144" t="e">
        <f aca="false">_xlfn.xlookup(BG270,A:A,J:J)</f>
        <v>#NAME?</v>
      </c>
      <c r="BJ270" s="153" t="e">
        <f aca="false">_xlfn.xlookup(BG270,A:A,N:N)+_xlfn.xlookup(BG270,A:A,O:O)</f>
        <v>#NAME?</v>
      </c>
      <c r="BK270" s="153" t="e">
        <f aca="false">_xlfn.xlookup(BG270,A219:A1213,AB219:AB1213)</f>
        <v>#NAME?</v>
      </c>
      <c r="BQ270" s="144" t="str">
        <f aca="false">IF(VALUE(MONTH(C270))&lt;10,YEAR(C270)&amp;"-0"&amp;MONTH(C270),YEAR(C270)&amp;"-"&amp;MONTH(C270))</f>
        <v>2025-02</v>
      </c>
      <c r="BR270" s="144" t="str">
        <f aca="false">J270</f>
        <v>D11-12</v>
      </c>
      <c r="BS270" s="144" t="str">
        <f aca="false">IF(ISNUMBER(FIND("-", BR270)), LEFT(BR270, FIND("-", BR270) - 1), BR270)</f>
        <v>D11</v>
      </c>
      <c r="BT270" s="189" t="n">
        <f aca="false">L270-M270+O270</f>
        <v>55029.40152</v>
      </c>
    </row>
    <row r="271" customFormat="false" ht="16.4" hidden="false" customHeight="false" outlineLevel="0" collapsed="false">
      <c r="A271" s="140" t="s">
        <v>1234</v>
      </c>
      <c r="B271" s="249" t="s">
        <v>893</v>
      </c>
      <c r="C271" s="174" t="n">
        <v>45715</v>
      </c>
      <c r="D271" s="173" t="n">
        <v>368</v>
      </c>
      <c r="E271" s="138" t="s">
        <v>210</v>
      </c>
      <c r="F271" s="138" t="s">
        <v>575</v>
      </c>
      <c r="G271" s="140" t="n">
        <v>3095</v>
      </c>
      <c r="H271" s="173" t="n">
        <v>40312</v>
      </c>
      <c r="I271" s="173" t="n">
        <v>30022</v>
      </c>
      <c r="J271" s="140" t="s">
        <v>909</v>
      </c>
      <c r="K271" s="140"/>
      <c r="L271" s="175" t="n">
        <v>7098</v>
      </c>
      <c r="M271" s="175" t="n">
        <v>0</v>
      </c>
      <c r="N271" s="175" t="n">
        <v>6991.956</v>
      </c>
      <c r="O271" s="175"/>
      <c r="P271" s="175" t="n">
        <v>34.89</v>
      </c>
      <c r="Q271" s="176" t="n">
        <v>1</v>
      </c>
      <c r="R271" s="138" t="n">
        <v>2.5</v>
      </c>
      <c r="S271" s="177" t="n">
        <v>0</v>
      </c>
      <c r="T271" s="215"/>
      <c r="U271" s="178" t="n">
        <v>0.125902150537634</v>
      </c>
      <c r="V271" s="177" t="n">
        <v>880.302296864516</v>
      </c>
      <c r="W271" s="177" t="n">
        <v>13.3511676516129</v>
      </c>
      <c r="X271" s="179" t="n">
        <v>0.0149399830938292</v>
      </c>
      <c r="Y271" s="177" t="n">
        <v>5.902225</v>
      </c>
      <c r="Z271" s="177" t="n">
        <v>21.7</v>
      </c>
      <c r="AA271" s="177" t="n">
        <v>150.240384615385</v>
      </c>
      <c r="AB271" s="177" t="n">
        <v>1071.49607413151</v>
      </c>
      <c r="AC271" s="215" t="n">
        <v>0.32</v>
      </c>
      <c r="AD271" s="215" t="s">
        <v>88</v>
      </c>
      <c r="AE271" s="177" t="n">
        <v>2237.42592</v>
      </c>
      <c r="AF271" s="177" t="n">
        <v>1165.92984586849</v>
      </c>
      <c r="AG271" s="181" t="n">
        <v>0.521103217517247</v>
      </c>
      <c r="AH271" s="180" t="n">
        <v>893.653464516129</v>
      </c>
      <c r="AI271" s="181" t="n">
        <v>0.399411420296824</v>
      </c>
      <c r="AJ271" s="181"/>
      <c r="AK271" s="181" t="s">
        <v>1234</v>
      </c>
      <c r="AL271" s="182" t="n">
        <v>0.153246970394481</v>
      </c>
      <c r="AN271" s="144" t="e">
        <v>#NAME?</v>
      </c>
      <c r="AO271" s="144" t="e">
        <f aca="false">_xlfn.xlookup(AN271,A:A,F:F)</f>
        <v>#NAME?</v>
      </c>
      <c r="AP271" s="144" t="e">
        <f aca="false">_xlfn.xlookup(AN271,A:A,J:J)</f>
        <v>#NAME?</v>
      </c>
      <c r="AQ271" s="144" t="e">
        <f aca="false">_xlfn.xlookup(AN271,A:A,N:N)+_xlfn.xlookup(AN271,A:A,O:O)</f>
        <v>#NAME?</v>
      </c>
      <c r="AR271" s="150" t="e">
        <f aca="false">_xlfn.xlookup(AN271,A:A,AH:AH)</f>
        <v>#NAME?</v>
      </c>
      <c r="AS271" s="150" t="e">
        <f aca="false">_xlfn.xlookup(AN271,A:A,S:S)</f>
        <v>#NAME?</v>
      </c>
      <c r="AT271" s="150" t="e">
        <f aca="false">_xlfn.xlookup(AN271,A:A,AE:AE)</f>
        <v>#NAME?</v>
      </c>
      <c r="AU271" s="150" t="e">
        <f aca="false">_xlfn.xlookup(AN271,A:A,AF:AF)</f>
        <v>#NAME?</v>
      </c>
      <c r="BH271" s="152" t="e">
        <f aca="false">_xlfn.xlookup(BG271,A:A,F:F)</f>
        <v>#NAME?</v>
      </c>
      <c r="BI271" s="144" t="e">
        <f aca="false">_xlfn.xlookup(BG271,A:A,J:J)</f>
        <v>#NAME?</v>
      </c>
      <c r="BJ271" s="153" t="e">
        <f aca="false">_xlfn.xlookup(BG271,A:A,N:N)+_xlfn.xlookup(BG271,A:A,O:O)</f>
        <v>#NAME?</v>
      </c>
      <c r="BK271" s="153" t="e">
        <f aca="false">_xlfn.xlookup(BG271,A220:A1214,AB220:AB1214)</f>
        <v>#NAME?</v>
      </c>
      <c r="BQ271" s="144" t="str">
        <f aca="false">IF(VALUE(MONTH(C271))&lt;10,YEAR(C271)&amp;"-0"&amp;MONTH(C271),YEAR(C271)&amp;"-"&amp;MONTH(C271))</f>
        <v>2025-02</v>
      </c>
      <c r="BR271" s="144" t="str">
        <f aca="false">J271</f>
        <v>F70-6</v>
      </c>
      <c r="BS271" s="144" t="str">
        <f aca="false">IF(ISNUMBER(FIND("-", BR271)), LEFT(BR271, FIND("-", BR271) - 1), BR271)</f>
        <v>F70</v>
      </c>
      <c r="BT271" s="189" t="n">
        <f aca="false">L271-M271+O271</f>
        <v>7098</v>
      </c>
    </row>
    <row r="272" customFormat="false" ht="16.4" hidden="false" customHeight="false" outlineLevel="0" collapsed="false">
      <c r="A272" s="140" t="s">
        <v>1235</v>
      </c>
      <c r="B272" s="249" t="s">
        <v>893</v>
      </c>
      <c r="C272" s="174" t="n">
        <v>45715</v>
      </c>
      <c r="D272" s="173" t="n">
        <v>369</v>
      </c>
      <c r="E272" s="138" t="s">
        <v>96</v>
      </c>
      <c r="F272" s="138" t="s">
        <v>582</v>
      </c>
      <c r="G272" s="140" t="n">
        <v>1988</v>
      </c>
      <c r="H272" s="173" t="n">
        <v>40313</v>
      </c>
      <c r="I272" s="173" t="n">
        <v>30043</v>
      </c>
      <c r="J272" s="140" t="s">
        <v>740</v>
      </c>
      <c r="K272" s="140"/>
      <c r="L272" s="175" t="n">
        <v>30554.60976</v>
      </c>
      <c r="M272" s="175" t="n">
        <v>2225.85</v>
      </c>
      <c r="N272" s="175" t="n">
        <v>27626.385</v>
      </c>
      <c r="O272" s="175"/>
      <c r="P272" s="175" t="n">
        <v>238</v>
      </c>
      <c r="Q272" s="176" t="n">
        <v>5</v>
      </c>
      <c r="R272" s="138" t="n">
        <v>4.5</v>
      </c>
      <c r="S272" s="177" t="n">
        <f aca="false">336.17/9*5</f>
        <v>186.761111111111</v>
      </c>
      <c r="T272" s="215"/>
      <c r="U272" s="178" t="n">
        <v>0.346913319532401</v>
      </c>
      <c r="V272" s="177" t="n">
        <v>9583.96092703014</v>
      </c>
      <c r="W272" s="177" t="n">
        <v>243.663159547371</v>
      </c>
      <c r="X272" s="179" t="n">
        <v>0.0229875218671421</v>
      </c>
      <c r="Y272" s="177" t="n">
        <v>40.2616666666667</v>
      </c>
      <c r="Z272" s="177" t="n">
        <v>108.5</v>
      </c>
      <c r="AA272" s="177" t="n">
        <v>270.432692307692</v>
      </c>
      <c r="AB272" s="177" t="n">
        <v>10433.579556663</v>
      </c>
      <c r="AC272" s="215" t="n">
        <v>0.398</v>
      </c>
      <c r="AD272" s="215" t="s">
        <v>88</v>
      </c>
      <c r="AE272" s="177" t="n">
        <v>10995.30123</v>
      </c>
      <c r="AF272" s="177" t="n">
        <v>561.721673337026</v>
      </c>
      <c r="AG272" s="181" t="n">
        <v>0.051087429219711</v>
      </c>
      <c r="AH272" s="180" t="n">
        <v>9827.62408657751</v>
      </c>
      <c r="AI272" s="181" t="n">
        <v>0.893802168854041</v>
      </c>
      <c r="AJ272" s="181"/>
      <c r="AK272" s="262" t="s">
        <v>1235</v>
      </c>
      <c r="AL272" s="182" t="n">
        <v>0.377667203170555</v>
      </c>
      <c r="AN272" s="144" t="e">
        <v>#NAME?</v>
      </c>
      <c r="AO272" s="144" t="e">
        <f aca="false">_xlfn.xlookup(AN272,A:A,F:F)</f>
        <v>#NAME?</v>
      </c>
      <c r="AP272" s="144" t="e">
        <f aca="false">_xlfn.xlookup(AN272,A:A,J:J)</f>
        <v>#NAME?</v>
      </c>
      <c r="AQ272" s="144" t="e">
        <f aca="false">_xlfn.xlookup(AN272,A:A,N:N)+_xlfn.xlookup(AN272,A:A,O:O)</f>
        <v>#NAME?</v>
      </c>
      <c r="AR272" s="150" t="e">
        <f aca="false">_xlfn.xlookup(AN272,A:A,AH:AH)</f>
        <v>#NAME?</v>
      </c>
      <c r="AS272" s="150" t="e">
        <f aca="false">_xlfn.xlookup(AN272,A:A,S:S)</f>
        <v>#NAME?</v>
      </c>
      <c r="AT272" s="150" t="e">
        <f aca="false">_xlfn.xlookup(AN272,A:A,AE:AE)</f>
        <v>#NAME?</v>
      </c>
      <c r="AU272" s="150" t="e">
        <f aca="false">_xlfn.xlookup(AN272,A:A,AF:AF)</f>
        <v>#NAME?</v>
      </c>
      <c r="BH272" s="152" t="e">
        <f aca="false">_xlfn.xlookup(BG272,A:A,F:F)</f>
        <v>#NAME?</v>
      </c>
      <c r="BI272" s="144" t="e">
        <f aca="false">_xlfn.xlookup(BG272,A:A,J:J)</f>
        <v>#NAME?</v>
      </c>
      <c r="BJ272" s="153" t="e">
        <f aca="false">_xlfn.xlookup(BG272,A:A,N:N)+_xlfn.xlookup(BG272,A:A,O:O)</f>
        <v>#NAME?</v>
      </c>
      <c r="BK272" s="153" t="e">
        <f aca="false">_xlfn.xlookup(BG272,A221:A1215,AB221:AB1215)</f>
        <v>#NAME?</v>
      </c>
      <c r="BQ272" s="144" t="str">
        <f aca="false">IF(VALUE(MONTH(C272))&lt;10,YEAR(C272)&amp;"-0"&amp;MONTH(C272),YEAR(C272)&amp;"-"&amp;MONTH(C272))</f>
        <v>2025-02</v>
      </c>
      <c r="BR272" s="144" t="str">
        <f aca="false">J272</f>
        <v>D11-12</v>
      </c>
      <c r="BS272" s="144" t="str">
        <f aca="false">IF(ISNUMBER(FIND("-", BR272)), LEFT(BR272, FIND("-", BR272) - 1), BR272)</f>
        <v>D11</v>
      </c>
      <c r="BT272" s="189" t="n">
        <f aca="false">L272-M272+O272</f>
        <v>28328.75976</v>
      </c>
    </row>
    <row r="273" customFormat="false" ht="16.4" hidden="false" customHeight="false" outlineLevel="0" collapsed="false">
      <c r="A273" s="140" t="s">
        <v>1236</v>
      </c>
      <c r="B273" s="249" t="s">
        <v>893</v>
      </c>
      <c r="C273" s="174" t="n">
        <v>45715</v>
      </c>
      <c r="D273" s="173" t="n">
        <v>370</v>
      </c>
      <c r="E273" s="138" t="s">
        <v>96</v>
      </c>
      <c r="F273" s="138" t="s">
        <v>582</v>
      </c>
      <c r="G273" s="140" t="n">
        <v>1989</v>
      </c>
      <c r="H273" s="173" t="n">
        <v>40315</v>
      </c>
      <c r="I273" s="173" t="s">
        <v>1237</v>
      </c>
      <c r="J273" s="140" t="s">
        <v>754</v>
      </c>
      <c r="K273" s="140"/>
      <c r="L273" s="175" t="n">
        <v>30554.60976</v>
      </c>
      <c r="M273" s="175" t="n">
        <v>10881.735</v>
      </c>
      <c r="N273" s="175" t="n">
        <v>19365.03</v>
      </c>
      <c r="O273" s="175"/>
      <c r="P273" s="175" t="n">
        <v>241.375</v>
      </c>
      <c r="Q273" s="176" t="n">
        <v>4</v>
      </c>
      <c r="R273" s="138" t="n">
        <v>5.75</v>
      </c>
      <c r="S273" s="177" t="n">
        <f aca="false">336.17/9*4</f>
        <v>149.408888888889</v>
      </c>
      <c r="T273" s="215"/>
      <c r="U273" s="178" t="n">
        <v>0.246725</v>
      </c>
      <c r="V273" s="177" t="n">
        <v>4777.83702675</v>
      </c>
      <c r="W273" s="177" t="n">
        <v>75.9529984110009</v>
      </c>
      <c r="X273" s="179" t="n">
        <v>0.0100752312799299</v>
      </c>
      <c r="Y273" s="177" t="n">
        <v>40.8326041666667</v>
      </c>
      <c r="Z273" s="177" t="n">
        <v>86.8</v>
      </c>
      <c r="AA273" s="177" t="n">
        <v>345.552884615385</v>
      </c>
      <c r="AB273" s="177" t="n">
        <v>5476.38440283194</v>
      </c>
      <c r="AC273" s="215" t="n">
        <v>0.37</v>
      </c>
      <c r="AD273" s="215" t="s">
        <v>88</v>
      </c>
      <c r="AE273" s="177" t="n">
        <v>7165.0611</v>
      </c>
      <c r="AF273" s="177" t="n">
        <v>1688.67669716806</v>
      </c>
      <c r="AG273" s="181" t="n">
        <v>0.235682107046939</v>
      </c>
      <c r="AH273" s="180" t="n">
        <v>4853.790025161</v>
      </c>
      <c r="AI273" s="181" t="n">
        <v>0.677424791975745</v>
      </c>
      <c r="AJ273" s="181"/>
      <c r="AK273" s="262" t="s">
        <v>1236</v>
      </c>
      <c r="AL273" s="182" t="n">
        <v>0.282797620392633</v>
      </c>
      <c r="AN273" s="144" t="e">
        <v>#NAME?</v>
      </c>
      <c r="AO273" s="144" t="e">
        <f aca="false">_xlfn.xlookup(AN273,A:A,F:F)</f>
        <v>#NAME?</v>
      </c>
      <c r="AP273" s="144" t="e">
        <f aca="false">_xlfn.xlookup(AN273,A:A,J:J)</f>
        <v>#NAME?</v>
      </c>
      <c r="AQ273" s="144" t="e">
        <f aca="false">_xlfn.xlookup(AN273,A:A,N:N)+_xlfn.xlookup(AN273,A:A,O:O)</f>
        <v>#NAME?</v>
      </c>
      <c r="AR273" s="150" t="e">
        <f aca="false">_xlfn.xlookup(AN273,A:A,AH:AH)</f>
        <v>#NAME?</v>
      </c>
      <c r="AS273" s="150" t="e">
        <f aca="false">_xlfn.xlookup(AN273,A:A,S:S)</f>
        <v>#NAME?</v>
      </c>
      <c r="AT273" s="150" t="e">
        <f aca="false">_xlfn.xlookup(AN273,A:A,AE:AE)</f>
        <v>#NAME?</v>
      </c>
      <c r="AU273" s="150" t="e">
        <f aca="false">_xlfn.xlookup(AN273,A:A,AF:AF)</f>
        <v>#NAME?</v>
      </c>
      <c r="BH273" s="152" t="e">
        <f aca="false">_xlfn.xlookup(BG273,A:A,F:F)</f>
        <v>#NAME?</v>
      </c>
      <c r="BI273" s="144" t="e">
        <f aca="false">_xlfn.xlookup(BG273,A:A,J:J)</f>
        <v>#NAME?</v>
      </c>
      <c r="BJ273" s="153" t="e">
        <f aca="false">_xlfn.xlookup(BG273,A:A,N:N)+_xlfn.xlookup(BG273,A:A,O:O)</f>
        <v>#NAME?</v>
      </c>
      <c r="BK273" s="153" t="e">
        <f aca="false">_xlfn.xlookup(BG273,A222:A1216,AB222:AB1216)</f>
        <v>#NAME?</v>
      </c>
      <c r="BQ273" s="144" t="str">
        <f aca="false">IF(VALUE(MONTH(C273))&lt;10,YEAR(C273)&amp;"-0"&amp;MONTH(C273),YEAR(C273)&amp;"-"&amp;MONTH(C273))</f>
        <v>2025-02</v>
      </c>
      <c r="BR273" s="144" t="str">
        <f aca="false">J273</f>
        <v>T11-1</v>
      </c>
      <c r="BS273" s="144" t="str">
        <f aca="false">IF(ISNUMBER(FIND("-", BR273)), LEFT(BR273, FIND("-", BR273) - 1), BR273)</f>
        <v>T11</v>
      </c>
      <c r="BT273" s="189" t="n">
        <f aca="false">L273-M273+O273</f>
        <v>19672.87476</v>
      </c>
    </row>
    <row r="274" customFormat="false" ht="16.4" hidden="false" customHeight="false" outlineLevel="0" collapsed="false">
      <c r="A274" s="140" t="s">
        <v>1238</v>
      </c>
      <c r="B274" s="249" t="s">
        <v>893</v>
      </c>
      <c r="C274" s="174" t="n">
        <v>45716</v>
      </c>
      <c r="D274" s="173" t="n">
        <v>371</v>
      </c>
      <c r="E274" s="138" t="s">
        <v>306</v>
      </c>
      <c r="F274" s="138" t="s">
        <v>596</v>
      </c>
      <c r="G274" s="140" t="s">
        <v>414</v>
      </c>
      <c r="H274" s="173" t="n">
        <v>40316</v>
      </c>
      <c r="I274" s="173" t="n">
        <v>30041</v>
      </c>
      <c r="J274" s="140" t="s">
        <v>754</v>
      </c>
      <c r="K274" s="140"/>
      <c r="L274" s="175" t="n">
        <v>22915.95732</v>
      </c>
      <c r="M274" s="175" t="n">
        <v>0</v>
      </c>
      <c r="N274" s="175" t="n">
        <v>22182.75</v>
      </c>
      <c r="O274" s="175"/>
      <c r="P274" s="175" t="n">
        <v>180</v>
      </c>
      <c r="Q274" s="176" t="n">
        <v>5</v>
      </c>
      <c r="R274" s="138" t="n">
        <v>5</v>
      </c>
      <c r="S274" s="177" t="n">
        <v>221.32</v>
      </c>
      <c r="T274" s="215"/>
      <c r="U274" s="178" t="n">
        <v>0.237797216322253</v>
      </c>
      <c r="V274" s="177" t="n">
        <v>5274.99620037247</v>
      </c>
      <c r="W274" s="177" t="n">
        <v>174.354659683101</v>
      </c>
      <c r="X274" s="179" t="n">
        <v>0.031995491602705</v>
      </c>
      <c r="Y274" s="177" t="n">
        <v>30.45</v>
      </c>
      <c r="Z274" s="177" t="n">
        <v>108.5</v>
      </c>
      <c r="AA274" s="177" t="n">
        <v>300.480769230769</v>
      </c>
      <c r="AB274" s="177" t="n">
        <v>6110.10162928634</v>
      </c>
      <c r="AC274" s="215" t="n">
        <v>0.371</v>
      </c>
      <c r="AD274" s="215" t="s">
        <v>88</v>
      </c>
      <c r="AE274" s="177" t="n">
        <v>8229.80025</v>
      </c>
      <c r="AF274" s="177" t="n">
        <v>2119.69862071366</v>
      </c>
      <c r="AG274" s="181" t="n">
        <v>0.257563799402502</v>
      </c>
      <c r="AH274" s="180" t="n">
        <v>5449.35086005557</v>
      </c>
      <c r="AI274" s="181" t="n">
        <v>0.662148617769377</v>
      </c>
      <c r="AJ274" s="181"/>
      <c r="AK274" s="181" t="s">
        <v>1238</v>
      </c>
      <c r="AL274" s="182" t="n">
        <v>0.275443830421672</v>
      </c>
      <c r="AN274" s="144" t="e">
        <v>#NAME?</v>
      </c>
      <c r="AO274" s="144" t="e">
        <f aca="false">_xlfn.xlookup(AN274,A:A,F:F)</f>
        <v>#NAME?</v>
      </c>
      <c r="AP274" s="144" t="e">
        <f aca="false">_xlfn.xlookup(AN274,A:A,J:J)</f>
        <v>#NAME?</v>
      </c>
      <c r="AQ274" s="144" t="e">
        <f aca="false">_xlfn.xlookup(AN274,A:A,N:N)+_xlfn.xlookup(AN274,A:A,O:O)</f>
        <v>#NAME?</v>
      </c>
      <c r="AR274" s="150" t="e">
        <f aca="false">_xlfn.xlookup(AN274,A:A,AH:AH)</f>
        <v>#NAME?</v>
      </c>
      <c r="AS274" s="150" t="e">
        <f aca="false">_xlfn.xlookup(AN274,A:A,S:S)</f>
        <v>#NAME?</v>
      </c>
      <c r="AT274" s="150" t="e">
        <f aca="false">_xlfn.xlookup(AN274,A:A,AE:AE)</f>
        <v>#NAME?</v>
      </c>
      <c r="AU274" s="150" t="e">
        <f aca="false">_xlfn.xlookup(AN274,A:A,AF:AF)</f>
        <v>#NAME?</v>
      </c>
      <c r="BH274" s="152" t="e">
        <f aca="false">_xlfn.xlookup(BG274,A:A,F:F)</f>
        <v>#NAME?</v>
      </c>
      <c r="BI274" s="144" t="e">
        <f aca="false">_xlfn.xlookup(BG274,A:A,J:J)</f>
        <v>#NAME?</v>
      </c>
      <c r="BJ274" s="153" t="e">
        <f aca="false">_xlfn.xlookup(BG274,A:A,N:N)+_xlfn.xlookup(BG274,A:A,O:O)</f>
        <v>#NAME?</v>
      </c>
      <c r="BK274" s="153" t="e">
        <f aca="false">_xlfn.xlookup(BG274,A223:A1217,AB223:AB1217)</f>
        <v>#NAME?</v>
      </c>
      <c r="BQ274" s="144" t="str">
        <f aca="false">IF(VALUE(MONTH(C274))&lt;10,YEAR(C274)&amp;"-0"&amp;MONTH(C274),YEAR(C274)&amp;"-"&amp;MONTH(C274))</f>
        <v>2025-02</v>
      </c>
      <c r="BR274" s="144" t="str">
        <f aca="false">J274</f>
        <v>T11-1</v>
      </c>
      <c r="BS274" s="144" t="str">
        <f aca="false">IF(ISNUMBER(FIND("-", BR274)), LEFT(BR274, FIND("-", BR274) - 1), BR274)</f>
        <v>T11</v>
      </c>
      <c r="BT274" s="189" t="n">
        <f aca="false">L274-M274+O274</f>
        <v>22915.95732</v>
      </c>
    </row>
    <row r="275" customFormat="false" ht="16.4" hidden="false" customHeight="false" outlineLevel="0" collapsed="false">
      <c r="A275" s="140" t="s">
        <v>1239</v>
      </c>
      <c r="B275" s="249" t="s">
        <v>893</v>
      </c>
      <c r="C275" s="174" t="n">
        <v>45719</v>
      </c>
      <c r="D275" s="173" t="n">
        <v>372</v>
      </c>
      <c r="E275" s="138" t="s">
        <v>159</v>
      </c>
      <c r="F275" s="138" t="s">
        <v>726</v>
      </c>
      <c r="G275" s="140" t="n">
        <v>179203</v>
      </c>
      <c r="H275" s="173" t="n">
        <v>40318</v>
      </c>
      <c r="I275" s="173" t="n">
        <v>30018</v>
      </c>
      <c r="J275" s="140" t="s">
        <v>760</v>
      </c>
      <c r="K275" s="140"/>
      <c r="L275" s="175" t="n">
        <v>7114.32</v>
      </c>
      <c r="M275" s="175" t="n">
        <v>0</v>
      </c>
      <c r="N275" s="175" t="n">
        <v>6840</v>
      </c>
      <c r="O275" s="175"/>
      <c r="P275" s="175" t="n">
        <v>60</v>
      </c>
      <c r="Q275" s="176" t="n">
        <v>2</v>
      </c>
      <c r="R275" s="138" t="n">
        <v>2</v>
      </c>
      <c r="S275" s="177" t="n">
        <v>142.18</v>
      </c>
      <c r="T275" s="215"/>
      <c r="U275" s="178" t="n">
        <v>0.264285602410524</v>
      </c>
      <c r="V275" s="177" t="n">
        <v>1807.71352048798</v>
      </c>
      <c r="W275" s="177" t="n">
        <v>72.4988264532549</v>
      </c>
      <c r="X275" s="179" t="n">
        <v>0.0385588503187936</v>
      </c>
      <c r="Y275" s="177" t="n">
        <v>10.15</v>
      </c>
      <c r="Z275" s="177" t="n">
        <v>43.4</v>
      </c>
      <c r="AA275" s="177" t="n">
        <v>120.192307692308</v>
      </c>
      <c r="AB275" s="177" t="n">
        <v>2196.13465463355</v>
      </c>
      <c r="AC275" s="215" t="n">
        <v>0.336</v>
      </c>
      <c r="AD275" s="215" t="s">
        <v>88</v>
      </c>
      <c r="AE275" s="177" t="n">
        <v>2298.24</v>
      </c>
      <c r="AF275" s="177" t="n">
        <v>102.105345366453</v>
      </c>
      <c r="AG275" s="181" t="n">
        <v>0.0444276252116633</v>
      </c>
      <c r="AH275" s="180" t="n">
        <v>1880.21234694124</v>
      </c>
      <c r="AI275" s="181" t="n">
        <v>0.81810966084536</v>
      </c>
      <c r="AJ275" s="181"/>
      <c r="AK275" s="181" t="s">
        <v>1239</v>
      </c>
      <c r="AL275" s="182" t="n">
        <v>0.321072317928881</v>
      </c>
      <c r="AN275" s="144" t="e">
        <v>#NAME?</v>
      </c>
      <c r="AO275" s="144" t="e">
        <f aca="false">_xlfn.xlookup(AN275,A:A,F:F)</f>
        <v>#NAME?</v>
      </c>
      <c r="AP275" s="144" t="e">
        <f aca="false">_xlfn.xlookup(AN275,A:A,J:J)</f>
        <v>#NAME?</v>
      </c>
      <c r="AQ275" s="144" t="e">
        <f aca="false">_xlfn.xlookup(AN275,A:A,N:N)+_xlfn.xlookup(AN275,A:A,O:O)</f>
        <v>#NAME?</v>
      </c>
      <c r="AR275" s="150" t="e">
        <f aca="false">_xlfn.xlookup(AN275,A:A,AH:AH)</f>
        <v>#NAME?</v>
      </c>
      <c r="AS275" s="150" t="e">
        <f aca="false">_xlfn.xlookup(AN275,A:A,S:S)</f>
        <v>#NAME?</v>
      </c>
      <c r="AT275" s="150" t="e">
        <f aca="false">_xlfn.xlookup(AN275,A:A,AE:AE)</f>
        <v>#NAME?</v>
      </c>
      <c r="AU275" s="150" t="e">
        <f aca="false">_xlfn.xlookup(AN275,A:A,AF:AF)</f>
        <v>#NAME?</v>
      </c>
      <c r="BH275" s="152" t="e">
        <f aca="false">_xlfn.xlookup(BG275,A:A,F:F)</f>
        <v>#NAME?</v>
      </c>
      <c r="BI275" s="144" t="e">
        <f aca="false">_xlfn.xlookup(BG275,A:A,J:J)</f>
        <v>#NAME?</v>
      </c>
      <c r="BJ275" s="153" t="e">
        <f aca="false">_xlfn.xlookup(BG275,A:A,N:N)+_xlfn.xlookup(BG275,A:A,O:O)</f>
        <v>#NAME?</v>
      </c>
      <c r="BK275" s="153" t="e">
        <f aca="false">_xlfn.xlookup(BG275,A224:A1218,AB224:AB1218)</f>
        <v>#NAME?</v>
      </c>
      <c r="BQ275" s="144" t="str">
        <f aca="false">IF(VALUE(MONTH(C275))&lt;10,YEAR(C275)&amp;"-0"&amp;MONTH(C275),YEAR(C275)&amp;"-"&amp;MONTH(C275))</f>
        <v>2025-03</v>
      </c>
      <c r="BR275" s="144" t="str">
        <f aca="false">J275</f>
        <v>S21-1</v>
      </c>
      <c r="BS275" s="144" t="str">
        <f aca="false">IF(ISNUMBER(FIND("-", BR275)), LEFT(BR275, FIND("-", BR275) - 1), BR275)</f>
        <v>S21</v>
      </c>
      <c r="BT275" s="189" t="n">
        <f aca="false">L275-M275+O275</f>
        <v>7114.32</v>
      </c>
    </row>
    <row r="276" customFormat="false" ht="16.4" hidden="false" customHeight="false" outlineLevel="0" collapsed="false">
      <c r="A276" s="140" t="s">
        <v>1240</v>
      </c>
      <c r="B276" s="249" t="s">
        <v>893</v>
      </c>
      <c r="C276" s="174" t="n">
        <v>45720</v>
      </c>
      <c r="D276" s="173" t="n">
        <v>373</v>
      </c>
      <c r="E276" s="138" t="s">
        <v>120</v>
      </c>
      <c r="F276" s="138" t="s">
        <v>617</v>
      </c>
      <c r="G276" s="140" t="n">
        <v>14381</v>
      </c>
      <c r="H276" s="173" t="n">
        <v>40171</v>
      </c>
      <c r="I276" s="173" t="n">
        <v>30047</v>
      </c>
      <c r="J276" s="140" t="s">
        <v>762</v>
      </c>
      <c r="K276" s="140"/>
      <c r="L276" s="175" t="n">
        <v>14228.94792</v>
      </c>
      <c r="M276" s="175" t="n">
        <v>7119.8952</v>
      </c>
      <c r="N276" s="175" t="n">
        <v>7056</v>
      </c>
      <c r="O276" s="175"/>
      <c r="P276" s="175" t="n">
        <v>120.236</v>
      </c>
      <c r="Q276" s="176" t="n">
        <v>2</v>
      </c>
      <c r="R276" s="138" t="n">
        <v>1.5</v>
      </c>
      <c r="S276" s="177" t="n">
        <v>112.2</v>
      </c>
      <c r="T276" s="215"/>
      <c r="U276" s="178" t="n">
        <v>0.259635140959208</v>
      </c>
      <c r="V276" s="177" t="n">
        <v>1831.98555460817</v>
      </c>
      <c r="W276" s="177" t="n">
        <v>13.7743504354698</v>
      </c>
      <c r="X276" s="179" t="n">
        <v>0.00372850616210573</v>
      </c>
      <c r="Y276" s="177" t="n">
        <v>20.3399233333333</v>
      </c>
      <c r="Z276" s="177" t="n">
        <v>43.4</v>
      </c>
      <c r="AA276" s="177" t="n">
        <v>90.1442307692308</v>
      </c>
      <c r="AB276" s="177" t="n">
        <v>2111.84405914621</v>
      </c>
      <c r="AC276" s="215" t="n">
        <v>0.347</v>
      </c>
      <c r="AD276" s="215" t="s">
        <v>88</v>
      </c>
      <c r="AE276" s="177" t="n">
        <v>2448.432</v>
      </c>
      <c r="AF276" s="177" t="n">
        <v>336.587940853794</v>
      </c>
      <c r="AG276" s="181" t="n">
        <v>0.137470814322715</v>
      </c>
      <c r="AH276" s="180" t="n">
        <v>1845.75990504364</v>
      </c>
      <c r="AI276" s="181" t="n">
        <v>0.753853856281751</v>
      </c>
      <c r="AJ276" s="181"/>
      <c r="AK276" s="181" t="s">
        <v>1240</v>
      </c>
      <c r="AL276" s="182" t="n">
        <v>0.299297627430018</v>
      </c>
      <c r="AN276" s="144" t="e">
        <v>#NAME?</v>
      </c>
      <c r="AO276" s="144" t="e">
        <f aca="false">_xlfn.xlookup(AN276,A:A,F:F)</f>
        <v>#NAME?</v>
      </c>
      <c r="AP276" s="144" t="e">
        <f aca="false">_xlfn.xlookup(AN276,A:A,J:J)</f>
        <v>#NAME?</v>
      </c>
      <c r="AQ276" s="144" t="e">
        <f aca="false">_xlfn.xlookup(AN276,A:A,N:N)+_xlfn.xlookup(AN276,A:A,O:O)</f>
        <v>#NAME?</v>
      </c>
      <c r="AR276" s="150" t="e">
        <f aca="false">_xlfn.xlookup(AN276,A:A,AH:AH)</f>
        <v>#NAME?</v>
      </c>
      <c r="AS276" s="150" t="e">
        <f aca="false">_xlfn.xlookup(AN276,A:A,S:S)</f>
        <v>#NAME?</v>
      </c>
      <c r="AT276" s="150" t="e">
        <f aca="false">_xlfn.xlookup(AN276,A:A,AE:AE)</f>
        <v>#NAME?</v>
      </c>
      <c r="AU276" s="150" t="e">
        <f aca="false">_xlfn.xlookup(AN276,A:A,AF:AF)</f>
        <v>#NAME?</v>
      </c>
      <c r="BH276" s="152" t="e">
        <f aca="false">_xlfn.xlookup(BG276,A:A,F:F)</f>
        <v>#NAME?</v>
      </c>
      <c r="BI276" s="144" t="e">
        <f aca="false">_xlfn.xlookup(BG276,A:A,J:J)</f>
        <v>#NAME?</v>
      </c>
      <c r="BJ276" s="153" t="e">
        <f aca="false">_xlfn.xlookup(BG276,A:A,N:N)+_xlfn.xlookup(BG276,A:A,O:O)</f>
        <v>#NAME?</v>
      </c>
      <c r="BK276" s="153" t="e">
        <f aca="false">_xlfn.xlookup(BG276,A225:A1219,AB225:AB1219)</f>
        <v>#NAME?</v>
      </c>
      <c r="BQ276" s="144" t="str">
        <f aca="false">IF(VALUE(MONTH(C276))&lt;10,YEAR(C276)&amp;"-0"&amp;MONTH(C276),YEAR(C276)&amp;"-"&amp;MONTH(C276))</f>
        <v>2025-03</v>
      </c>
      <c r="BR276" s="144" t="str">
        <f aca="false">J276</f>
        <v>S15-3</v>
      </c>
      <c r="BS276" s="144" t="str">
        <f aca="false">IF(ISNUMBER(FIND("-", BR276)), LEFT(BR276, FIND("-", BR276) - 1), BR276)</f>
        <v>S15</v>
      </c>
      <c r="BT276" s="189" t="n">
        <f aca="false">L276-M276+O276</f>
        <v>7109.05272</v>
      </c>
    </row>
    <row r="277" customFormat="false" ht="16.4" hidden="false" customHeight="false" outlineLevel="0" collapsed="false">
      <c r="A277" s="140" t="s">
        <v>1241</v>
      </c>
      <c r="B277" s="249" t="s">
        <v>893</v>
      </c>
      <c r="C277" s="174" t="n">
        <v>45721</v>
      </c>
      <c r="D277" s="173" t="n">
        <v>374</v>
      </c>
      <c r="E277" s="138" t="s">
        <v>210</v>
      </c>
      <c r="F277" s="138" t="s">
        <v>575</v>
      </c>
      <c r="G277" s="140" t="n">
        <v>3106</v>
      </c>
      <c r="H277" s="173" t="n">
        <v>40322</v>
      </c>
      <c r="I277" s="173" t="n">
        <v>30028</v>
      </c>
      <c r="J277" s="140" t="s">
        <v>764</v>
      </c>
      <c r="K277" s="140"/>
      <c r="L277" s="175" t="n">
        <v>14371.345824</v>
      </c>
      <c r="M277" s="175" t="n">
        <v>0</v>
      </c>
      <c r="N277" s="175" t="n">
        <v>14263.2</v>
      </c>
      <c r="O277" s="175"/>
      <c r="P277" s="175" t="n">
        <v>120</v>
      </c>
      <c r="Q277" s="176" t="n">
        <v>2</v>
      </c>
      <c r="R277" s="138" t="n">
        <v>4.25</v>
      </c>
      <c r="S277" s="177" t="n">
        <v>201.475</v>
      </c>
      <c r="T277" s="215"/>
      <c r="U277" s="178" t="n">
        <v>0.307208514182256</v>
      </c>
      <c r="V277" s="177" t="n">
        <v>4381.77647948435</v>
      </c>
      <c r="W277" s="177" t="n">
        <v>33.2233179060555</v>
      </c>
      <c r="X277" s="179" t="n">
        <v>0.00752510066380818</v>
      </c>
      <c r="Y277" s="177" t="n">
        <v>20.3</v>
      </c>
      <c r="Z277" s="177" t="n">
        <v>43.4</v>
      </c>
      <c r="AA277" s="177" t="n">
        <v>255.408653846154</v>
      </c>
      <c r="AB277" s="177" t="n">
        <v>4935.58345123656</v>
      </c>
      <c r="AC277" s="215" t="n">
        <v>0.452</v>
      </c>
      <c r="AD277" s="215" t="s">
        <v>88</v>
      </c>
      <c r="AE277" s="177" t="n">
        <v>6446.9664</v>
      </c>
      <c r="AF277" s="177" t="n">
        <v>1511.38294876344</v>
      </c>
      <c r="AG277" s="181" t="n">
        <v>0.234433197722798</v>
      </c>
      <c r="AH277" s="180" t="n">
        <v>4414.99979739041</v>
      </c>
      <c r="AI277" s="181" t="n">
        <v>0.684818180127387</v>
      </c>
      <c r="AJ277" s="181"/>
      <c r="AK277" s="181" t="s">
        <v>1241</v>
      </c>
      <c r="AL277" s="182" t="n">
        <v>0.346036194629295</v>
      </c>
      <c r="AN277" s="144" t="e">
        <v>#NAME?</v>
      </c>
      <c r="AO277" s="144" t="e">
        <f aca="false">_xlfn.xlookup(AN277,A:A,F:F)</f>
        <v>#NAME?</v>
      </c>
      <c r="AP277" s="144" t="e">
        <f aca="false">_xlfn.xlookup(AN277,A:A,J:J)</f>
        <v>#NAME?</v>
      </c>
      <c r="AQ277" s="144" t="e">
        <f aca="false">_xlfn.xlookup(AN277,A:A,N:N)+_xlfn.xlookup(AN277,A:A,O:O)</f>
        <v>#NAME?</v>
      </c>
      <c r="AR277" s="150" t="e">
        <f aca="false">_xlfn.xlookup(AN277,A:A,AH:AH)</f>
        <v>#NAME?</v>
      </c>
      <c r="AS277" s="150" t="e">
        <f aca="false">_xlfn.xlookup(AN277,A:A,S:S)</f>
        <v>#NAME?</v>
      </c>
      <c r="AT277" s="150" t="e">
        <f aca="false">_xlfn.xlookup(AN277,A:A,AE:AE)</f>
        <v>#NAME?</v>
      </c>
      <c r="AU277" s="150" t="e">
        <f aca="false">_xlfn.xlookup(AN277,A:A,AF:AF)</f>
        <v>#NAME?</v>
      </c>
      <c r="BH277" s="152" t="e">
        <f aca="false">_xlfn.xlookup(BG277,A:A,F:F)</f>
        <v>#NAME?</v>
      </c>
      <c r="BI277" s="144" t="e">
        <f aca="false">_xlfn.xlookup(BG277,A:A,J:J)</f>
        <v>#NAME?</v>
      </c>
      <c r="BJ277" s="153" t="e">
        <f aca="false">_xlfn.xlookup(BG277,A:A,N:N)+_xlfn.xlookup(BG277,A:A,O:O)</f>
        <v>#NAME?</v>
      </c>
      <c r="BK277" s="153" t="e">
        <f aca="false">_xlfn.xlookup(BG277,A226:A1220,AB226:AB1220)</f>
        <v>#NAME?</v>
      </c>
      <c r="BQ277" s="144" t="str">
        <f aca="false">IF(VALUE(MONTH(C277))&lt;10,YEAR(C277)&amp;"-0"&amp;MONTH(C277),YEAR(C277)&amp;"-"&amp;MONTH(C277))</f>
        <v>2025-03</v>
      </c>
      <c r="BR277" s="144" t="str">
        <f aca="false">J277</f>
        <v>B15-3</v>
      </c>
      <c r="BS277" s="144" t="str">
        <f aca="false">IF(ISNUMBER(FIND("-", BR277)), LEFT(BR277, FIND("-", BR277) - 1), BR277)</f>
        <v>B15</v>
      </c>
      <c r="BT277" s="189" t="n">
        <f aca="false">L277-M277+O277</f>
        <v>14371.345824</v>
      </c>
    </row>
    <row r="278" customFormat="false" ht="16.4" hidden="false" customHeight="false" outlineLevel="0" collapsed="false">
      <c r="A278" s="140" t="s">
        <v>1242</v>
      </c>
      <c r="B278" s="249" t="s">
        <v>893</v>
      </c>
      <c r="C278" s="174" t="n">
        <v>45721</v>
      </c>
      <c r="D278" s="173" t="n">
        <v>374</v>
      </c>
      <c r="E278" s="138" t="s">
        <v>210</v>
      </c>
      <c r="F278" s="138" t="s">
        <v>575</v>
      </c>
      <c r="G278" s="140" t="n">
        <v>3106</v>
      </c>
      <c r="H278" s="173" t="n">
        <v>40323</v>
      </c>
      <c r="I278" s="173" t="n">
        <v>30027</v>
      </c>
      <c r="J278" s="140" t="s">
        <v>768</v>
      </c>
      <c r="K278" s="140"/>
      <c r="L278" s="175" t="n">
        <v>7083.7536</v>
      </c>
      <c r="M278" s="175" t="n">
        <v>0</v>
      </c>
      <c r="N278" s="175" t="n">
        <v>7020</v>
      </c>
      <c r="O278" s="175"/>
      <c r="P278" s="175" t="n">
        <v>60</v>
      </c>
      <c r="Q278" s="176" t="n">
        <v>2</v>
      </c>
      <c r="R278" s="138" t="n">
        <v>2.25</v>
      </c>
      <c r="S278" s="177" t="n">
        <v>201.475</v>
      </c>
      <c r="T278" s="215"/>
      <c r="U278" s="178" t="n">
        <v>0.307208514182256</v>
      </c>
      <c r="V278" s="177" t="n">
        <v>2156.60376955944</v>
      </c>
      <c r="W278" s="177" t="n">
        <v>19.5856487297699</v>
      </c>
      <c r="X278" s="179" t="n">
        <v>0.0089999742509395</v>
      </c>
      <c r="Y278" s="177" t="n">
        <v>10.15</v>
      </c>
      <c r="Z278" s="177" t="n">
        <v>43.4</v>
      </c>
      <c r="AA278" s="177" t="n">
        <v>135.216346153846</v>
      </c>
      <c r="AB278" s="177" t="n">
        <v>2566.43076444305</v>
      </c>
      <c r="AC278" s="215" t="n">
        <v>0.452</v>
      </c>
      <c r="AD278" s="215" t="s">
        <v>88</v>
      </c>
      <c r="AE278" s="177" t="n">
        <v>3173.04</v>
      </c>
      <c r="AF278" s="177" t="n">
        <v>606.609235556948</v>
      </c>
      <c r="AG278" s="181" t="n">
        <v>0.191176044284644</v>
      </c>
      <c r="AH278" s="180" t="n">
        <v>2176.18941828921</v>
      </c>
      <c r="AI278" s="181" t="n">
        <v>0.685837373083606</v>
      </c>
      <c r="AJ278" s="181"/>
      <c r="AK278" s="181" t="s">
        <v>1242</v>
      </c>
      <c r="AL278" s="182" t="n">
        <v>0.365588427983341</v>
      </c>
      <c r="AN278" s="144" t="e">
        <v>#NAME?</v>
      </c>
      <c r="AO278" s="144" t="e">
        <f aca="false">_xlfn.xlookup(AN278,A:A,F:F)</f>
        <v>#NAME?</v>
      </c>
      <c r="AP278" s="144" t="e">
        <f aca="false">_xlfn.xlookup(AN278,A:A,J:J)</f>
        <v>#NAME?</v>
      </c>
      <c r="AQ278" s="144" t="e">
        <f aca="false">_xlfn.xlookup(AN278,A:A,N:N)+_xlfn.xlookup(AN278,A:A,O:O)</f>
        <v>#NAME?</v>
      </c>
      <c r="AR278" s="150" t="e">
        <f aca="false">_xlfn.xlookup(AN278,A:A,AH:AH)</f>
        <v>#NAME?</v>
      </c>
      <c r="AS278" s="150" t="e">
        <f aca="false">_xlfn.xlookup(AN278,A:A,S:S)</f>
        <v>#NAME?</v>
      </c>
      <c r="AT278" s="150" t="e">
        <f aca="false">_xlfn.xlookup(AN278,A:A,AE:AE)</f>
        <v>#NAME?</v>
      </c>
      <c r="AU278" s="150" t="e">
        <f aca="false">_xlfn.xlookup(AN278,A:A,AF:AF)</f>
        <v>#NAME?</v>
      </c>
      <c r="BH278" s="152" t="e">
        <f aca="false">_xlfn.xlookup(BG278,A:A,F:F)</f>
        <v>#NAME?</v>
      </c>
      <c r="BI278" s="144" t="e">
        <f aca="false">_xlfn.xlookup(BG278,A:A,J:J)</f>
        <v>#NAME?</v>
      </c>
      <c r="BJ278" s="153" t="e">
        <f aca="false">_xlfn.xlookup(BG278,A:A,N:N)+_xlfn.xlookup(BG278,A:A,O:O)</f>
        <v>#NAME?</v>
      </c>
      <c r="BK278" s="153" t="e">
        <f aca="false">_xlfn.xlookup(BG278,A227:A1221,AB227:AB1221)</f>
        <v>#NAME?</v>
      </c>
      <c r="BQ278" s="144" t="str">
        <f aca="false">IF(VALUE(MONTH(C278))&lt;10,YEAR(C278)&amp;"-0"&amp;MONTH(C278),YEAR(C278)&amp;"-"&amp;MONTH(C278))</f>
        <v>2025-03</v>
      </c>
      <c r="BR278" s="144" t="str">
        <f aca="false">J278</f>
        <v>B25-3</v>
      </c>
      <c r="BS278" s="144" t="str">
        <f aca="false">IF(ISNUMBER(FIND("-", BR278)), LEFT(BR278, FIND("-", BR278) - 1), BR278)</f>
        <v>B25</v>
      </c>
      <c r="BT278" s="189" t="n">
        <f aca="false">L278-M278+O278</f>
        <v>7083.7536</v>
      </c>
    </row>
    <row r="279" customFormat="false" ht="16.4" hidden="false" customHeight="false" outlineLevel="0" collapsed="false">
      <c r="A279" s="140" t="s">
        <v>1243</v>
      </c>
      <c r="B279" s="249" t="s">
        <v>893</v>
      </c>
      <c r="C279" s="174" t="n">
        <v>45721</v>
      </c>
      <c r="D279" s="173" t="n">
        <v>375</v>
      </c>
      <c r="E279" s="138" t="s">
        <v>96</v>
      </c>
      <c r="F279" s="138" t="s">
        <v>582</v>
      </c>
      <c r="G279" s="140" t="s">
        <v>415</v>
      </c>
      <c r="H279" s="173" t="n">
        <v>0</v>
      </c>
      <c r="I279" s="173" t="n">
        <v>30037</v>
      </c>
      <c r="J279" s="140" t="s">
        <v>1230</v>
      </c>
      <c r="K279" s="140"/>
      <c r="L279" s="175" t="n">
        <v>142.8</v>
      </c>
      <c r="M279" s="175" t="n">
        <v>31.08</v>
      </c>
      <c r="N279" s="175" t="n">
        <v>88.065</v>
      </c>
      <c r="O279" s="175"/>
      <c r="P279" s="175" t="n">
        <v>12.875</v>
      </c>
      <c r="Q279" s="176" t="n">
        <v>1</v>
      </c>
      <c r="R279" s="138" t="n">
        <v>1</v>
      </c>
      <c r="S279" s="177" t="n">
        <v>0</v>
      </c>
      <c r="T279" s="215"/>
      <c r="U279" s="178" t="n">
        <v>0.475309731763155</v>
      </c>
      <c r="V279" s="177" t="n">
        <v>41.8581515277222</v>
      </c>
      <c r="W279" s="177" t="n">
        <v>11.2434517048574</v>
      </c>
      <c r="X279" s="179" t="n">
        <v>0.165651260504202</v>
      </c>
      <c r="Y279" s="177" t="n">
        <v>2.17802083333333</v>
      </c>
      <c r="Z279" s="177" t="n">
        <v>21.7</v>
      </c>
      <c r="AA279" s="177" t="n">
        <v>60.0961538461539</v>
      </c>
      <c r="AB279" s="177" t="n">
        <v>137.075777912067</v>
      </c>
      <c r="AC279" s="215"/>
      <c r="AD279" s="215"/>
      <c r="AE279" s="177" t="n">
        <v>0</v>
      </c>
      <c r="AF279" s="177" t="n">
        <v>-137.075777912067</v>
      </c>
      <c r="AG279" s="181"/>
      <c r="AH279" s="180" t="n">
        <v>53.1016032325797</v>
      </c>
      <c r="AI279" s="181"/>
      <c r="AJ279" s="181" t="s">
        <v>895</v>
      </c>
      <c r="AK279" s="181" t="s">
        <v>1243</v>
      </c>
      <c r="AL279" s="182" t="n">
        <v>1.55652958510267</v>
      </c>
      <c r="AN279" s="144" t="e">
        <v>#NAME?</v>
      </c>
      <c r="AO279" s="144" t="e">
        <f aca="false">_xlfn.xlookup(AN279,A:A,F:F)</f>
        <v>#NAME?</v>
      </c>
      <c r="AP279" s="144" t="e">
        <f aca="false">_xlfn.xlookup(AN279,A:A,J:J)</f>
        <v>#NAME?</v>
      </c>
      <c r="AQ279" s="144" t="e">
        <f aca="false">_xlfn.xlookup(AN279,A:A,N:N)+_xlfn.xlookup(AN279,A:A,O:O)</f>
        <v>#NAME?</v>
      </c>
      <c r="AR279" s="150" t="e">
        <f aca="false">_xlfn.xlookup(AN279,A:A,AH:AH)</f>
        <v>#NAME?</v>
      </c>
      <c r="AS279" s="150" t="e">
        <f aca="false">_xlfn.xlookup(AN279,A:A,S:S)</f>
        <v>#NAME?</v>
      </c>
      <c r="AT279" s="150" t="e">
        <f aca="false">_xlfn.xlookup(AN279,A:A,AE:AE)</f>
        <v>#NAME?</v>
      </c>
      <c r="AU279" s="150" t="e">
        <f aca="false">_xlfn.xlookup(AN279,A:A,AF:AF)</f>
        <v>#NAME?</v>
      </c>
      <c r="BH279" s="152" t="e">
        <f aca="false">_xlfn.xlookup(BG279,A:A,F:F)</f>
        <v>#NAME?</v>
      </c>
      <c r="BI279" s="144" t="e">
        <f aca="false">_xlfn.xlookup(BG279,A:A,J:J)</f>
        <v>#NAME?</v>
      </c>
      <c r="BJ279" s="153" t="e">
        <f aca="false">_xlfn.xlookup(BG279,A:A,N:N)+_xlfn.xlookup(BG279,A:A,O:O)</f>
        <v>#NAME?</v>
      </c>
      <c r="BK279" s="153" t="e">
        <f aca="false">_xlfn.xlookup(BG279,A228:A1222,AB228:AB1222)</f>
        <v>#NAME?</v>
      </c>
      <c r="BQ279" s="144" t="str">
        <f aca="false">IF(VALUE(MONTH(C279))&lt;10,YEAR(C279)&amp;"-0"&amp;MONTH(C279),YEAR(C279)&amp;"-"&amp;MONTH(C279))</f>
        <v>2025-03</v>
      </c>
      <c r="BR279" s="144" t="str">
        <f aca="false">J279</f>
        <v>DF52-3</v>
      </c>
      <c r="BS279" s="144" t="str">
        <f aca="false">IF(ISNUMBER(FIND("-", BR279)), LEFT(BR279, FIND("-", BR279) - 1), BR279)</f>
        <v>DF52</v>
      </c>
      <c r="BT279" s="189" t="n">
        <f aca="false">L279-M279+O279</f>
        <v>111.72</v>
      </c>
    </row>
    <row r="280" customFormat="false" ht="16.4" hidden="false" customHeight="false" outlineLevel="0" collapsed="false">
      <c r="A280" s="140" t="s">
        <v>1244</v>
      </c>
      <c r="B280" s="249" t="s">
        <v>893</v>
      </c>
      <c r="C280" s="174" t="n">
        <v>45723</v>
      </c>
      <c r="D280" s="173" t="n">
        <v>376</v>
      </c>
      <c r="E280" s="138" t="s">
        <v>300</v>
      </c>
      <c r="F280" s="138" t="s">
        <v>462</v>
      </c>
      <c r="G280" s="140" t="s">
        <v>416</v>
      </c>
      <c r="H280" s="173" t="n">
        <v>40325</v>
      </c>
      <c r="I280" s="173" t="n">
        <v>30043</v>
      </c>
      <c r="J280" s="140" t="s">
        <v>740</v>
      </c>
      <c r="K280" s="140"/>
      <c r="L280" s="175" t="n">
        <v>6079.818</v>
      </c>
      <c r="M280" s="175" t="n">
        <v>2313</v>
      </c>
      <c r="N280" s="175" t="n">
        <v>3709.125</v>
      </c>
      <c r="O280" s="175"/>
      <c r="P280" s="175" t="n">
        <v>60</v>
      </c>
      <c r="Q280" s="176" t="n">
        <v>1</v>
      </c>
      <c r="R280" s="138" t="n">
        <v>5.75</v>
      </c>
      <c r="S280" s="177" t="n">
        <f aca="false">190/2</f>
        <v>95</v>
      </c>
      <c r="T280" s="215"/>
      <c r="U280" s="178" t="n">
        <v>0.346913319532401</v>
      </c>
      <c r="V280" s="177" t="n">
        <v>1286.74486631062</v>
      </c>
      <c r="W280" s="177" t="n">
        <v>20.0144701437832</v>
      </c>
      <c r="X280" s="179" t="n">
        <v>0.00948926431679388</v>
      </c>
      <c r="Y280" s="177" t="n">
        <v>10.15</v>
      </c>
      <c r="Z280" s="177" t="n">
        <v>21.7</v>
      </c>
      <c r="AA280" s="177" t="n">
        <v>345.552884615385</v>
      </c>
      <c r="AB280" s="177" t="n">
        <v>1684.16222106979</v>
      </c>
      <c r="AC280" s="215" t="n">
        <v>0.472</v>
      </c>
      <c r="AD280" s="215" t="s">
        <v>88</v>
      </c>
      <c r="AE280" s="177" t="n">
        <v>1750.707</v>
      </c>
      <c r="AF280" s="177" t="n">
        <v>66.5447789302143</v>
      </c>
      <c r="AG280" s="181" t="n">
        <v>0.0380102318264646</v>
      </c>
      <c r="AH280" s="180" t="n">
        <v>1306.7593364544</v>
      </c>
      <c r="AI280" s="181" t="n">
        <v>0.746418067931642</v>
      </c>
      <c r="AJ280" s="181"/>
      <c r="AK280" s="181" t="s">
        <v>1244</v>
      </c>
      <c r="AL280" s="182" t="n">
        <v>0.454059170577909</v>
      </c>
      <c r="AN280" s="144" t="e">
        <v>#NAME?</v>
      </c>
      <c r="AO280" s="144" t="e">
        <f aca="false">_xlfn.xlookup(AN280,A:A,F:F)</f>
        <v>#NAME?</v>
      </c>
      <c r="AP280" s="144" t="e">
        <f aca="false">_xlfn.xlookup(AN280,A:A,J:J)</f>
        <v>#NAME?</v>
      </c>
      <c r="AQ280" s="144" t="e">
        <f aca="false">_xlfn.xlookup(AN280,A:A,N:N)+_xlfn.xlookup(AN280,A:A,O:O)</f>
        <v>#NAME?</v>
      </c>
      <c r="AR280" s="150" t="e">
        <f aca="false">_xlfn.xlookup(AN280,A:A,AH:AH)</f>
        <v>#NAME?</v>
      </c>
      <c r="AS280" s="150" t="e">
        <f aca="false">_xlfn.xlookup(AN280,A:A,S:S)</f>
        <v>#NAME?</v>
      </c>
      <c r="AT280" s="150" t="e">
        <f aca="false">_xlfn.xlookup(AN280,A:A,AE:AE)</f>
        <v>#NAME?</v>
      </c>
      <c r="AU280" s="150" t="e">
        <f aca="false">_xlfn.xlookup(AN280,A:A,AF:AF)</f>
        <v>#NAME?</v>
      </c>
      <c r="BH280" s="152" t="e">
        <f aca="false">_xlfn.xlookup(BG280,A:A,F:F)</f>
        <v>#NAME?</v>
      </c>
      <c r="BI280" s="144" t="e">
        <f aca="false">_xlfn.xlookup(BG280,A:A,J:J)</f>
        <v>#NAME?</v>
      </c>
      <c r="BJ280" s="153" t="e">
        <f aca="false">_xlfn.xlookup(BG280,A:A,N:N)+_xlfn.xlookup(BG280,A:A,O:O)</f>
        <v>#NAME?</v>
      </c>
      <c r="BK280" s="153" t="e">
        <f aca="false">_xlfn.xlookup(BG280,A229:A1223,AB229:AB1223)</f>
        <v>#NAME?</v>
      </c>
      <c r="BQ280" s="144" t="str">
        <f aca="false">IF(VALUE(MONTH(C280))&lt;10,YEAR(C280)&amp;"-0"&amp;MONTH(C280),YEAR(C280)&amp;"-"&amp;MONTH(C280))</f>
        <v>2025-03</v>
      </c>
      <c r="BR280" s="144" t="str">
        <f aca="false">J280</f>
        <v>D11-12</v>
      </c>
      <c r="BS280" s="144" t="str">
        <f aca="false">IF(ISNUMBER(FIND("-", BR280)), LEFT(BR280, FIND("-", BR280) - 1), BR280)</f>
        <v>D11</v>
      </c>
      <c r="BT280" s="189" t="n">
        <f aca="false">L280-M280+O280</f>
        <v>3766.818</v>
      </c>
    </row>
    <row r="281" customFormat="false" ht="16.4" hidden="false" customHeight="false" outlineLevel="0" collapsed="false">
      <c r="A281" s="140" t="s">
        <v>1245</v>
      </c>
      <c r="B281" s="249" t="s">
        <v>893</v>
      </c>
      <c r="C281" s="174" t="n">
        <v>45726</v>
      </c>
      <c r="D281" s="173" t="n">
        <v>376</v>
      </c>
      <c r="E281" s="138" t="s">
        <v>300</v>
      </c>
      <c r="F281" s="138" t="s">
        <v>462</v>
      </c>
      <c r="G281" s="140" t="s">
        <v>416</v>
      </c>
      <c r="H281" s="173" t="s">
        <v>484</v>
      </c>
      <c r="I281" s="173" t="n">
        <v>30047</v>
      </c>
      <c r="J281" s="140" t="s">
        <v>762</v>
      </c>
      <c r="K281" s="140"/>
      <c r="L281" s="175" t="n">
        <v>7119.8952</v>
      </c>
      <c r="M281" s="175" t="n">
        <v>3578.0184</v>
      </c>
      <c r="N281" s="175" t="n">
        <v>3483.54</v>
      </c>
      <c r="O281" s="175"/>
      <c r="P281" s="175" t="n">
        <v>60</v>
      </c>
      <c r="Q281" s="176" t="n">
        <v>2</v>
      </c>
      <c r="R281" s="138" t="n">
        <v>3</v>
      </c>
      <c r="S281" s="177" t="n">
        <f aca="false">190/2</f>
        <v>95</v>
      </c>
      <c r="T281" s="215"/>
      <c r="U281" s="178" t="n">
        <v>0.259635140959208</v>
      </c>
      <c r="V281" s="177" t="n">
        <f aca="false">(N281+O281)*U281</f>
        <v>904.449398937039</v>
      </c>
      <c r="W281" s="177" t="n">
        <f aca="false">(L281-N281-M281)*U281</f>
        <v>15.1462832911089</v>
      </c>
      <c r="X281" s="179" t="n">
        <f aca="false">IFERROR((L281-N281-M281)/L281,"")</f>
        <v>0.00819349138734502</v>
      </c>
      <c r="Y281" s="177" t="n">
        <f aca="false">10.15/60*P281</f>
        <v>10.15</v>
      </c>
      <c r="Z281" s="177" t="n">
        <f aca="false">21.7*Q281</f>
        <v>43.4</v>
      </c>
      <c r="AA281" s="177" t="n">
        <f aca="false">125000/52/40*R281</f>
        <v>180.288461538462</v>
      </c>
      <c r="AB281" s="177" t="n">
        <f aca="false">(N281+O281)*U281+S281+W281+Y281+Z281+AA281</f>
        <v>1248.43414376661</v>
      </c>
      <c r="AC281" s="215" t="n">
        <v>0.363</v>
      </c>
      <c r="AD281" s="215" t="s">
        <v>88</v>
      </c>
      <c r="AE281" s="177" t="n">
        <f aca="false">IFERROR(IF(AD281="CAD",(N281+O281)*AC281,(N281+O281)*AC281*T281),0)</f>
        <v>1264.52502</v>
      </c>
      <c r="AF281" s="177" t="n">
        <f aca="false">AE281-AB281</f>
        <v>16.0908762333902</v>
      </c>
      <c r="AG281" s="181" t="n">
        <f aca="false">IFERROR(1-AB281/AE281,"")</f>
        <v>0.0127248381636531</v>
      </c>
      <c r="AH281" s="180" t="n">
        <f aca="false">((N281+O281)*U281+W281)</f>
        <v>919.595682228148</v>
      </c>
      <c r="AI281" s="181" t="n">
        <f aca="false">IFERROR(AH281/AE281,"")</f>
        <v>0.727226166096854</v>
      </c>
      <c r="AJ281" s="181" t="str">
        <f aca="false">IFERROR(IF(AE281=0,"S",""),"S")</f>
        <v/>
      </c>
      <c r="AK281" s="181" t="str">
        <f aca="false">A281</f>
        <v>LE-2025070</v>
      </c>
      <c r="AL281" s="182" t="n">
        <f aca="false">IF(E281="labeledge",(L281*U281+AB281)/M281,AB281/(N281+O281))</f>
        <v>0.358380883746594</v>
      </c>
      <c r="AN281" s="144" t="e">
        <v>#NAME?</v>
      </c>
      <c r="AO281" s="144" t="e">
        <f aca="false">_xlfn.xlookup(AN281,A:A,F:F)</f>
        <v>#NAME?</v>
      </c>
      <c r="AP281" s="144" t="e">
        <f aca="false">_xlfn.xlookup(AN281,A:A,J:J)</f>
        <v>#NAME?</v>
      </c>
      <c r="AQ281" s="144" t="e">
        <f aca="false">_xlfn.xlookup(AN281,A:A,N:N)+_xlfn.xlookup(AN281,A:A,O:O)</f>
        <v>#NAME?</v>
      </c>
      <c r="AR281" s="150" t="e">
        <f aca="false">_xlfn.xlookup(AN281,A:A,AH:AH)</f>
        <v>#NAME?</v>
      </c>
      <c r="AS281" s="150" t="e">
        <f aca="false">_xlfn.xlookup(AN281,A:A,S:S)</f>
        <v>#NAME?</v>
      </c>
      <c r="AT281" s="150" t="e">
        <f aca="false">_xlfn.xlookup(AN281,A:A,AE:AE)</f>
        <v>#NAME?</v>
      </c>
      <c r="AU281" s="150" t="e">
        <f aca="false">_xlfn.xlookup(AN281,A:A,AF:AF)</f>
        <v>#NAME?</v>
      </c>
      <c r="BH281" s="152" t="e">
        <f aca="false">_xlfn.xlookup(BG281,A:A,F:F)</f>
        <v>#NAME?</v>
      </c>
      <c r="BI281" s="144" t="e">
        <f aca="false">_xlfn.xlookup(BG281,A:A,J:J)</f>
        <v>#NAME?</v>
      </c>
      <c r="BJ281" s="153" t="e">
        <f aca="false">_xlfn.xlookup(BG281,A:A,N:N)+_xlfn.xlookup(BG281,A:A,O:O)</f>
        <v>#NAME?</v>
      </c>
      <c r="BK281" s="153" t="e">
        <f aca="false">_xlfn.xlookup(BG281,A230:A1224,AB230:AB1224)</f>
        <v>#NAME?</v>
      </c>
      <c r="BQ281" s="144" t="str">
        <f aca="false">IF(VALUE(MONTH(C281))&lt;10,YEAR(C281)&amp;"-0"&amp;MONTH(C281),YEAR(C281)&amp;"-"&amp;MONTH(C281))</f>
        <v>2025-03</v>
      </c>
      <c r="BR281" s="144" t="str">
        <f aca="false">J281</f>
        <v>S15-3</v>
      </c>
      <c r="BS281" s="144" t="str">
        <f aca="false">IF(ISNUMBER(FIND("-", BR281)), LEFT(BR281, FIND("-", BR281) - 1), BR281)</f>
        <v>S15</v>
      </c>
      <c r="BT281" s="189" t="n">
        <f aca="false">L281-M281+O281</f>
        <v>3541.8768</v>
      </c>
    </row>
    <row r="282" customFormat="false" ht="16.4" hidden="false" customHeight="false" outlineLevel="0" collapsed="false">
      <c r="A282" s="140" t="s">
        <v>1246</v>
      </c>
      <c r="B282" s="249" t="s">
        <v>893</v>
      </c>
      <c r="C282" s="174" t="n">
        <v>45723</v>
      </c>
      <c r="D282" s="173" t="n">
        <v>377</v>
      </c>
      <c r="E282" s="138" t="s">
        <v>134</v>
      </c>
      <c r="F282" s="138" t="s">
        <v>671</v>
      </c>
      <c r="G282" s="140" t="n">
        <v>10178</v>
      </c>
      <c r="H282" s="173" t="s">
        <v>517</v>
      </c>
      <c r="I282" s="173" t="n">
        <v>30039</v>
      </c>
      <c r="J282" s="140" t="s">
        <v>768</v>
      </c>
      <c r="K282" s="140"/>
      <c r="L282" s="175" t="n">
        <v>14181.241008</v>
      </c>
      <c r="M282" s="175" t="n">
        <v>0</v>
      </c>
      <c r="N282" s="175" t="n">
        <v>14112</v>
      </c>
      <c r="O282" s="175"/>
      <c r="P282" s="175" t="n">
        <v>120</v>
      </c>
      <c r="Q282" s="176" t="n">
        <v>3</v>
      </c>
      <c r="R282" s="138" t="n">
        <v>2</v>
      </c>
      <c r="S282" s="177" t="n">
        <v>158.4</v>
      </c>
      <c r="T282" s="215"/>
      <c r="U282" s="178" t="n">
        <v>0.289910376924445</v>
      </c>
      <c r="V282" s="177" t="n">
        <v>4091.21523915777</v>
      </c>
      <c r="W282" s="177" t="n">
        <v>20.0736867279088</v>
      </c>
      <c r="X282" s="179" t="n">
        <v>0.00488257748112032</v>
      </c>
      <c r="Y282" s="177" t="n">
        <v>20.3</v>
      </c>
      <c r="Z282" s="177" t="n">
        <v>65.1</v>
      </c>
      <c r="AA282" s="177" t="n">
        <v>120.192307692308</v>
      </c>
      <c r="AB282" s="177" t="n">
        <v>4475.28123357799</v>
      </c>
      <c r="AC282" s="215" t="n">
        <v>0.452</v>
      </c>
      <c r="AD282" s="215" t="s">
        <v>88</v>
      </c>
      <c r="AE282" s="177" t="n">
        <v>6378.624</v>
      </c>
      <c r="AF282" s="177" t="n">
        <v>1903.34276642201</v>
      </c>
      <c r="AG282" s="181" t="n">
        <v>0.298393943023136</v>
      </c>
      <c r="AH282" s="180" t="n">
        <v>4111.28892588568</v>
      </c>
      <c r="AI282" s="181" t="n">
        <v>0.644541663826819</v>
      </c>
      <c r="AJ282" s="181"/>
      <c r="AK282" s="262" t="s">
        <v>1246</v>
      </c>
      <c r="AL282" s="182" t="n">
        <v>0.317125937753542</v>
      </c>
      <c r="AN282" s="144" t="e">
        <v>#NAME?</v>
      </c>
      <c r="AO282" s="144" t="e">
        <f aca="false">_xlfn.xlookup(AN282,A:A,F:F)</f>
        <v>#NAME?</v>
      </c>
      <c r="AP282" s="144" t="e">
        <f aca="false">_xlfn.xlookup(AN282,A:A,J:J)</f>
        <v>#NAME?</v>
      </c>
      <c r="AQ282" s="144" t="e">
        <f aca="false">_xlfn.xlookup(AN282,A:A,N:N)+_xlfn.xlookup(AN282,A:A,O:O)</f>
        <v>#NAME?</v>
      </c>
      <c r="AR282" s="150" t="e">
        <f aca="false">_xlfn.xlookup(AN282,A:A,AH:AH)</f>
        <v>#NAME?</v>
      </c>
      <c r="AS282" s="150" t="e">
        <f aca="false">_xlfn.xlookup(AN282,A:A,S:S)</f>
        <v>#NAME?</v>
      </c>
      <c r="AT282" s="150" t="e">
        <f aca="false">_xlfn.xlookup(AN282,A:A,AE:AE)</f>
        <v>#NAME?</v>
      </c>
      <c r="AU282" s="150" t="e">
        <f aca="false">_xlfn.xlookup(AN282,A:A,AF:AF)</f>
        <v>#NAME?</v>
      </c>
      <c r="BH282" s="152" t="e">
        <f aca="false">_xlfn.xlookup(BG282,A:A,F:F)</f>
        <v>#NAME?</v>
      </c>
      <c r="BI282" s="144" t="e">
        <f aca="false">_xlfn.xlookup(BG282,A:A,J:J)</f>
        <v>#NAME?</v>
      </c>
      <c r="BJ282" s="153" t="e">
        <f aca="false">_xlfn.xlookup(BG282,A:A,N:N)+_xlfn.xlookup(BG282,A:A,O:O)</f>
        <v>#NAME?</v>
      </c>
      <c r="BK282" s="153" t="e">
        <f aca="false">_xlfn.xlookup(BG282,A231:A1225,AB231:AB1225)</f>
        <v>#NAME?</v>
      </c>
      <c r="BQ282" s="144" t="str">
        <f aca="false">IF(VALUE(MONTH(C282))&lt;10,YEAR(C282)&amp;"-0"&amp;MONTH(C282),YEAR(C282)&amp;"-"&amp;MONTH(C282))</f>
        <v>2025-03</v>
      </c>
      <c r="BR282" s="144" t="str">
        <f aca="false">J282</f>
        <v>B25-3</v>
      </c>
      <c r="BS282" s="144" t="str">
        <f aca="false">IF(ISNUMBER(FIND("-", BR282)), LEFT(BR282, FIND("-", BR282) - 1), BR282)</f>
        <v>B25</v>
      </c>
      <c r="BT282" s="189" t="n">
        <f aca="false">L282-M282+O282</f>
        <v>14181.241008</v>
      </c>
    </row>
    <row r="283" customFormat="false" ht="16.4" hidden="false" customHeight="false" outlineLevel="0" collapsed="false">
      <c r="A283" s="140" t="s">
        <v>1247</v>
      </c>
      <c r="B283" s="249" t="s">
        <v>893</v>
      </c>
      <c r="C283" s="174" t="n">
        <v>45723</v>
      </c>
      <c r="D283" s="173" t="n">
        <v>378</v>
      </c>
      <c r="E283" s="138" t="s">
        <v>96</v>
      </c>
      <c r="F283" s="138" t="s">
        <v>582</v>
      </c>
      <c r="G283" s="140" t="n">
        <v>1991</v>
      </c>
      <c r="H283" s="173" t="n">
        <v>40315</v>
      </c>
      <c r="I283" s="173" t="n">
        <v>30042</v>
      </c>
      <c r="J283" s="140" t="s">
        <v>754</v>
      </c>
      <c r="K283" s="140"/>
      <c r="L283" s="175" t="n">
        <v>19582.90488</v>
      </c>
      <c r="M283" s="175" t="n">
        <v>4879.56</v>
      </c>
      <c r="N283" s="175" t="n">
        <v>14509.095</v>
      </c>
      <c r="O283" s="175"/>
      <c r="P283" s="175" t="n">
        <v>115.875</v>
      </c>
      <c r="Q283" s="176" t="n">
        <v>3</v>
      </c>
      <c r="R283" s="138" t="n">
        <v>4</v>
      </c>
      <c r="S283" s="177" t="n">
        <v>126.5</v>
      </c>
      <c r="T283" s="215"/>
      <c r="U283" s="178" t="n">
        <v>0.273486093127953</v>
      </c>
      <c r="V283" s="177" t="n">
        <v>3968.03570637232</v>
      </c>
      <c r="W283" s="177" t="n">
        <v>53.1246407717746</v>
      </c>
      <c r="X283" s="179" t="n">
        <v>0.00991935982890823</v>
      </c>
      <c r="Y283" s="177" t="n">
        <v>19.6021875</v>
      </c>
      <c r="Z283" s="177" t="n">
        <v>65.1</v>
      </c>
      <c r="AA283" s="177" t="n">
        <v>240.384615384615</v>
      </c>
      <c r="AB283" s="177" t="n">
        <v>4472.74715002871</v>
      </c>
      <c r="AC283" s="215" t="n">
        <v>0.37</v>
      </c>
      <c r="AD283" s="215" t="s">
        <v>88</v>
      </c>
      <c r="AE283" s="177" t="n">
        <v>5368.36515</v>
      </c>
      <c r="AF283" s="177" t="n">
        <v>895.617999971289</v>
      </c>
      <c r="AG283" s="181" t="n">
        <v>0.166832541182727</v>
      </c>
      <c r="AH283" s="180" t="n">
        <v>4021.1603471441</v>
      </c>
      <c r="AI283" s="181" t="n">
        <v>0.749047472514811</v>
      </c>
      <c r="AJ283" s="181"/>
      <c r="AK283" s="181" t="s">
        <v>1247</v>
      </c>
      <c r="AL283" s="182" t="n">
        <v>0.30830711012842</v>
      </c>
      <c r="AN283" s="144" t="e">
        <v>#NAME?</v>
      </c>
      <c r="AO283" s="144" t="e">
        <f aca="false">_xlfn.xlookup(AN283,A:A,F:F)</f>
        <v>#NAME?</v>
      </c>
      <c r="AP283" s="144" t="e">
        <f aca="false">_xlfn.xlookup(AN283,A:A,J:J)</f>
        <v>#NAME?</v>
      </c>
      <c r="AQ283" s="144" t="e">
        <f aca="false">_xlfn.xlookup(AN283,A:A,N:N)+_xlfn.xlookup(AN283,A:A,O:O)</f>
        <v>#NAME?</v>
      </c>
      <c r="AR283" s="150" t="e">
        <f aca="false">_xlfn.xlookup(AN283,A:A,AH:AH)</f>
        <v>#NAME?</v>
      </c>
      <c r="AS283" s="150" t="e">
        <f aca="false">_xlfn.xlookup(AN283,A:A,S:S)</f>
        <v>#NAME?</v>
      </c>
      <c r="AT283" s="150" t="e">
        <f aca="false">_xlfn.xlookup(AN283,A:A,AE:AE)</f>
        <v>#NAME?</v>
      </c>
      <c r="AU283" s="150" t="e">
        <f aca="false">_xlfn.xlookup(AN283,A:A,AF:AF)</f>
        <v>#NAME?</v>
      </c>
      <c r="BH283" s="152" t="e">
        <f aca="false">_xlfn.xlookup(BG283,A:A,F:F)</f>
        <v>#NAME?</v>
      </c>
      <c r="BI283" s="144" t="e">
        <f aca="false">_xlfn.xlookup(BG283,A:A,J:J)</f>
        <v>#NAME?</v>
      </c>
      <c r="BJ283" s="153" t="e">
        <f aca="false">_xlfn.xlookup(BG283,A:A,N:N)+_xlfn.xlookup(BG283,A:A,O:O)</f>
        <v>#NAME?</v>
      </c>
      <c r="BK283" s="153" t="e">
        <f aca="false">_xlfn.xlookup(BG283,A232:A1226,AB232:AB1226)</f>
        <v>#NAME?</v>
      </c>
      <c r="BQ283" s="144" t="str">
        <f aca="false">IF(VALUE(MONTH(C283))&lt;10,YEAR(C283)&amp;"-0"&amp;MONTH(C283),YEAR(C283)&amp;"-"&amp;MONTH(C283))</f>
        <v>2025-03</v>
      </c>
      <c r="BR283" s="144" t="str">
        <f aca="false">J283</f>
        <v>T11-1</v>
      </c>
      <c r="BS283" s="144" t="str">
        <f aca="false">IF(ISNUMBER(FIND("-", BR283)), LEFT(BR283, FIND("-", BR283) - 1), BR283)</f>
        <v>T11</v>
      </c>
      <c r="BT283" s="189" t="n">
        <f aca="false">L283-M283+O283</f>
        <v>14703.34488</v>
      </c>
    </row>
    <row r="284" customFormat="false" ht="16.4" hidden="false" customHeight="false" outlineLevel="0" collapsed="false">
      <c r="A284" s="264" t="n">
        <v>73</v>
      </c>
      <c r="B284" s="249" t="s">
        <v>893</v>
      </c>
      <c r="C284" s="265" t="n">
        <f aca="false">_xlfn.xlookup(A284,'Liste BT'!A:A,'Liste BT'!G:G)</f>
        <v>45726</v>
      </c>
      <c r="D284" s="266" t="n">
        <f aca="false">_xlfn.xlookup(A284,'Liste BT'!A:A,'Liste BT'!F:F)</f>
        <v>379</v>
      </c>
      <c r="E284" s="255"/>
      <c r="F284" s="255" t="str">
        <f aca="false">_xlfn.xlookup(A284,'Liste BT'!A:A,'Liste BT'!D:D)</f>
        <v>Mijo</v>
      </c>
      <c r="G284" s="264" t="n">
        <f aca="false">_xlfn.xlookup(A284,'Liste BT'!A:A,'Liste BT'!E:E)</f>
        <v>14392</v>
      </c>
      <c r="H284" s="266" t="str">
        <f aca="false">_xlfn.xlookup(A284,'Liste BT'!A:A,'Liste BT'!K:K)</f>
        <v>S15</v>
      </c>
      <c r="I284" s="266"/>
      <c r="J284" s="264" t="str">
        <f aca="false">_xlfn.xlookup(A284,'Liste BT'!A:A,'Liste BT'!V:V)</f>
        <v>S15-3</v>
      </c>
      <c r="K284" s="264" t="str">
        <f aca="false">_xlfn.xlookup(A284,'Liste BT'!A:A,'Liste BT'!W:W)</f>
        <v>10064-S15</v>
      </c>
      <c r="L284" s="175" t="n">
        <v>14228.94792</v>
      </c>
      <c r="M284" s="175" t="n">
        <v>7083.7536</v>
      </c>
      <c r="N284" s="175" t="n">
        <v>7056</v>
      </c>
      <c r="O284" s="175"/>
      <c r="P284" s="175" t="n">
        <v>60</v>
      </c>
      <c r="Q284" s="176" t="n">
        <v>2</v>
      </c>
      <c r="R284" s="138" t="n">
        <v>2</v>
      </c>
      <c r="S284" s="177" t="n">
        <v>112.2</v>
      </c>
      <c r="T284" s="215"/>
      <c r="U284" s="259" t="n">
        <f aca="false">_xlfn.xlookup(K284,'[1]Prix MP'!C$1:C$1048576,'[1]Prix MP'!W$1:W$1048576, 0)</f>
        <v>0.259635140959208</v>
      </c>
      <c r="V284" s="256" t="n">
        <f aca="false">(N284+O284)*U284</f>
        <v>1831.98555460817</v>
      </c>
      <c r="W284" s="256" t="n">
        <f aca="false">(L284-N284-M284)*U284</f>
        <v>23.1579798459604</v>
      </c>
      <c r="X284" s="267" t="n">
        <f aca="false">IFERROR((L284-N284-M284)/L284,"")</f>
        <v>0.00626851124211569</v>
      </c>
      <c r="Y284" s="256" t="n">
        <f aca="false">10.15/60*P284</f>
        <v>10.15</v>
      </c>
      <c r="Z284" s="256" t="n">
        <f aca="false">21.7*Q284</f>
        <v>43.4</v>
      </c>
      <c r="AA284" s="256" t="n">
        <f aca="false">125000/52/40*R284</f>
        <v>120.192307692308</v>
      </c>
      <c r="AB284" s="256" t="n">
        <f aca="false">(N284+O284)*U284+S284+W284+Y284+Z284+AA284</f>
        <v>2141.08584214644</v>
      </c>
      <c r="AC284" s="257" t="n">
        <f aca="false">_xlfn.xlookup(D284&amp;H284,'PO item'!J:J,'PO item'!V:V,0)</f>
        <v>0.347</v>
      </c>
      <c r="AD284" s="257" t="str">
        <f aca="false">_xlfn.xlookup(D284&amp;H284,'PO item'!J:J,'PO item'!Y:Y,0)</f>
        <v>CAD</v>
      </c>
      <c r="AE284" s="256" t="n">
        <f aca="false">IFERROR(IF(AD284="CAD",(N284+O284)*AC284,(N284+O284)*AC284*T284),0)</f>
        <v>2448.432</v>
      </c>
      <c r="AF284" s="256" t="n">
        <f aca="false">AE284-AB284</f>
        <v>307.34615785356</v>
      </c>
      <c r="AG284" s="268" t="n">
        <f aca="false">IFERROR(1-AB284/AE284,"")</f>
        <v>0.125527749128242</v>
      </c>
      <c r="AH284" s="269" t="n">
        <f aca="false">((N284+O284)*U284+W284)</f>
        <v>1855.14353445413</v>
      </c>
      <c r="AI284" s="268" t="n">
        <f aca="false">IFERROR(AH284/AE284,"")</f>
        <v>0.757686361905959</v>
      </c>
      <c r="AJ284" s="268" t="str">
        <f aca="false">IFERROR(IF(AE284=0,"S",""),"S")</f>
        <v/>
      </c>
      <c r="AK284" s="270" t="n">
        <f aca="false">A284</f>
        <v>73</v>
      </c>
      <c r="AL284" s="271" t="n">
        <f aca="false">IF(E284="labeledge",(L284*U284+AB284)/M284,AB284/(N284+O284))</f>
        <v>0.3034418710525</v>
      </c>
      <c r="AN284" s="144" t="e">
        <v>#NAME?</v>
      </c>
      <c r="AO284" s="144" t="e">
        <f aca="false">_xlfn.xlookup(AN284,A:A,F:F)</f>
        <v>#NAME?</v>
      </c>
      <c r="AP284" s="144" t="e">
        <f aca="false">_xlfn.xlookup(AN284,A:A,J:J)</f>
        <v>#NAME?</v>
      </c>
      <c r="AQ284" s="144" t="e">
        <f aca="false">_xlfn.xlookup(AN284,A:A,N:N)+_xlfn.xlookup(AN284,A:A,O:O)</f>
        <v>#NAME?</v>
      </c>
      <c r="AR284" s="150" t="e">
        <f aca="false">_xlfn.xlookup(AN284,A:A,AH:AH)</f>
        <v>#NAME?</v>
      </c>
      <c r="AS284" s="150" t="e">
        <f aca="false">_xlfn.xlookup(AN284,A:A,S:S)</f>
        <v>#NAME?</v>
      </c>
      <c r="AT284" s="150" t="e">
        <f aca="false">_xlfn.xlookup(AN284,A:A,AE:AE)</f>
        <v>#NAME?</v>
      </c>
      <c r="AU284" s="150" t="e">
        <f aca="false">_xlfn.xlookup(AN284,A:A,AF:AF)</f>
        <v>#NAME?</v>
      </c>
      <c r="BH284" s="152" t="e">
        <f aca="false">_xlfn.xlookup(BG284,A:A,F:F)</f>
        <v>#NAME?</v>
      </c>
      <c r="BI284" s="144" t="e">
        <f aca="false">_xlfn.xlookup(BG284,A:A,J:J)</f>
        <v>#NAME?</v>
      </c>
      <c r="BJ284" s="153" t="e">
        <f aca="false">_xlfn.xlookup(BG284,A:A,N:N)+_xlfn.xlookup(BG284,A:A,O:O)</f>
        <v>#NAME?</v>
      </c>
      <c r="BK284" s="153" t="e">
        <f aca="false">_xlfn.xlookup(BG284,A233:A1227,AB233:AB1227)</f>
        <v>#NAME?</v>
      </c>
      <c r="BQ284" s="144" t="str">
        <f aca="false">IF(VALUE(MONTH(C284))&lt;10,YEAR(C284)&amp;"-0"&amp;MONTH(C284),YEAR(C284)&amp;"-"&amp;MONTH(C284))</f>
        <v>2025-03</v>
      </c>
      <c r="BR284" s="144" t="str">
        <f aca="false">J284</f>
        <v>S15-3</v>
      </c>
      <c r="BS284" s="144" t="str">
        <f aca="false">IF(ISNUMBER(FIND("-", BR284)), LEFT(BR284, FIND("-", BR284) - 1), BR284)</f>
        <v>S15</v>
      </c>
      <c r="BT284" s="189" t="n">
        <f aca="false">L284-M284+O284</f>
        <v>7145.19432</v>
      </c>
    </row>
    <row r="285" customFormat="false" ht="16.4" hidden="false" customHeight="false" outlineLevel="0" collapsed="false">
      <c r="A285" s="264" t="n">
        <f aca="false">A284+1</f>
        <v>74</v>
      </c>
      <c r="B285" s="249" t="s">
        <v>893</v>
      </c>
      <c r="C285" s="265" t="n">
        <f aca="false">_xlfn.xlookup(A285,'Liste BT'!A:A,'Liste BT'!G:G)</f>
        <v>45727</v>
      </c>
      <c r="D285" s="266" t="n">
        <f aca="false">_xlfn.xlookup(A285,'Liste BT'!A:A,'Liste BT'!F:F)</f>
        <v>380</v>
      </c>
      <c r="E285" s="255"/>
      <c r="F285" s="255" t="str">
        <f aca="false">_xlfn.xlookup(A285,'Liste BT'!A:A,'Liste BT'!D:D)</f>
        <v>SYL</v>
      </c>
      <c r="G285" s="264" t="str">
        <f aca="false">_xlfn.xlookup(A285,'Liste BT'!A:A,'Liste BT'!E:E)</f>
        <v>Échantillon S35</v>
      </c>
      <c r="H285" s="266" t="str">
        <f aca="false">_xlfn.xlookup(A285,'Liste BT'!A:A,'Liste BT'!K:K)</f>
        <v>S35</v>
      </c>
      <c r="I285" s="266"/>
      <c r="J285" s="264" t="str">
        <f aca="false">_xlfn.xlookup(A285,'Liste BT'!A:A,'Liste BT'!V:V)</f>
        <v>S35-3</v>
      </c>
      <c r="K285" s="264" t="str">
        <f aca="false">_xlfn.xlookup(A285,'Liste BT'!A:A,'Liste BT'!W:W)</f>
        <v>10039-S35</v>
      </c>
      <c r="L285" s="175" t="n">
        <v>306</v>
      </c>
      <c r="M285" s="175" t="n">
        <v>141.36</v>
      </c>
      <c r="N285" s="175" t="n">
        <v>148.2</v>
      </c>
      <c r="O285" s="175"/>
      <c r="P285" s="175" t="n">
        <v>13</v>
      </c>
      <c r="Q285" s="176" t="n">
        <v>0</v>
      </c>
      <c r="R285" s="138" t="n">
        <v>0.300000000000001</v>
      </c>
      <c r="S285" s="177" t="n">
        <v>0</v>
      </c>
      <c r="T285" s="215"/>
      <c r="U285" s="259" t="n">
        <f aca="false">_xlfn.xlookup(K285,'[1]Prix MP'!C$1:C$1048576,'[1]Prix MP'!W$1:W$1048576, 0)</f>
        <v>0.27644690127903</v>
      </c>
      <c r="V285" s="256" t="n">
        <f aca="false">(N285+O285)*U285</f>
        <v>40.9694307695523</v>
      </c>
      <c r="W285" s="256" t="n">
        <f aca="false">(L285-N285-M285)*U285</f>
        <v>4.54478705702725</v>
      </c>
      <c r="X285" s="267" t="n">
        <f aca="false">IFERROR((L285-N285-M285)/L285,"")</f>
        <v>0.0537254901960784</v>
      </c>
      <c r="Y285" s="256" t="n">
        <f aca="false">10.15/60*P285</f>
        <v>2.19916666666667</v>
      </c>
      <c r="Z285" s="256" t="n">
        <f aca="false">21.7*Q285</f>
        <v>0</v>
      </c>
      <c r="AA285" s="256" t="n">
        <f aca="false">125000/52/40*R285</f>
        <v>18.0288461538462</v>
      </c>
      <c r="AB285" s="256" t="n">
        <f aca="false">(N285+O285)*U285+S285+W285+Y285+Z285+AA285</f>
        <v>65.7422306470924</v>
      </c>
      <c r="AC285" s="257" t="n">
        <v>0</v>
      </c>
      <c r="AD285" s="257" t="str">
        <f aca="false">_xlfn.xlookup(D285&amp;H285,'PO item'!J:J,'PO item'!Y:Y,0)</f>
        <v>CAD</v>
      </c>
      <c r="AE285" s="256" t="n">
        <f aca="false">IFERROR(IF(AD285="CAD",(N285+O285)*AC285,(N285+O285)*AC285*T285),0)</f>
        <v>0</v>
      </c>
      <c r="AF285" s="256" t="n">
        <f aca="false">AE285-AB285</f>
        <v>-65.7422306470924</v>
      </c>
      <c r="AG285" s="268" t="str">
        <f aca="false">IFERROR(1-AB285/AE285,"")</f>
        <v/>
      </c>
      <c r="AH285" s="269" t="n">
        <f aca="false">((N285+O285)*U285+W285)</f>
        <v>45.5142178265795</v>
      </c>
      <c r="AI285" s="268" t="str">
        <f aca="false">IFERROR(AH285/AE285,"")</f>
        <v/>
      </c>
      <c r="AJ285" s="268" t="str">
        <f aca="false">IFERROR(IF(AC285=0,"S",""),"S")</f>
        <v>S</v>
      </c>
      <c r="AK285" s="270" t="n">
        <f aca="false">A285</f>
        <v>74</v>
      </c>
      <c r="AL285" s="271" t="n">
        <f aca="false">IF(E285="labeledge",(L285*U285+AB285)/M285,AB285/(N285+O285))</f>
        <v>0.443604795189557</v>
      </c>
      <c r="AN285" s="144" t="e">
        <v>#NAME?</v>
      </c>
      <c r="AO285" s="144" t="e">
        <f aca="false">_xlfn.xlookup(AN285,A:A,F:F)</f>
        <v>#NAME?</v>
      </c>
      <c r="AP285" s="144" t="e">
        <f aca="false">_xlfn.xlookup(AN285,A:A,J:J)</f>
        <v>#NAME?</v>
      </c>
      <c r="AQ285" s="144" t="e">
        <f aca="false">_xlfn.xlookup(AN285,A:A,N:N)+_xlfn.xlookup(AN285,A:A,O:O)</f>
        <v>#NAME?</v>
      </c>
      <c r="AR285" s="150" t="e">
        <f aca="false">_xlfn.xlookup(AN285,A:A,AH:AH)</f>
        <v>#NAME?</v>
      </c>
      <c r="AS285" s="150" t="e">
        <f aca="false">_xlfn.xlookup(AN285,A:A,S:S)</f>
        <v>#NAME?</v>
      </c>
      <c r="AT285" s="150" t="e">
        <f aca="false">_xlfn.xlookup(AN285,A:A,AE:AE)</f>
        <v>#NAME?</v>
      </c>
      <c r="AU285" s="150" t="e">
        <f aca="false">_xlfn.xlookup(AN285,A:A,AF:AF)</f>
        <v>#NAME?</v>
      </c>
      <c r="BH285" s="152" t="e">
        <f aca="false">_xlfn.xlookup(BG285,A:A,F:F)</f>
        <v>#NAME?</v>
      </c>
      <c r="BI285" s="144" t="e">
        <f aca="false">_xlfn.xlookup(BG285,A:A,J:J)</f>
        <v>#NAME?</v>
      </c>
      <c r="BJ285" s="153" t="e">
        <f aca="false">_xlfn.xlookup(BG285,A:A,N:N)+_xlfn.xlookup(BG285,A:A,O:O)</f>
        <v>#NAME?</v>
      </c>
      <c r="BK285" s="153" t="e">
        <f aca="false">_xlfn.xlookup(BG285,A234:A1228,AB234:AB1228)</f>
        <v>#NAME?</v>
      </c>
      <c r="BQ285" s="144" t="str">
        <f aca="false">IF(VALUE(MONTH(C285))&lt;10,YEAR(C285)&amp;"-0"&amp;MONTH(C285),YEAR(C285)&amp;"-"&amp;MONTH(C285))</f>
        <v>2025-03</v>
      </c>
      <c r="BR285" s="144" t="str">
        <f aca="false">J285</f>
        <v>S35-3</v>
      </c>
      <c r="BS285" s="144" t="str">
        <f aca="false">IF(ISNUMBER(FIND("-", BR285)), LEFT(BR285, FIND("-", BR285) - 1), BR285)</f>
        <v>S35</v>
      </c>
      <c r="BT285" s="189" t="n">
        <f aca="false">L285-M285+O285</f>
        <v>164.64</v>
      </c>
    </row>
    <row r="286" customFormat="false" ht="16.4" hidden="false" customHeight="false" outlineLevel="0" collapsed="false">
      <c r="A286" s="264" t="n">
        <f aca="false">A285+1</f>
        <v>75</v>
      </c>
      <c r="B286" s="249" t="s">
        <v>893</v>
      </c>
      <c r="C286" s="265" t="n">
        <f aca="false">_xlfn.xlookup(A286,'Liste BT'!A:A,'Liste BT'!G:G)</f>
        <v>45727</v>
      </c>
      <c r="D286" s="266" t="n">
        <f aca="false">_xlfn.xlookup(A286,'Liste BT'!A:A,'Liste BT'!F:F)</f>
        <v>381</v>
      </c>
      <c r="E286" s="255"/>
      <c r="F286" s="255" t="str">
        <f aca="false">_xlfn.xlookup(A286,'Liste BT'!A:A,'Liste BT'!D:D)</f>
        <v>3G</v>
      </c>
      <c r="G286" s="264" t="n">
        <f aca="false">_xlfn.xlookup(A286,'Liste BT'!A:A,'Liste BT'!E:E)</f>
        <v>3126</v>
      </c>
      <c r="H286" s="266" t="str">
        <f aca="false">_xlfn.xlookup(A286,'Liste BT'!A:A,'Liste BT'!K:K)</f>
        <v>S15</v>
      </c>
      <c r="I286" s="266"/>
      <c r="J286" s="264" t="str">
        <f aca="false">_xlfn.xlookup(A286,'Liste BT'!A:A,'Liste BT'!V:V)</f>
        <v>S15-3</v>
      </c>
      <c r="K286" s="264" t="str">
        <f aca="false">_xlfn.xlookup(A286,'Liste BT'!A:A,'Liste BT'!W:W)</f>
        <v>10064-S15</v>
      </c>
      <c r="L286" s="175" t="n">
        <v>7083.7536</v>
      </c>
      <c r="M286" s="175" t="n">
        <v>0</v>
      </c>
      <c r="N286" s="175" t="n">
        <v>7034.4</v>
      </c>
      <c r="O286" s="175"/>
      <c r="P286" s="175" t="n">
        <v>60</v>
      </c>
      <c r="Q286" s="176" t="n">
        <v>2</v>
      </c>
      <c r="R286" s="138" t="n">
        <v>1</v>
      </c>
      <c r="S286" s="177" t="n">
        <v>206.19</v>
      </c>
      <c r="T286" s="215"/>
      <c r="U286" s="259" t="n">
        <f aca="false">_xlfn.xlookup(K286,'[1]Prix MP'!C$1:C$1048576,'[1]Prix MP'!W$1:W$1048576, 0)</f>
        <v>0.259635140959208</v>
      </c>
      <c r="V286" s="256" t="n">
        <f aca="false">(N286+O286)*U286</f>
        <v>1826.37743556345</v>
      </c>
      <c r="W286" s="256" t="n">
        <f aca="false">(L286-N286-M286)*U286</f>
        <v>12.8139288928442</v>
      </c>
      <c r="X286" s="267" t="n">
        <f aca="false">IFERROR((L286-N286-M286)/L286,"")</f>
        <v>0.00696715368530033</v>
      </c>
      <c r="Y286" s="256" t="n">
        <f aca="false">10.15/60*P286</f>
        <v>10.15</v>
      </c>
      <c r="Z286" s="256" t="n">
        <f aca="false">21.7*Q286</f>
        <v>43.4</v>
      </c>
      <c r="AA286" s="256" t="n">
        <f aca="false">125000/52/40*R286</f>
        <v>60.0961538461539</v>
      </c>
      <c r="AB286" s="256" t="n">
        <f aca="false">(N286+O286)*U286+S286+W286+Y286+Z286+AA286</f>
        <v>2159.02751830245</v>
      </c>
      <c r="AC286" s="257" t="n">
        <f aca="false">_xlfn.xlookup(D286&amp;H286,'PO item'!J:J,'PO item'!V:V,0)</f>
        <v>0.363</v>
      </c>
      <c r="AD286" s="257" t="str">
        <f aca="false">_xlfn.xlookup(D286&amp;H286,'PO item'!J:J,'PO item'!Y:Y,0)</f>
        <v>CAD</v>
      </c>
      <c r="AE286" s="256" t="n">
        <f aca="false">IFERROR(IF(AD286="CAD",(N286+O286)*AC286,(N286+O286)*AC286*T286),0)</f>
        <v>2553.4872</v>
      </c>
      <c r="AF286" s="256" t="n">
        <f aca="false">AE286-AB286</f>
        <v>394.45968169755</v>
      </c>
      <c r="AG286" s="268" t="n">
        <f aca="false">IFERROR(1-AB286/AE286,"")</f>
        <v>0.154478816928297</v>
      </c>
      <c r="AH286" s="269" t="n">
        <f aca="false">((N286+O286)*U286+W286)</f>
        <v>1839.1913644563</v>
      </c>
      <c r="AI286" s="268" t="n">
        <f aca="false">IFERROR(AH286/AE286,"")</f>
        <v>0.720266529809234</v>
      </c>
      <c r="AJ286" s="268" t="str">
        <f aca="false">IFERROR(IF(AC286=0,"S",""),"S")</f>
        <v/>
      </c>
      <c r="AK286" s="270" t="n">
        <f aca="false">A286</f>
        <v>75</v>
      </c>
      <c r="AL286" s="271" t="n">
        <f aca="false">IF(E286="labeledge",(L286*U286+AB286)/M286,AB286/(N286+O286))</f>
        <v>0.306924189455028</v>
      </c>
      <c r="AN286" s="144" t="e">
        <v>#NAME?</v>
      </c>
      <c r="AO286" s="144" t="e">
        <f aca="false">_xlfn.xlookup(AN286,A:A,F:F)</f>
        <v>#NAME?</v>
      </c>
      <c r="AP286" s="144" t="e">
        <f aca="false">_xlfn.xlookup(AN286,A:A,J:J)</f>
        <v>#NAME?</v>
      </c>
      <c r="AQ286" s="144" t="e">
        <f aca="false">_xlfn.xlookup(AN286,A:A,N:N)+_xlfn.xlookup(AN286,A:A,O:O)</f>
        <v>#NAME?</v>
      </c>
      <c r="AR286" s="150" t="e">
        <f aca="false">_xlfn.xlookup(AN286,A:A,AH:AH)</f>
        <v>#NAME?</v>
      </c>
      <c r="AS286" s="150" t="e">
        <f aca="false">_xlfn.xlookup(AN286,A:A,S:S)</f>
        <v>#NAME?</v>
      </c>
      <c r="AT286" s="150" t="e">
        <f aca="false">_xlfn.xlookup(AN286,A:A,AE:AE)</f>
        <v>#NAME?</v>
      </c>
      <c r="AU286" s="150" t="e">
        <f aca="false">_xlfn.xlookup(AN286,A:A,AF:AF)</f>
        <v>#NAME?</v>
      </c>
      <c r="BH286" s="152" t="e">
        <f aca="false">_xlfn.xlookup(BG286,A:A,F:F)</f>
        <v>#NAME?</v>
      </c>
      <c r="BI286" s="144" t="e">
        <f aca="false">_xlfn.xlookup(BG286,A:A,J:J)</f>
        <v>#NAME?</v>
      </c>
      <c r="BJ286" s="153" t="e">
        <f aca="false">_xlfn.xlookup(BG286,A:A,N:N)+_xlfn.xlookup(BG286,A:A,O:O)</f>
        <v>#NAME?</v>
      </c>
      <c r="BK286" s="153" t="e">
        <f aca="false">_xlfn.xlookup(BG286,A235:A1229,AB235:AB1229)</f>
        <v>#NAME?</v>
      </c>
      <c r="BQ286" s="144" t="str">
        <f aca="false">IF(VALUE(MONTH(C286))&lt;10,YEAR(C286)&amp;"-0"&amp;MONTH(C286),YEAR(C286)&amp;"-"&amp;MONTH(C286))</f>
        <v>2025-03</v>
      </c>
      <c r="BR286" s="144" t="str">
        <f aca="false">J286</f>
        <v>S15-3</v>
      </c>
      <c r="BS286" s="144" t="str">
        <f aca="false">IF(ISNUMBER(FIND("-", BR286)), LEFT(BR286, FIND("-", BR286) - 1), BR286)</f>
        <v>S15</v>
      </c>
      <c r="BT286" s="189" t="n">
        <f aca="false">L286-M286+O286</f>
        <v>7083.7536</v>
      </c>
    </row>
    <row r="287" customFormat="false" ht="16.4" hidden="false" customHeight="false" outlineLevel="0" collapsed="false">
      <c r="A287" s="264" t="n">
        <f aca="false">A286+1</f>
        <v>76</v>
      </c>
      <c r="B287" s="249" t="s">
        <v>893</v>
      </c>
      <c r="C287" s="265" t="n">
        <f aca="false">_xlfn.xlookup(A287,'Liste BT'!A:A,'Liste BT'!G:G)</f>
        <v>45728</v>
      </c>
      <c r="D287" s="266" t="n">
        <f aca="false">_xlfn.xlookup(A287,'Liste BT'!A:A,'Liste BT'!F:F)</f>
        <v>382</v>
      </c>
      <c r="E287" s="255"/>
      <c r="F287" s="255" t="str">
        <f aca="false">_xlfn.xlookup(A287,'Liste BT'!A:A,'Liste BT'!D:D)</f>
        <v>Labelink Mtrl</v>
      </c>
      <c r="G287" s="264" t="n">
        <f aca="false">_xlfn.xlookup(A287,'Liste BT'!A:A,'Liste BT'!E:E)</f>
        <v>146122</v>
      </c>
      <c r="H287" s="266" t="str">
        <f aca="false">_xlfn.xlookup(A287,'Liste BT'!A:A,'Liste BT'!K:K)</f>
        <v>S21</v>
      </c>
      <c r="I287" s="266"/>
      <c r="J287" s="264" t="str">
        <f aca="false">_xlfn.xlookup(A287,'Liste BT'!A:A,'Liste BT'!V:V)</f>
        <v>S21-1</v>
      </c>
      <c r="K287" s="264" t="str">
        <f aca="false">_xlfn.xlookup(A287,'Liste BT'!A:A,'Liste BT'!W:W)</f>
        <v>10008-S21</v>
      </c>
      <c r="L287" s="175" t="n">
        <v>7116.489</v>
      </c>
      <c r="M287" s="175" t="n">
        <v>0</v>
      </c>
      <c r="N287" s="175" t="n">
        <v>7005.6</v>
      </c>
      <c r="O287" s="175"/>
      <c r="P287" s="175" t="n">
        <v>60</v>
      </c>
      <c r="Q287" s="176" t="n">
        <v>2</v>
      </c>
      <c r="R287" s="138" t="n">
        <v>2</v>
      </c>
      <c r="S287" s="177" t="n">
        <v>112.2</v>
      </c>
      <c r="T287" s="215"/>
      <c r="U287" s="259" t="n">
        <f aca="false">_xlfn.xlookup(K287,'[1]Prix MP'!C$1:C$1048576,'[1]Prix MP'!W$1:W$1048576, 0)</f>
        <v>0.264285602410524</v>
      </c>
      <c r="V287" s="256" t="n">
        <f aca="false">(N287+O287)*U287</f>
        <v>1851.47921624717</v>
      </c>
      <c r="W287" s="256" t="n">
        <f aca="false">(L287-N287-M287)*U287</f>
        <v>29.3063661657004</v>
      </c>
      <c r="X287" s="267" t="n">
        <f aca="false">IFERROR((L287-N287-M287)/L287,"")</f>
        <v>0.015581981508016</v>
      </c>
      <c r="Y287" s="256" t="n">
        <f aca="false">10.15/60*P287</f>
        <v>10.15</v>
      </c>
      <c r="Z287" s="256" t="n">
        <f aca="false">21.7*Q287</f>
        <v>43.4</v>
      </c>
      <c r="AA287" s="256" t="n">
        <f aca="false">125000/52/40*R287</f>
        <v>120.192307692308</v>
      </c>
      <c r="AB287" s="256" t="n">
        <f aca="false">(N287+O287)*U287+S287+W287+Y287+Z287+AA287</f>
        <v>2166.72789010518</v>
      </c>
      <c r="AC287" s="257" t="n">
        <f aca="false">_xlfn.xlookup(D287&amp;H287,'PO item'!J:J,'PO item'!V:V,0)</f>
        <v>0.341</v>
      </c>
      <c r="AD287" s="257" t="str">
        <f aca="false">_xlfn.xlookup(D287&amp;H287,'PO item'!J:J,'PO item'!Y:Y,0)</f>
        <v>CAD</v>
      </c>
      <c r="AE287" s="256" t="n">
        <f aca="false">IFERROR(IF(AD287="CAD",(N287+O287)*AC287,(N287+O287)*AC287*T287),0)</f>
        <v>2388.9096</v>
      </c>
      <c r="AF287" s="256" t="n">
        <f aca="false">AE287-AB287</f>
        <v>222.181709894825</v>
      </c>
      <c r="AG287" s="268" t="n">
        <f aca="false">IFERROR(1-AB287/AE287,"")</f>
        <v>0.0930054908292991</v>
      </c>
      <c r="AH287" s="269" t="n">
        <f aca="false">((N287+O287)*U287+W287)</f>
        <v>1880.78558241287</v>
      </c>
      <c r="AI287" s="268" t="n">
        <f aca="false">IFERROR(AH287/AE287,"")</f>
        <v>0.787298766940728</v>
      </c>
      <c r="AJ287" s="268" t="str">
        <f aca="false">IFERROR(IF(AC287=0,"S",""),"S")</f>
        <v/>
      </c>
      <c r="AK287" s="270" t="n">
        <f aca="false">A287</f>
        <v>76</v>
      </c>
      <c r="AL287" s="271" t="n">
        <f aca="false">IF(E287="labeledge",(L287*U287+AB287)/M287,AB287/(N287+O287))</f>
        <v>0.309285127627209</v>
      </c>
      <c r="AN287" s="144" t="e">
        <v>#NAME?</v>
      </c>
      <c r="AO287" s="144" t="e">
        <f aca="false">_xlfn.xlookup(AN287,A:A,F:F)</f>
        <v>#NAME?</v>
      </c>
      <c r="AP287" s="144" t="e">
        <f aca="false">_xlfn.xlookup(AN287,A:A,J:J)</f>
        <v>#NAME?</v>
      </c>
      <c r="AQ287" s="144" t="e">
        <f aca="false">_xlfn.xlookup(AN287,A:A,N:N)+_xlfn.xlookup(AN287,A:A,O:O)</f>
        <v>#NAME?</v>
      </c>
      <c r="AR287" s="150" t="e">
        <f aca="false">_xlfn.xlookup(AN287,A:A,AH:AH)</f>
        <v>#NAME?</v>
      </c>
      <c r="AS287" s="150" t="e">
        <f aca="false">_xlfn.xlookup(AN287,A:A,S:S)</f>
        <v>#NAME?</v>
      </c>
      <c r="AT287" s="150" t="e">
        <f aca="false">_xlfn.xlookup(AN287,A:A,AE:AE)</f>
        <v>#NAME?</v>
      </c>
      <c r="AU287" s="150" t="e">
        <f aca="false">_xlfn.xlookup(AN287,A:A,AF:AF)</f>
        <v>#NAME?</v>
      </c>
      <c r="BH287" s="152" t="e">
        <f aca="false">_xlfn.xlookup(BG287,A:A,F:F)</f>
        <v>#NAME?</v>
      </c>
      <c r="BI287" s="144" t="e">
        <f aca="false">_xlfn.xlookup(BG287,A:A,J:J)</f>
        <v>#NAME?</v>
      </c>
      <c r="BJ287" s="153" t="e">
        <f aca="false">_xlfn.xlookup(BG287,A:A,N:N)+_xlfn.xlookup(BG287,A:A,O:O)</f>
        <v>#NAME?</v>
      </c>
      <c r="BK287" s="153" t="e">
        <f aca="false">_xlfn.xlookup(BG287,A236:A1230,AB236:AB1230)</f>
        <v>#NAME?</v>
      </c>
      <c r="BQ287" s="144" t="str">
        <f aca="false">IF(VALUE(MONTH(C287))&lt;10,YEAR(C287)&amp;"-0"&amp;MONTH(C287),YEAR(C287)&amp;"-"&amp;MONTH(C287))</f>
        <v>2025-03</v>
      </c>
      <c r="BR287" s="144" t="str">
        <f aca="false">J287</f>
        <v>S21-1</v>
      </c>
      <c r="BS287" s="144" t="str">
        <f aca="false">IF(ISNUMBER(FIND("-", BR287)), LEFT(BR287, FIND("-", BR287) - 1), BR287)</f>
        <v>S21</v>
      </c>
      <c r="BT287" s="189" t="n">
        <f aca="false">L287-M287+O287</f>
        <v>7116.489</v>
      </c>
    </row>
    <row r="288" customFormat="false" ht="16.4" hidden="false" customHeight="false" outlineLevel="0" collapsed="false">
      <c r="A288" s="264" t="n">
        <f aca="false">A287+1</f>
        <v>77</v>
      </c>
      <c r="B288" s="249" t="s">
        <v>893</v>
      </c>
      <c r="C288" s="265" t="n">
        <f aca="false">_xlfn.xlookup(A288,'Liste BT'!A:A,'Liste BT'!G:G)</f>
        <v>45728</v>
      </c>
      <c r="D288" s="266" t="n">
        <f aca="false">_xlfn.xlookup(A288,'Liste BT'!A:A,'Liste BT'!F:F)</f>
        <v>383</v>
      </c>
      <c r="E288" s="255"/>
      <c r="F288" s="255" t="str">
        <f aca="false">_xlfn.xlookup(A288,'Liste BT'!A:A,'Liste BT'!D:D)</f>
        <v>Luso-Flex</v>
      </c>
      <c r="G288" s="264" t="n">
        <f aca="false">_xlfn.xlookup(A288,'Liste BT'!A:A,'Liste BT'!E:E)</f>
        <v>1992</v>
      </c>
      <c r="H288" s="266" t="str">
        <f aca="false">_xlfn.xlookup(A288,'Liste BT'!A:A,'Liste BT'!K:K)</f>
        <v>T11</v>
      </c>
      <c r="I288" s="266"/>
      <c r="J288" s="264" t="str">
        <f aca="false">_xlfn.xlookup(A288,'Liste BT'!A:A,'Liste BT'!V:V)</f>
        <v>T11-1</v>
      </c>
      <c r="K288" s="264" t="str">
        <f aca="false">_xlfn.xlookup(A288,'Liste BT'!A:A,'Liste BT'!W:W)</f>
        <v>10051-T11</v>
      </c>
      <c r="L288" s="175" t="n">
        <v>22915.95732</v>
      </c>
      <c r="M288" s="175" t="n">
        <v>3258.15</v>
      </c>
      <c r="N288" s="175" t="n">
        <v>19161.09</v>
      </c>
      <c r="O288" s="175"/>
      <c r="P288" s="175" t="n">
        <v>154.5</v>
      </c>
      <c r="Q288" s="176" t="n">
        <v>4</v>
      </c>
      <c r="R288" s="138" t="n">
        <v>7</v>
      </c>
      <c r="S288" s="177" t="n">
        <v>154.75</v>
      </c>
      <c r="T288" s="215"/>
      <c r="U288" s="178" t="n">
        <v>0.24969350859082</v>
      </c>
      <c r="V288" s="256" t="n">
        <f aca="false">(N288+O288)*U288</f>
        <v>4784.39979052448</v>
      </c>
      <c r="W288" s="256" t="n">
        <f aca="false">(L288-N288-M288)*U288</f>
        <v>124.027090408629</v>
      </c>
      <c r="X288" s="267" t="n">
        <f aca="false">IFERROR((L288-N288-M288)/L288,"")</f>
        <v>0.0216756085318105</v>
      </c>
      <c r="Y288" s="256" t="n">
        <f aca="false">10.15/60*P288</f>
        <v>26.13625</v>
      </c>
      <c r="Z288" s="256" t="n">
        <f aca="false">21.7*Q288</f>
        <v>86.8</v>
      </c>
      <c r="AA288" s="256" t="n">
        <f aca="false">125000/52/40*R288</f>
        <v>420.673076923077</v>
      </c>
      <c r="AB288" s="256" t="n">
        <f aca="false">(N288+O288)*U288+S288+W288+Y288+Z288+AA288</f>
        <v>5596.78620785618</v>
      </c>
      <c r="AC288" s="257" t="n">
        <f aca="false">_xlfn.xlookup(D288&amp;H288,'PO item'!J:J,'PO item'!V:V,0)</f>
        <v>0.37</v>
      </c>
      <c r="AD288" s="257" t="str">
        <f aca="false">_xlfn.xlookup(D288&amp;H288,'PO item'!J:J,'PO item'!Y:Y,0)</f>
        <v>CAD</v>
      </c>
      <c r="AE288" s="256" t="n">
        <f aca="false">IFERROR(IF(AD288="CAD",(N288+O288)*AC288,(N288+O288)*AC288*T288),0)</f>
        <v>7089.6033</v>
      </c>
      <c r="AF288" s="256" t="n">
        <f aca="false">AE288-AB288</f>
        <v>1492.81709214382</v>
      </c>
      <c r="AG288" s="268" t="n">
        <f aca="false">IFERROR(1-AB288/AE288,"")</f>
        <v>0.210564262762603</v>
      </c>
      <c r="AH288" s="269" t="n">
        <f aca="false">((N288+O288)*U288+W288)</f>
        <v>4908.42688093311</v>
      </c>
      <c r="AI288" s="268" t="n">
        <f aca="false">IFERROR(AH288/AE288,"")</f>
        <v>0.692341542006039</v>
      </c>
      <c r="AJ288" s="268" t="str">
        <f aca="false">IFERROR(IF(AC288=0,"S",""),"S")</f>
        <v/>
      </c>
      <c r="AK288" s="270" t="n">
        <f aca="false">A288</f>
        <v>77</v>
      </c>
      <c r="AL288" s="271" t="n">
        <f aca="false">IF(E288="labeledge",(L288*U288+AB288)/M288,AB288/(N288+O288))</f>
        <v>0.292091222777837</v>
      </c>
      <c r="AN288" s="144" t="e">
        <v>#NAME?</v>
      </c>
      <c r="AO288" s="144" t="e">
        <f aca="false">_xlfn.xlookup(AN288,A:A,F:F)</f>
        <v>#NAME?</v>
      </c>
      <c r="AP288" s="144" t="e">
        <f aca="false">_xlfn.xlookup(AN288,A:A,J:J)</f>
        <v>#NAME?</v>
      </c>
      <c r="AQ288" s="144" t="e">
        <f aca="false">_xlfn.xlookup(AN288,A:A,N:N)+_xlfn.xlookup(AN288,A:A,O:O)</f>
        <v>#NAME?</v>
      </c>
      <c r="AR288" s="150" t="e">
        <f aca="false">_xlfn.xlookup(AN288,A:A,AH:AH)</f>
        <v>#NAME?</v>
      </c>
      <c r="AS288" s="150" t="e">
        <f aca="false">_xlfn.xlookup(AN288,A:A,S:S)</f>
        <v>#NAME?</v>
      </c>
      <c r="AT288" s="150" t="e">
        <f aca="false">_xlfn.xlookup(AN288,A:A,AE:AE)</f>
        <v>#NAME?</v>
      </c>
      <c r="AU288" s="150" t="e">
        <f aca="false">_xlfn.xlookup(AN288,A:A,AF:AF)</f>
        <v>#NAME?</v>
      </c>
      <c r="BH288" s="152" t="e">
        <f aca="false">_xlfn.xlookup(BG288,A:A,F:F)</f>
        <v>#NAME?</v>
      </c>
      <c r="BI288" s="144" t="e">
        <f aca="false">_xlfn.xlookup(BG288,A:A,J:J)</f>
        <v>#NAME?</v>
      </c>
      <c r="BJ288" s="153" t="e">
        <f aca="false">_xlfn.xlookup(BG288,A:A,N:N)+_xlfn.xlookup(BG288,A:A,O:O)</f>
        <v>#NAME?</v>
      </c>
      <c r="BK288" s="153" t="e">
        <f aca="false">_xlfn.xlookup(BG288,A237:A1231,AB237:AB1231)</f>
        <v>#NAME?</v>
      </c>
      <c r="BQ288" s="144" t="str">
        <f aca="false">IF(VALUE(MONTH(C288))&lt;10,YEAR(C288)&amp;"-0"&amp;MONTH(C288),YEAR(C288)&amp;"-"&amp;MONTH(C288))</f>
        <v>2025-03</v>
      </c>
      <c r="BR288" s="144" t="str">
        <f aca="false">J288</f>
        <v>T11-1</v>
      </c>
      <c r="BS288" s="144" t="str">
        <f aca="false">IF(ISNUMBER(FIND("-", BR288)), LEFT(BR288, FIND("-", BR288) - 1), BR288)</f>
        <v>T11</v>
      </c>
      <c r="BT288" s="189" t="n">
        <f aca="false">L288-M288+O288</f>
        <v>19657.80732</v>
      </c>
    </row>
    <row r="289" customFormat="false" ht="16.4" hidden="false" customHeight="false" outlineLevel="0" collapsed="false">
      <c r="A289" s="264" t="n">
        <f aca="false">A288+1</f>
        <v>78</v>
      </c>
      <c r="B289" s="249" t="s">
        <v>893</v>
      </c>
      <c r="C289" s="265" t="n">
        <f aca="false">_xlfn.xlookup(A289,'Liste BT'!A:A,'Liste BT'!G:G)</f>
        <v>45728</v>
      </c>
      <c r="D289" s="266" t="n">
        <f aca="false">_xlfn.xlookup(A289,'Liste BT'!A:A,'Liste BT'!F:F)</f>
        <v>384</v>
      </c>
      <c r="E289" s="255"/>
      <c r="F289" s="255" t="str">
        <f aca="false">_xlfn.xlookup(A289,'Liste BT'!A:A,'Liste BT'!D:D)</f>
        <v>Inter Label</v>
      </c>
      <c r="G289" s="264" t="str">
        <f aca="false">_xlfn.xlookup(A289,'Liste BT'!A:A,'Liste BT'!E:E)</f>
        <v>Sample S21</v>
      </c>
      <c r="H289" s="266" t="str">
        <f aca="false">_xlfn.xlookup(A289,'Liste BT'!A:A,'Liste BT'!K:K)</f>
        <v>S21</v>
      </c>
      <c r="I289" s="266"/>
      <c r="J289" s="264" t="str">
        <f aca="false">_xlfn.xlookup(A289,'Liste BT'!A:A,'Liste BT'!V:V)</f>
        <v>S21-1</v>
      </c>
      <c r="K289" s="264" t="str">
        <f aca="false">_xlfn.xlookup(A289,'Liste BT'!A:A,'Liste BT'!W:W)</f>
        <v>10024-S21</v>
      </c>
      <c r="L289" s="175" t="n">
        <f aca="false">972/2</f>
        <v>486</v>
      </c>
      <c r="M289" s="175" t="n">
        <f aca="false">226.8/2</f>
        <v>113.4</v>
      </c>
      <c r="N289" s="175" t="n">
        <f aca="false">745.2/2</f>
        <v>372.6</v>
      </c>
      <c r="O289" s="175"/>
      <c r="P289" s="175" t="n">
        <v>12.875</v>
      </c>
      <c r="Q289" s="176" t="n">
        <v>0.33</v>
      </c>
      <c r="R289" s="138" t="n">
        <f aca="false">0.75/2</f>
        <v>0.375</v>
      </c>
      <c r="S289" s="177" t="n">
        <f aca="false">100.65/3</f>
        <v>33.55</v>
      </c>
      <c r="T289" s="215"/>
      <c r="U289" s="259" t="n">
        <f aca="false">_xlfn.xlookup(K289,'[1]Prix MP'!C$1:C$1048576,'[1]Prix MP'!W$1:W$1048576, 0)</f>
        <v>0.28357864079936</v>
      </c>
      <c r="V289" s="256" t="n">
        <f aca="false">(N289+O289)*U289</f>
        <v>105.661401561842</v>
      </c>
      <c r="W289" s="256" t="n">
        <f aca="false">(L289-N289-M289)*U289</f>
        <v>0</v>
      </c>
      <c r="X289" s="267" t="n">
        <f aca="false">IFERROR((L289-N289-M289)/L289,"")</f>
        <v>0</v>
      </c>
      <c r="Y289" s="256" t="n">
        <f aca="false">10.15/60*P289</f>
        <v>2.17802083333333</v>
      </c>
      <c r="Z289" s="256" t="n">
        <f aca="false">21.7*Q289</f>
        <v>7.161</v>
      </c>
      <c r="AA289" s="256" t="n">
        <f aca="false">125000/52/40*R289</f>
        <v>22.5360576923077</v>
      </c>
      <c r="AB289" s="256" t="n">
        <f aca="false">(N289+O289)*U289+S289+W289+Y289+Z289+AA289</f>
        <v>171.086480087483</v>
      </c>
      <c r="AC289" s="257" t="n">
        <f aca="false">_xlfn.xlookup(D289&amp;H289,'PO item'!J:J,'PO item'!V:V,0)</f>
        <v>0</v>
      </c>
      <c r="AD289" s="257" t="str">
        <f aca="false">_xlfn.xlookup(D289&amp;H289,'PO item'!J:J,'PO item'!Y:Y,0)</f>
        <v>CAD</v>
      </c>
      <c r="AE289" s="256" t="n">
        <f aca="false">IFERROR(IF(AD289="CAD",(N289+O289)*AC289,(N289+O289)*AC289*T289),0)</f>
        <v>0</v>
      </c>
      <c r="AF289" s="256" t="n">
        <f aca="false">AE289-AB289</f>
        <v>-171.086480087483</v>
      </c>
      <c r="AG289" s="268" t="str">
        <f aca="false">IFERROR(1-AB289/AE289,"")</f>
        <v/>
      </c>
      <c r="AH289" s="269" t="n">
        <f aca="false">((N289+O289)*U289+W289)</f>
        <v>105.661401561842</v>
      </c>
      <c r="AI289" s="268" t="str">
        <f aca="false">IFERROR(AH289/AE289,"")</f>
        <v/>
      </c>
      <c r="AJ289" s="268" t="str">
        <f aca="false">IFERROR(IF(AC289=0,"S",""),"S")</f>
        <v>S</v>
      </c>
      <c r="AK289" s="270" t="n">
        <f aca="false">A289</f>
        <v>78</v>
      </c>
      <c r="AL289" s="271" t="n">
        <f aca="false">IF(E289="labeledge",(L289*U289+AB289)/M289,AB289/(N289+O289))</f>
        <v>0.459169297067854</v>
      </c>
      <c r="AN289" s="144" t="e">
        <v>#NAME?</v>
      </c>
      <c r="AO289" s="144" t="e">
        <f aca="false">_xlfn.xlookup(AN289,A:A,F:F)</f>
        <v>#NAME?</v>
      </c>
      <c r="AP289" s="144" t="e">
        <f aca="false">_xlfn.xlookup(AN289,A:A,J:J)</f>
        <v>#NAME?</v>
      </c>
      <c r="AQ289" s="144" t="e">
        <f aca="false">_xlfn.xlookup(AN289,A:A,N:N)+_xlfn.xlookup(AN289,A:A,O:O)</f>
        <v>#NAME?</v>
      </c>
      <c r="AR289" s="150" t="e">
        <f aca="false">_xlfn.xlookup(AN289,A:A,AH:AH)</f>
        <v>#NAME?</v>
      </c>
      <c r="AS289" s="150" t="e">
        <f aca="false">_xlfn.xlookup(AN289,A:A,S:S)</f>
        <v>#NAME?</v>
      </c>
      <c r="AT289" s="150" t="e">
        <f aca="false">_xlfn.xlookup(AN289,A:A,AE:AE)</f>
        <v>#NAME?</v>
      </c>
      <c r="AU289" s="150" t="e">
        <f aca="false">_xlfn.xlookup(AN289,A:A,AF:AF)</f>
        <v>#NAME?</v>
      </c>
      <c r="BH289" s="152" t="e">
        <f aca="false">_xlfn.xlookup(BG289,A:A,F:F)</f>
        <v>#NAME?</v>
      </c>
      <c r="BI289" s="144" t="e">
        <f aca="false">_xlfn.xlookup(BG289,A:A,J:J)</f>
        <v>#NAME?</v>
      </c>
      <c r="BJ289" s="153" t="e">
        <f aca="false">_xlfn.xlookup(BG289,A:A,N:N)+_xlfn.xlookup(BG289,A:A,O:O)</f>
        <v>#NAME?</v>
      </c>
      <c r="BK289" s="153" t="e">
        <f aca="false">_xlfn.xlookup(BG289,A238:A1232,AB238:AB1232)</f>
        <v>#NAME?</v>
      </c>
      <c r="BQ289" s="144" t="str">
        <f aca="false">IF(VALUE(MONTH(C289))&lt;10,YEAR(C289)&amp;"-0"&amp;MONTH(C289),YEAR(C289)&amp;"-"&amp;MONTH(C289))</f>
        <v>2025-03</v>
      </c>
      <c r="BR289" s="144" t="str">
        <f aca="false">J289</f>
        <v>S21-1</v>
      </c>
      <c r="BS289" s="144" t="str">
        <f aca="false">IF(ISNUMBER(FIND("-", BR289)), LEFT(BR289, FIND("-", BR289) - 1), BR289)</f>
        <v>S21</v>
      </c>
      <c r="BT289" s="189" t="n">
        <f aca="false">L289-M289+O289</f>
        <v>372.6</v>
      </c>
    </row>
    <row r="290" customFormat="false" ht="16.4" hidden="false" customHeight="false" outlineLevel="0" collapsed="false">
      <c r="A290" s="264" t="n">
        <f aca="false">A289+1</f>
        <v>79</v>
      </c>
      <c r="B290" s="249" t="s">
        <v>893</v>
      </c>
      <c r="C290" s="265" t="n">
        <f aca="false">_xlfn.xlookup(A290,'Liste BT'!A:A,'Liste BT'!G:G)</f>
        <v>45728</v>
      </c>
      <c r="D290" s="266" t="n">
        <f aca="false">_xlfn.xlookup(A290,'Liste BT'!A:A,'Liste BT'!F:F)</f>
        <v>384</v>
      </c>
      <c r="E290" s="255"/>
      <c r="F290" s="255" t="str">
        <f aca="false">_xlfn.xlookup(A290,'Liste BT'!A:A,'Liste BT'!D:D)</f>
        <v>Inter Label</v>
      </c>
      <c r="G290" s="264" t="str">
        <f aca="false">_xlfn.xlookup(A290,'Liste BT'!A:A,'Liste BT'!E:E)</f>
        <v>Sample B15</v>
      </c>
      <c r="H290" s="266" t="str">
        <f aca="false">_xlfn.xlookup(A290,'Liste BT'!A:A,'Liste BT'!K:K)</f>
        <v>B15</v>
      </c>
      <c r="I290" s="266"/>
      <c r="J290" s="264" t="str">
        <f aca="false">_xlfn.xlookup(A290,'Liste BT'!A:A,'Liste BT'!V:V)</f>
        <v>B15-3</v>
      </c>
      <c r="K290" s="264" t="str">
        <f aca="false">_xlfn.xlookup(A290,'Liste BT'!A:A,'Liste BT'!W:W)</f>
        <v>10014-B15</v>
      </c>
      <c r="L290" s="175" t="n">
        <v>2024.064</v>
      </c>
      <c r="M290" s="175" t="n">
        <v>1587.222</v>
      </c>
      <c r="N290" s="175" t="n">
        <v>384.93</v>
      </c>
      <c r="O290" s="175"/>
      <c r="P290" s="175" t="n">
        <v>11.75</v>
      </c>
      <c r="Q290" s="176" t="n">
        <v>0.33</v>
      </c>
      <c r="R290" s="138" t="n">
        <v>1</v>
      </c>
      <c r="S290" s="177" t="n">
        <f aca="false">100.65/3</f>
        <v>33.55</v>
      </c>
      <c r="T290" s="215"/>
      <c r="U290" s="259" t="n">
        <f aca="false">_xlfn.xlookup(K290,'[1]Prix MP'!C$1:C$1048576,'[1]Prix MP'!W$1:W$1048576, 0)</f>
        <v>0.326284886247867</v>
      </c>
      <c r="V290" s="256" t="n">
        <f aca="false">(N290+O290)*U290</f>
        <v>125.596841263391</v>
      </c>
      <c r="W290" s="256" t="n">
        <f aca="false">(L290-N290-M290)*U290</f>
        <v>16.9381010148992</v>
      </c>
      <c r="X290" s="267" t="n">
        <f aca="false">IFERROR((L290-N290-M290)/L290,"")</f>
        <v>0.0256474103585656</v>
      </c>
      <c r="Y290" s="256" t="n">
        <f aca="false">10.15/60*P290</f>
        <v>1.98770833333333</v>
      </c>
      <c r="Z290" s="256" t="n">
        <f aca="false">21.7*Q290</f>
        <v>7.161</v>
      </c>
      <c r="AA290" s="256" t="n">
        <f aca="false">125000/52/40*R290</f>
        <v>60.0961538461539</v>
      </c>
      <c r="AB290" s="256" t="n">
        <f aca="false">(N290+O290)*U290+S290+W290+Y290+Z290+AA290</f>
        <v>245.329804457778</v>
      </c>
      <c r="AC290" s="257" t="n">
        <f aca="false">_xlfn.xlookup(D290&amp;H290,'PO item'!J:J,'PO item'!V:V,0)</f>
        <v>0</v>
      </c>
      <c r="AD290" s="257" t="str">
        <f aca="false">_xlfn.xlookup(D290&amp;H290,'PO item'!J:J,'PO item'!Y:Y,0)</f>
        <v>CAD</v>
      </c>
      <c r="AE290" s="256" t="n">
        <f aca="false">IFERROR(IF(AD290="CAD",(N290+O290)*AC290,(N290+O290)*AC290*T290),0)</f>
        <v>0</v>
      </c>
      <c r="AF290" s="256" t="n">
        <f aca="false">AE290-AB290</f>
        <v>-245.329804457778</v>
      </c>
      <c r="AG290" s="268" t="str">
        <f aca="false">IFERROR(1-AB290/AE290,"")</f>
        <v/>
      </c>
      <c r="AH290" s="269" t="n">
        <f aca="false">((N290+O290)*U290+W290)</f>
        <v>142.534942278291</v>
      </c>
      <c r="AI290" s="268" t="str">
        <f aca="false">IFERROR(AH290/AE290,"")</f>
        <v/>
      </c>
      <c r="AJ290" s="268" t="str">
        <f aca="false">IFERROR(IF(AC290=0,"S",""),"S")</f>
        <v>S</v>
      </c>
      <c r="AK290" s="270" t="n">
        <f aca="false">A290</f>
        <v>79</v>
      </c>
      <c r="AL290" s="271" t="n">
        <f aca="false">IF(E290="labeledge",(L290*U290+AB290)/M290,AB290/(N290+O290))</f>
        <v>0.637336150619016</v>
      </c>
      <c r="AN290" s="144" t="e">
        <v>#NAME?</v>
      </c>
      <c r="AO290" s="144" t="e">
        <f aca="false">_xlfn.xlookup(AN290,A:A,F:F)</f>
        <v>#NAME?</v>
      </c>
      <c r="AP290" s="144" t="e">
        <f aca="false">_xlfn.xlookup(AN290,A:A,J:J)</f>
        <v>#NAME?</v>
      </c>
      <c r="AQ290" s="144" t="e">
        <f aca="false">_xlfn.xlookup(AN290,A:A,N:N)+_xlfn.xlookup(AN290,A:A,O:O)</f>
        <v>#NAME?</v>
      </c>
      <c r="AR290" s="150" t="e">
        <f aca="false">_xlfn.xlookup(AN290,A:A,AH:AH)</f>
        <v>#NAME?</v>
      </c>
      <c r="AS290" s="150" t="e">
        <f aca="false">_xlfn.xlookup(AN290,A:A,S:S)</f>
        <v>#NAME?</v>
      </c>
      <c r="AT290" s="150" t="e">
        <f aca="false">_xlfn.xlookup(AN290,A:A,AE:AE)</f>
        <v>#NAME?</v>
      </c>
      <c r="AU290" s="150" t="e">
        <f aca="false">_xlfn.xlookup(AN290,A:A,AF:AF)</f>
        <v>#NAME?</v>
      </c>
      <c r="BH290" s="152" t="e">
        <f aca="false">_xlfn.xlookup(BG290,A:A,F:F)</f>
        <v>#NAME?</v>
      </c>
      <c r="BI290" s="144" t="e">
        <f aca="false">_xlfn.xlookup(BG290,A:A,J:J)</f>
        <v>#NAME?</v>
      </c>
      <c r="BJ290" s="153" t="e">
        <f aca="false">_xlfn.xlookup(BG290,A:A,N:N)+_xlfn.xlookup(BG290,A:A,O:O)</f>
        <v>#NAME?</v>
      </c>
      <c r="BK290" s="153" t="e">
        <f aca="false">_xlfn.xlookup(BG290,A239:A1233,AB239:AB1233)</f>
        <v>#NAME?</v>
      </c>
      <c r="BQ290" s="144" t="str">
        <f aca="false">IF(VALUE(MONTH(C290))&lt;10,YEAR(C290)&amp;"-0"&amp;MONTH(C290),YEAR(C290)&amp;"-"&amp;MONTH(C290))</f>
        <v>2025-03</v>
      </c>
      <c r="BR290" s="144" t="str">
        <f aca="false">J290</f>
        <v>B15-3</v>
      </c>
      <c r="BS290" s="144" t="str">
        <f aca="false">IF(ISNUMBER(FIND("-", BR290)), LEFT(BR290, FIND("-", BR290) - 1), BR290)</f>
        <v>B15</v>
      </c>
      <c r="BT290" s="189" t="n">
        <f aca="false">L290-M290+O290</f>
        <v>436.842</v>
      </c>
    </row>
    <row r="291" customFormat="false" ht="16.4" hidden="false" customHeight="false" outlineLevel="0" collapsed="false">
      <c r="A291" s="264" t="n">
        <f aca="false">A290+1</f>
        <v>80</v>
      </c>
      <c r="B291" s="249" t="s">
        <v>893</v>
      </c>
      <c r="C291" s="265" t="n">
        <f aca="false">_xlfn.xlookup(A291,'Liste BT'!A:A,'Liste BT'!G:G)</f>
        <v>45728</v>
      </c>
      <c r="D291" s="266" t="n">
        <f aca="false">_xlfn.xlookup(A291,'Liste BT'!A:A,'Liste BT'!F:F)</f>
        <v>384</v>
      </c>
      <c r="E291" s="255"/>
      <c r="F291" s="255" t="str">
        <f aca="false">_xlfn.xlookup(A291,'Liste BT'!A:A,'Liste BT'!D:D)</f>
        <v>Inter Label</v>
      </c>
      <c r="G291" s="264" t="str">
        <f aca="false">_xlfn.xlookup(A291,'Liste BT'!A:A,'Liste BT'!E:E)</f>
        <v>Sample D11</v>
      </c>
      <c r="H291" s="266" t="str">
        <f aca="false">_xlfn.xlookup(A291,'Liste BT'!A:A,'Liste BT'!K:K)</f>
        <v>D11</v>
      </c>
      <c r="I291" s="266"/>
      <c r="J291" s="264" t="str">
        <f aca="false">_xlfn.xlookup(A291,'Liste BT'!A:A,'Liste BT'!V:V)</f>
        <v>D11-12</v>
      </c>
      <c r="K291" s="264" t="str">
        <f aca="false">_xlfn.xlookup(A291,'Liste BT'!A:A,'Liste BT'!W:W)</f>
        <v>10052-D11</v>
      </c>
      <c r="L291" s="175" t="n">
        <v>1008.1125</v>
      </c>
      <c r="M291" s="175" t="n">
        <v>606.45</v>
      </c>
      <c r="N291" s="175" t="n">
        <v>388.125</v>
      </c>
      <c r="O291" s="175" t="n">
        <v>0</v>
      </c>
      <c r="P291" s="175" t="n">
        <v>12.9375</v>
      </c>
      <c r="Q291" s="176" t="n">
        <v>0.33</v>
      </c>
      <c r="R291" s="138" t="n">
        <v>0.75</v>
      </c>
      <c r="S291" s="177" t="n">
        <f aca="false">100.65/3</f>
        <v>33.55</v>
      </c>
      <c r="T291" s="215"/>
      <c r="U291" s="259" t="n">
        <f aca="false">_xlfn.xlookup(K291,'[1]Prix MP'!C$1:C$1048576,'[1]Prix MP'!W$1:W$1048576, 0)</f>
        <v>0.346913319532401</v>
      </c>
      <c r="V291" s="256" t="n">
        <f aca="false">(N291+O291)*U291</f>
        <v>134.645732143513</v>
      </c>
      <c r="W291" s="256" t="n">
        <f aca="false">(L291-N291-M291)*U291</f>
        <v>4.69633906316985</v>
      </c>
      <c r="X291" s="267" t="n">
        <f aca="false">IFERROR((L291-N291-M291)/L291,"")</f>
        <v>0.0134285608005058</v>
      </c>
      <c r="Y291" s="256" t="n">
        <f aca="false">10.15/60*P291</f>
        <v>2.18859375</v>
      </c>
      <c r="Z291" s="256" t="n">
        <f aca="false">21.7*Q291</f>
        <v>7.161</v>
      </c>
      <c r="AA291" s="256" t="n">
        <f aca="false">125000/52/40*R291</f>
        <v>45.0721153846154</v>
      </c>
      <c r="AB291" s="256" t="n">
        <f aca="false">(N291+O291)*U291+S291+W291+Y291+Z291+AA291</f>
        <v>227.313780341298</v>
      </c>
      <c r="AC291" s="257" t="n">
        <f aca="false">_xlfn.xlookup(D291&amp;H291,'PO item'!J:J,'PO item'!V:V,0)</f>
        <v>0</v>
      </c>
      <c r="AD291" s="257" t="str">
        <f aca="false">_xlfn.xlookup(D291&amp;H291,'PO item'!J:J,'PO item'!Y:Y,0)</f>
        <v>CAD</v>
      </c>
      <c r="AE291" s="256" t="n">
        <f aca="false">IFERROR(IF(AD291="CAD",(N291+O291)*AC291,(N291+O291)*AC291*T291),0)</f>
        <v>0</v>
      </c>
      <c r="AF291" s="256" t="n">
        <f aca="false">AE291-AB291</f>
        <v>-227.313780341298</v>
      </c>
      <c r="AG291" s="268" t="str">
        <f aca="false">IFERROR(1-AB291/AE291,"")</f>
        <v/>
      </c>
      <c r="AH291" s="269" t="n">
        <f aca="false">((N291+O291)*U291+W291)</f>
        <v>139.342071206683</v>
      </c>
      <c r="AI291" s="268" t="str">
        <f aca="false">IFERROR(AH291/AE291,"")</f>
        <v/>
      </c>
      <c r="AJ291" s="268" t="str">
        <f aca="false">IFERROR(IF(AC291=0,"S",""),"S")</f>
        <v>S</v>
      </c>
      <c r="AK291" s="270" t="n">
        <f aca="false">A291</f>
        <v>80</v>
      </c>
      <c r="AL291" s="271" t="n">
        <f aca="false">IF(E291="labeledge",(L291*U291+AB291)/M291,AB291/(N291+O291))</f>
        <v>0.585671575758579</v>
      </c>
      <c r="AN291" s="144" t="e">
        <v>#NAME?</v>
      </c>
      <c r="AO291" s="144" t="e">
        <f aca="false">_xlfn.xlookup(AN291,A:A,F:F)</f>
        <v>#NAME?</v>
      </c>
      <c r="AP291" s="144" t="e">
        <f aca="false">_xlfn.xlookup(AN291,A:A,J:J)</f>
        <v>#NAME?</v>
      </c>
      <c r="AQ291" s="144" t="e">
        <f aca="false">_xlfn.xlookup(AN291,A:A,N:N)+_xlfn.xlookup(AN291,A:A,O:O)</f>
        <v>#NAME?</v>
      </c>
      <c r="AR291" s="150" t="e">
        <f aca="false">_xlfn.xlookup(AN291,A:A,AH:AH)</f>
        <v>#NAME?</v>
      </c>
      <c r="AS291" s="150" t="e">
        <f aca="false">_xlfn.xlookup(AN291,A:A,S:S)</f>
        <v>#NAME?</v>
      </c>
      <c r="AT291" s="150" t="e">
        <f aca="false">_xlfn.xlookup(AN291,A:A,AE:AE)</f>
        <v>#NAME?</v>
      </c>
      <c r="AU291" s="150" t="e">
        <f aca="false">_xlfn.xlookup(AN291,A:A,AF:AF)</f>
        <v>#NAME?</v>
      </c>
      <c r="BH291" s="152" t="e">
        <f aca="false">_xlfn.xlookup(BG291,A:A,F:F)</f>
        <v>#NAME?</v>
      </c>
      <c r="BI291" s="144" t="e">
        <f aca="false">_xlfn.xlookup(BG291,A:A,J:J)</f>
        <v>#NAME?</v>
      </c>
      <c r="BJ291" s="153" t="e">
        <f aca="false">_xlfn.xlookup(BG291,A:A,N:N)+_xlfn.xlookup(BG291,A:A,O:O)</f>
        <v>#NAME?</v>
      </c>
      <c r="BK291" s="153" t="e">
        <f aca="false">_xlfn.xlookup(BG291,A240:A1234,AB240:AB1234)</f>
        <v>#NAME?</v>
      </c>
      <c r="BQ291" s="144" t="str">
        <f aca="false">IF(VALUE(MONTH(C291))&lt;10,YEAR(C291)&amp;"-0"&amp;MONTH(C291),YEAR(C291)&amp;"-"&amp;MONTH(C291))</f>
        <v>2025-03</v>
      </c>
      <c r="BR291" s="144" t="str">
        <f aca="false">J291</f>
        <v>D11-12</v>
      </c>
      <c r="BS291" s="144" t="str">
        <f aca="false">IF(ISNUMBER(FIND("-", BR291)), LEFT(BR291, FIND("-", BR291) - 1), BR291)</f>
        <v>D11</v>
      </c>
      <c r="BT291" s="189" t="n">
        <f aca="false">L291-M291+O291</f>
        <v>401.6625</v>
      </c>
    </row>
    <row r="292" customFormat="false" ht="16.4" hidden="false" customHeight="false" outlineLevel="0" collapsed="false">
      <c r="A292" s="264" t="n">
        <f aca="false">A291+1</f>
        <v>81</v>
      </c>
      <c r="B292" s="249" t="s">
        <v>893</v>
      </c>
      <c r="C292" s="265" t="n">
        <f aca="false">_xlfn.xlookup(A292,'Liste BT'!A:A,'Liste BT'!G:G)</f>
        <v>45729</v>
      </c>
      <c r="D292" s="266" t="n">
        <f aca="false">_xlfn.xlookup(A292,'Liste BT'!A:A,'Liste BT'!F:F)</f>
        <v>385</v>
      </c>
      <c r="E292" s="255"/>
      <c r="F292" s="255" t="str">
        <f aca="false">_xlfn.xlookup(A292,'Liste BT'!A:A,'Liste BT'!D:D)</f>
        <v>Étiquesse</v>
      </c>
      <c r="G292" s="264" t="str">
        <f aca="false">_xlfn.xlookup(A292,'Liste BT'!A:A,'Liste BT'!E:E)</f>
        <v>Échantillons</v>
      </c>
      <c r="H292" s="266" t="str">
        <f aca="false">_xlfn.xlookup(A292,'Liste BT'!A:A,'Liste BT'!K:K)</f>
        <v>D11</v>
      </c>
      <c r="I292" s="266"/>
      <c r="J292" s="264" t="str">
        <f aca="false">_xlfn.xlookup(A292,'Liste BT'!A:A,'Liste BT'!V:V)</f>
        <v>D11-12</v>
      </c>
      <c r="K292" s="264" t="str">
        <f aca="false">_xlfn.xlookup(A292,'Liste BT'!A:A,'Liste BT'!W:W)</f>
        <v>10052-D11</v>
      </c>
      <c r="L292" s="175" t="n">
        <v>1008.1125</v>
      </c>
      <c r="M292" s="175" t="n">
        <v>606.45</v>
      </c>
      <c r="N292" s="175" t="n">
        <v>388.125</v>
      </c>
      <c r="O292" s="175" t="n">
        <v>0</v>
      </c>
      <c r="P292" s="175" t="n">
        <v>12.9375</v>
      </c>
      <c r="Q292" s="176" t="n">
        <v>0.33</v>
      </c>
      <c r="R292" s="138" t="n">
        <v>0.75</v>
      </c>
      <c r="S292" s="177" t="n">
        <f aca="false">140/3</f>
        <v>46.6666666666667</v>
      </c>
      <c r="T292" s="215"/>
      <c r="U292" s="259" t="n">
        <f aca="false">_xlfn.xlookup(K292,'[1]Prix MP'!C$1:C$1048576,'[1]Prix MP'!W$1:W$1048576, 0)</f>
        <v>0.346913319532401</v>
      </c>
      <c r="V292" s="256" t="n">
        <f aca="false">(N292+O292)*U292</f>
        <v>134.645732143513</v>
      </c>
      <c r="W292" s="256" t="n">
        <f aca="false">(L292-N292-M292)*U292</f>
        <v>4.69633906316985</v>
      </c>
      <c r="X292" s="267" t="n">
        <f aca="false">IFERROR((L292-N292-M292)/L292,"")</f>
        <v>0.0134285608005058</v>
      </c>
      <c r="Y292" s="256" t="n">
        <f aca="false">10.15/60*P292</f>
        <v>2.18859375</v>
      </c>
      <c r="Z292" s="256" t="n">
        <f aca="false">21.7*Q292</f>
        <v>7.161</v>
      </c>
      <c r="AA292" s="256" t="n">
        <f aca="false">125000/52/40*R292</f>
        <v>45.0721153846154</v>
      </c>
      <c r="AB292" s="256" t="n">
        <f aca="false">(N292+O292)*U292+S292+W292+Y292+Z292+AA292</f>
        <v>240.430447007965</v>
      </c>
      <c r="AC292" s="257" t="n">
        <f aca="false">_xlfn.xlookup(D292&amp;H292,'PO item'!J:J,'PO item'!V:V,0)</f>
        <v>0</v>
      </c>
      <c r="AD292" s="257" t="str">
        <f aca="false">_xlfn.xlookup(D292&amp;H292,'PO item'!J:J,'PO item'!Y:Y,0)</f>
        <v>CAD</v>
      </c>
      <c r="AE292" s="256" t="n">
        <f aca="false">IFERROR(IF(AD292="CAD",(N292+O292)*AC292,(N292+O292)*AC292*T292),0)</f>
        <v>0</v>
      </c>
      <c r="AF292" s="256" t="n">
        <f aca="false">AE292-AB292</f>
        <v>-240.430447007965</v>
      </c>
      <c r="AG292" s="268" t="str">
        <f aca="false">IFERROR(1-AB292/AE292,"")</f>
        <v/>
      </c>
      <c r="AH292" s="269" t="n">
        <f aca="false">((N292+O292)*U292+W292)</f>
        <v>139.342071206683</v>
      </c>
      <c r="AI292" s="268" t="str">
        <f aca="false">IFERROR(AH292/AE292,"")</f>
        <v/>
      </c>
      <c r="AJ292" s="268" t="str">
        <f aca="false">IFERROR(IF(AC292=0,"S",""),"S")</f>
        <v>S</v>
      </c>
      <c r="AK292" s="270" t="n">
        <f aca="false">A292</f>
        <v>81</v>
      </c>
      <c r="AL292" s="271" t="n">
        <f aca="false">IF(E292="labeledge",(L292*U292+AB292)/M292,AB292/(N292+O292))</f>
        <v>0.619466530133243</v>
      </c>
      <c r="AN292" s="144" t="e">
        <v>#NAME?</v>
      </c>
      <c r="AO292" s="144" t="e">
        <f aca="false">_xlfn.xlookup(AN292,A:A,F:F)</f>
        <v>#NAME?</v>
      </c>
      <c r="AP292" s="144" t="e">
        <f aca="false">_xlfn.xlookup(AN292,A:A,J:J)</f>
        <v>#NAME?</v>
      </c>
      <c r="AQ292" s="144" t="e">
        <f aca="false">_xlfn.xlookup(AN292,A:A,N:N)+_xlfn.xlookup(AN292,A:A,O:O)</f>
        <v>#NAME?</v>
      </c>
      <c r="AR292" s="150" t="e">
        <f aca="false">_xlfn.xlookup(AN292,A:A,AH:AH)</f>
        <v>#NAME?</v>
      </c>
      <c r="AS292" s="150" t="e">
        <f aca="false">_xlfn.xlookup(AN292,A:A,S:S)</f>
        <v>#NAME?</v>
      </c>
      <c r="AT292" s="150" t="e">
        <f aca="false">_xlfn.xlookup(AN292,A:A,AE:AE)</f>
        <v>#NAME?</v>
      </c>
      <c r="AU292" s="150" t="e">
        <f aca="false">_xlfn.xlookup(AN292,A:A,AF:AF)</f>
        <v>#NAME?</v>
      </c>
      <c r="BH292" s="152" t="e">
        <f aca="false">_xlfn.xlookup(BG292,A:A,F:F)</f>
        <v>#NAME?</v>
      </c>
      <c r="BI292" s="144" t="e">
        <f aca="false">_xlfn.xlookup(BG292,A:A,J:J)</f>
        <v>#NAME?</v>
      </c>
      <c r="BJ292" s="153" t="e">
        <f aca="false">_xlfn.xlookup(BG292,A:A,N:N)+_xlfn.xlookup(BG292,A:A,O:O)</f>
        <v>#NAME?</v>
      </c>
      <c r="BK292" s="153" t="e">
        <f aca="false">_xlfn.xlookup(BG292,A241:A1235,AB241:AB1235)</f>
        <v>#NAME?</v>
      </c>
      <c r="BQ292" s="144" t="str">
        <f aca="false">IF(VALUE(MONTH(C292))&lt;10,YEAR(C292)&amp;"-0"&amp;MONTH(C292),YEAR(C292)&amp;"-"&amp;MONTH(C292))</f>
        <v>2025-03</v>
      </c>
      <c r="BR292" s="144" t="str">
        <f aca="false">J292</f>
        <v>D11-12</v>
      </c>
      <c r="BS292" s="144" t="str">
        <f aca="false">IF(ISNUMBER(FIND("-", BR292)), LEFT(BR292, FIND("-", BR292) - 1), BR292)</f>
        <v>D11</v>
      </c>
      <c r="BT292" s="189" t="n">
        <f aca="false">L292-M292+O292</f>
        <v>401.6625</v>
      </c>
    </row>
    <row r="293" customFormat="false" ht="16.4" hidden="false" customHeight="false" outlineLevel="0" collapsed="false">
      <c r="A293" s="264" t="n">
        <f aca="false">A292+1</f>
        <v>82</v>
      </c>
      <c r="B293" s="249" t="s">
        <v>893</v>
      </c>
      <c r="C293" s="265" t="n">
        <f aca="false">_xlfn.xlookup(A293,'Liste BT'!A:A,'Liste BT'!G:G)</f>
        <v>45729</v>
      </c>
      <c r="D293" s="266" t="n">
        <f aca="false">_xlfn.xlookup(A293,'Liste BT'!A:A,'Liste BT'!F:F)</f>
        <v>385</v>
      </c>
      <c r="E293" s="255"/>
      <c r="F293" s="255" t="str">
        <f aca="false">_xlfn.xlookup(A293,'Liste BT'!A:A,'Liste BT'!D:D)</f>
        <v>Étiquesse</v>
      </c>
      <c r="G293" s="264" t="str">
        <f aca="false">_xlfn.xlookup(A293,'Liste BT'!A:A,'Liste BT'!E:E)</f>
        <v>Échantillons</v>
      </c>
      <c r="H293" s="266" t="str">
        <f aca="false">_xlfn.xlookup(A293,'Liste BT'!A:A,'Liste BT'!K:K)</f>
        <v>T11</v>
      </c>
      <c r="I293" s="266"/>
      <c r="J293" s="264" t="str">
        <f aca="false">_xlfn.xlookup(A293,'Liste BT'!A:A,'Liste BT'!V:V)</f>
        <v>T11-1</v>
      </c>
      <c r="K293" s="264" t="str">
        <f aca="false">_xlfn.xlookup(A293,'Liste BT'!A:A,'Liste BT'!W:W)</f>
        <v>10033-T11</v>
      </c>
      <c r="L293" s="175" t="n">
        <v>655.5</v>
      </c>
      <c r="M293" s="175" t="n">
        <v>289.8</v>
      </c>
      <c r="N293" s="175" t="n">
        <v>358.8</v>
      </c>
      <c r="O293" s="175"/>
      <c r="P293" s="175" t="n">
        <v>13</v>
      </c>
      <c r="Q293" s="176" t="n">
        <v>0.33</v>
      </c>
      <c r="R293" s="138" t="n">
        <v>1</v>
      </c>
      <c r="S293" s="177" t="n">
        <f aca="false">140/3</f>
        <v>46.6666666666667</v>
      </c>
      <c r="T293" s="215"/>
      <c r="U293" s="259" t="n">
        <f aca="false">_xlfn.xlookup(K293,'[1]Prix MP'!C$1:C$1048576,'[1]Prix MP'!W$1:W$1048576, 0)</f>
        <v>0.2951148717267</v>
      </c>
      <c r="V293" s="256" t="n">
        <f aca="false">(N293+O293)*U293</f>
        <v>105.88721597554</v>
      </c>
      <c r="W293" s="256" t="n">
        <f aca="false">(L293-N293-M293)*U293</f>
        <v>2.03629261491422</v>
      </c>
      <c r="X293" s="267" t="n">
        <f aca="false">IFERROR((L293-N293-M293)/L293,"")</f>
        <v>0.0105263157894737</v>
      </c>
      <c r="Y293" s="256" t="n">
        <f aca="false">10.15/60*P293</f>
        <v>2.19916666666667</v>
      </c>
      <c r="Z293" s="256" t="n">
        <f aca="false">21.7*Q293</f>
        <v>7.161</v>
      </c>
      <c r="AA293" s="256" t="n">
        <f aca="false">125000/52/40*R293</f>
        <v>60.0961538461539</v>
      </c>
      <c r="AB293" s="256" t="n">
        <f aca="false">(N293+O293)*U293+S293+W293+Y293+Z293+AA293</f>
        <v>224.046495769941</v>
      </c>
      <c r="AC293" s="257" t="n">
        <f aca="false">_xlfn.xlookup(D293&amp;H293,'PO item'!J:J,'PO item'!V:V,0)</f>
        <v>0</v>
      </c>
      <c r="AD293" s="257" t="str">
        <f aca="false">_xlfn.xlookup(D293&amp;H293,'PO item'!J:J,'PO item'!Y:Y,0)</f>
        <v>CAD</v>
      </c>
      <c r="AE293" s="256" t="n">
        <f aca="false">IFERROR(IF(AD293="CAD",(N293+O293)*AC293,(N293+O293)*AC293*T293),0)</f>
        <v>0</v>
      </c>
      <c r="AF293" s="256" t="n">
        <f aca="false">AE293-AB293</f>
        <v>-224.046495769941</v>
      </c>
      <c r="AG293" s="268" t="str">
        <f aca="false">IFERROR(1-AB293/AE293,"")</f>
        <v/>
      </c>
      <c r="AH293" s="269" t="n">
        <f aca="false">((N293+O293)*U293+W293)</f>
        <v>107.923508590454</v>
      </c>
      <c r="AI293" s="268" t="str">
        <f aca="false">IFERROR(AH293/AE293,"")</f>
        <v/>
      </c>
      <c r="AJ293" s="268" t="str">
        <f aca="false">IFERROR(IF(AC293=0,"S",""),"S")</f>
        <v>S</v>
      </c>
      <c r="AK293" s="270" t="n">
        <f aca="false">A293</f>
        <v>82</v>
      </c>
      <c r="AL293" s="271" t="n">
        <f aca="false">IF(E293="labeledge",(L293*U293+AB293)/M293,AB293/(N293+O293))</f>
        <v>0.624432819871632</v>
      </c>
      <c r="AN293" s="144" t="e">
        <v>#NAME?</v>
      </c>
      <c r="AO293" s="144" t="e">
        <f aca="false">_xlfn.xlookup(AN293,A:A,F:F)</f>
        <v>#NAME?</v>
      </c>
      <c r="AP293" s="144" t="e">
        <f aca="false">_xlfn.xlookup(AN293,A:A,J:J)</f>
        <v>#NAME?</v>
      </c>
      <c r="AQ293" s="144" t="e">
        <f aca="false">_xlfn.xlookup(AN293,A:A,N:N)+_xlfn.xlookup(AN293,A:A,O:O)</f>
        <v>#NAME?</v>
      </c>
      <c r="AR293" s="150" t="e">
        <f aca="false">_xlfn.xlookup(AN293,A:A,AH:AH)</f>
        <v>#NAME?</v>
      </c>
      <c r="AS293" s="150" t="e">
        <f aca="false">_xlfn.xlookup(AN293,A:A,S:S)</f>
        <v>#NAME?</v>
      </c>
      <c r="AT293" s="150" t="e">
        <f aca="false">_xlfn.xlookup(AN293,A:A,AE:AE)</f>
        <v>#NAME?</v>
      </c>
      <c r="AU293" s="150" t="e">
        <f aca="false">_xlfn.xlookup(AN293,A:A,AF:AF)</f>
        <v>#NAME?</v>
      </c>
      <c r="BH293" s="152" t="e">
        <f aca="false">_xlfn.xlookup(BG293,A:A,F:F)</f>
        <v>#NAME?</v>
      </c>
      <c r="BI293" s="144" t="e">
        <f aca="false">_xlfn.xlookup(BG293,A:A,J:J)</f>
        <v>#NAME?</v>
      </c>
      <c r="BJ293" s="153" t="e">
        <f aca="false">_xlfn.xlookup(BG293,A:A,N:N)+_xlfn.xlookup(BG293,A:A,O:O)</f>
        <v>#NAME?</v>
      </c>
      <c r="BK293" s="153" t="e">
        <f aca="false">_xlfn.xlookup(BG293,A242:A1236,AB242:AB1236)</f>
        <v>#NAME?</v>
      </c>
      <c r="BQ293" s="144" t="str">
        <f aca="false">IF(VALUE(MONTH(C293))&lt;10,YEAR(C293)&amp;"-0"&amp;MONTH(C293),YEAR(C293)&amp;"-"&amp;MONTH(C293))</f>
        <v>2025-03</v>
      </c>
      <c r="BR293" s="144" t="str">
        <f aca="false">J293</f>
        <v>T11-1</v>
      </c>
      <c r="BS293" s="144" t="str">
        <f aca="false">IF(ISNUMBER(FIND("-", BR293)), LEFT(BR293, FIND("-", BR293) - 1), BR293)</f>
        <v>T11</v>
      </c>
      <c r="BT293" s="189" t="n">
        <f aca="false">L293-M293+O293</f>
        <v>365.7</v>
      </c>
    </row>
    <row r="294" customFormat="false" ht="16.4" hidden="false" customHeight="false" outlineLevel="0" collapsed="false">
      <c r="A294" s="264" t="n">
        <f aca="false">A293+1</f>
        <v>83</v>
      </c>
      <c r="B294" s="249" t="s">
        <v>893</v>
      </c>
      <c r="C294" s="265" t="n">
        <f aca="false">_xlfn.xlookup(A294,'Liste BT'!A:A,'Liste BT'!G:G)</f>
        <v>45729</v>
      </c>
      <c r="D294" s="266" t="n">
        <f aca="false">_xlfn.xlookup(A294,'Liste BT'!A:A,'Liste BT'!F:F)</f>
        <v>385</v>
      </c>
      <c r="E294" s="255"/>
      <c r="F294" s="255" t="str">
        <f aca="false">_xlfn.xlookup(A294,'Liste BT'!A:A,'Liste BT'!D:D)</f>
        <v>Étiquesse</v>
      </c>
      <c r="G294" s="264" t="str">
        <f aca="false">_xlfn.xlookup(A294,'Liste BT'!A:A,'Liste BT'!E:E)</f>
        <v>Échantillons</v>
      </c>
      <c r="H294" s="266" t="str">
        <f aca="false">_xlfn.xlookup(A294,'Liste BT'!A:A,'Liste BT'!K:K)</f>
        <v>S21</v>
      </c>
      <c r="I294" s="266"/>
      <c r="J294" s="264" t="str">
        <f aca="false">_xlfn.xlookup(A294,'Liste BT'!A:A,'Liste BT'!V:V)</f>
        <v>S21-1</v>
      </c>
      <c r="K294" s="264" t="str">
        <f aca="false">_xlfn.xlookup(A294,'Liste BT'!A:A,'Liste BT'!W:W)</f>
        <v>10024-S21</v>
      </c>
      <c r="L294" s="175" t="n">
        <f aca="false">972/2</f>
        <v>486</v>
      </c>
      <c r="M294" s="175" t="n">
        <f aca="false">226.8/2</f>
        <v>113.4</v>
      </c>
      <c r="N294" s="175" t="n">
        <f aca="false">745.2/2</f>
        <v>372.6</v>
      </c>
      <c r="O294" s="175"/>
      <c r="P294" s="175" t="n">
        <v>12.875</v>
      </c>
      <c r="Q294" s="176" t="n">
        <v>0.33</v>
      </c>
      <c r="R294" s="138" t="n">
        <f aca="false">0.75/2</f>
        <v>0.375</v>
      </c>
      <c r="S294" s="177" t="n">
        <f aca="false">140/3</f>
        <v>46.6666666666667</v>
      </c>
      <c r="T294" s="215"/>
      <c r="U294" s="259" t="n">
        <f aca="false">_xlfn.xlookup(K294,'[1]Prix MP'!C$1:C$1048576,'[1]Prix MP'!W$1:W$1048576, 0)</f>
        <v>0.28357864079936</v>
      </c>
      <c r="V294" s="256" t="n">
        <f aca="false">(N294+O294)*U294</f>
        <v>105.661401561842</v>
      </c>
      <c r="W294" s="256" t="n">
        <f aca="false">(L294-N294-M294)*U294</f>
        <v>0</v>
      </c>
      <c r="X294" s="267" t="n">
        <f aca="false">IFERROR((L294-N294-M294)/L294,"")</f>
        <v>0</v>
      </c>
      <c r="Y294" s="256" t="n">
        <f aca="false">10.15/60*P294</f>
        <v>2.17802083333333</v>
      </c>
      <c r="Z294" s="256" t="n">
        <f aca="false">21.7*Q294</f>
        <v>7.161</v>
      </c>
      <c r="AA294" s="256" t="n">
        <f aca="false">125000/52/40*R294</f>
        <v>22.5360576923077</v>
      </c>
      <c r="AB294" s="256" t="n">
        <f aca="false">(N294+O294)*U294+S294+W294+Y294+Z294+AA294</f>
        <v>184.203146754149</v>
      </c>
      <c r="AC294" s="257" t="n">
        <f aca="false">_xlfn.xlookup(D294&amp;H294,'PO item'!J:J,'PO item'!V:V,0)</f>
        <v>0</v>
      </c>
      <c r="AD294" s="257" t="str">
        <f aca="false">_xlfn.xlookup(D294&amp;H294,'PO item'!J:J,'PO item'!Y:Y,0)</f>
        <v>CAD</v>
      </c>
      <c r="AE294" s="256" t="n">
        <f aca="false">IFERROR(IF(AD294="CAD",(N294+O294)*AC294,(N294+O294)*AC294*T294),0)</f>
        <v>0</v>
      </c>
      <c r="AF294" s="256" t="n">
        <f aca="false">AE294-AB294</f>
        <v>-184.203146754149</v>
      </c>
      <c r="AG294" s="268" t="str">
        <f aca="false">IFERROR(1-AB294/AE294,"")</f>
        <v/>
      </c>
      <c r="AH294" s="269" t="n">
        <f aca="false">((N294+O294)*U294+W294)</f>
        <v>105.661401561842</v>
      </c>
      <c r="AI294" s="268" t="str">
        <f aca="false">IFERROR(AH294/AE294,"")</f>
        <v/>
      </c>
      <c r="AJ294" s="268" t="str">
        <f aca="false">IFERROR(IF(AC294=0,"S",""),"S")</f>
        <v>S</v>
      </c>
      <c r="AK294" s="270" t="n">
        <f aca="false">A294</f>
        <v>83</v>
      </c>
      <c r="AL294" s="271" t="n">
        <f aca="false">IF(E294="labeledge",(L294*U294+AB294)/M294,AB294/(N294+O294))</f>
        <v>0.494372374541463</v>
      </c>
      <c r="AN294" s="144" t="e">
        <v>#NAME?</v>
      </c>
      <c r="AO294" s="144" t="e">
        <f aca="false">_xlfn.xlookup(AN294,A:A,F:F)</f>
        <v>#NAME?</v>
      </c>
      <c r="AP294" s="144" t="e">
        <f aca="false">_xlfn.xlookup(AN294,A:A,J:J)</f>
        <v>#NAME?</v>
      </c>
      <c r="AQ294" s="144" t="e">
        <f aca="false">_xlfn.xlookup(AN294,A:A,N:N)+_xlfn.xlookup(AN294,A:A,O:O)</f>
        <v>#NAME?</v>
      </c>
      <c r="AR294" s="150" t="e">
        <f aca="false">_xlfn.xlookup(AN294,A:A,AH:AH)</f>
        <v>#NAME?</v>
      </c>
      <c r="AS294" s="150" t="e">
        <f aca="false">_xlfn.xlookup(AN294,A:A,S:S)</f>
        <v>#NAME?</v>
      </c>
      <c r="AT294" s="150" t="e">
        <f aca="false">_xlfn.xlookup(AN294,A:A,AE:AE)</f>
        <v>#NAME?</v>
      </c>
      <c r="AU294" s="150" t="e">
        <f aca="false">_xlfn.xlookup(AN294,A:A,AF:AF)</f>
        <v>#NAME?</v>
      </c>
      <c r="BH294" s="152" t="e">
        <f aca="false">_xlfn.xlookup(BG294,A:A,F:F)</f>
        <v>#NAME?</v>
      </c>
      <c r="BI294" s="144" t="e">
        <f aca="false">_xlfn.xlookup(BG294,A:A,J:J)</f>
        <v>#NAME?</v>
      </c>
      <c r="BJ294" s="153" t="e">
        <f aca="false">_xlfn.xlookup(BG294,A:A,N:N)+_xlfn.xlookup(BG294,A:A,O:O)</f>
        <v>#NAME?</v>
      </c>
      <c r="BK294" s="153" t="e">
        <f aca="false">_xlfn.xlookup(BG294,A243:A1237,AB243:AB1237)</f>
        <v>#NAME?</v>
      </c>
      <c r="BQ294" s="144" t="str">
        <f aca="false">IF(VALUE(MONTH(C294))&lt;10,YEAR(C294)&amp;"-0"&amp;MONTH(C294),YEAR(C294)&amp;"-"&amp;MONTH(C294))</f>
        <v>2025-03</v>
      </c>
      <c r="BR294" s="144" t="str">
        <f aca="false">J294</f>
        <v>S21-1</v>
      </c>
      <c r="BS294" s="144" t="str">
        <f aca="false">IF(ISNUMBER(FIND("-", BR294)), LEFT(BR294, FIND("-", BR294) - 1), BR294)</f>
        <v>S21</v>
      </c>
      <c r="BT294" s="189" t="n">
        <f aca="false">L294-M294+O294</f>
        <v>372.6</v>
      </c>
    </row>
    <row r="295" customFormat="false" ht="16.4" hidden="false" customHeight="false" outlineLevel="0" collapsed="false">
      <c r="A295" s="264" t="n">
        <f aca="false">A294+1</f>
        <v>84</v>
      </c>
      <c r="B295" s="249" t="s">
        <v>893</v>
      </c>
      <c r="C295" s="265" t="n">
        <f aca="false">_xlfn.xlookup(A295,'Liste BT'!A:A,'Liste BT'!G:G)</f>
        <v>45730</v>
      </c>
      <c r="D295" s="266" t="n">
        <f aca="false">_xlfn.xlookup(A295,'Liste BT'!A:A,'Liste BT'!F:F)</f>
        <v>0</v>
      </c>
      <c r="E295" s="255"/>
      <c r="F295" s="255" t="str">
        <f aca="false">_xlfn.xlookup(A295,'Liste BT'!A:A,'Liste BT'!D:D)</f>
        <v>Multi-Flex</v>
      </c>
      <c r="G295" s="264" t="str">
        <f aca="false">_xlfn.xlookup(A295,'Liste BT'!A:A,'Liste BT'!E:E)</f>
        <v>Échantillon</v>
      </c>
      <c r="H295" s="266" t="str">
        <f aca="false">_xlfn.xlookup(A295,'Liste BT'!A:A,'Liste BT'!K:K)</f>
        <v>S35</v>
      </c>
      <c r="I295" s="266"/>
      <c r="J295" s="264" t="str">
        <f aca="false">_xlfn.xlookup(A295,'Liste BT'!A:A,'Liste BT'!V:V)</f>
        <v>S35-3</v>
      </c>
      <c r="K295" s="264" t="str">
        <f aca="false">_xlfn.xlookup(A295,'Liste BT'!A:A,'Liste BT'!W:W)</f>
        <v>10039-S35</v>
      </c>
      <c r="L295" s="175" t="n">
        <v>376.74</v>
      </c>
      <c r="M295" s="175" t="n">
        <v>142.38</v>
      </c>
      <c r="N295" s="175" t="n">
        <v>201.6</v>
      </c>
      <c r="O295" s="175"/>
      <c r="P295" s="175" t="n">
        <v>20</v>
      </c>
      <c r="Q295" s="176" t="n">
        <v>1</v>
      </c>
      <c r="R295" s="138" t="n">
        <v>0.5</v>
      </c>
      <c r="S295" s="177" t="n">
        <v>0</v>
      </c>
      <c r="T295" s="215"/>
      <c r="U295" s="259" t="n">
        <f aca="false">_xlfn.xlookup(K295,'[1]Prix MP'!C$1:C$1048576,'[1]Prix MP'!W$1:W$1048576, 0)</f>
        <v>0.27644690127903</v>
      </c>
      <c r="V295" s="256" t="n">
        <f aca="false">(N295+O295)*U295</f>
        <v>55.7316952978525</v>
      </c>
      <c r="W295" s="256" t="n">
        <f aca="false">(L295-N295-M295)*U295</f>
        <v>9.05640048590102</v>
      </c>
      <c r="X295" s="267" t="n">
        <f aca="false">IFERROR((L295-N295-M295)/L295,"")</f>
        <v>0.0869565217391304</v>
      </c>
      <c r="Y295" s="256" t="n">
        <f aca="false">10.15/60*P295</f>
        <v>3.38333333333333</v>
      </c>
      <c r="Z295" s="256" t="n">
        <f aca="false">21.7*Q295</f>
        <v>21.7</v>
      </c>
      <c r="AA295" s="256" t="n">
        <f aca="false">125000/52/40*R295</f>
        <v>30.0480769230769</v>
      </c>
      <c r="AB295" s="256" t="n">
        <f aca="false">(N295+O295)*U295+S295+W295+Y295+Z295+AA295</f>
        <v>119.919506040164</v>
      </c>
      <c r="AC295" s="257" t="n">
        <f aca="false">_xlfn.xlookup(D295&amp;H295,'PO item'!J:J,'PO item'!V:V,0)</f>
        <v>0</v>
      </c>
      <c r="AD295" s="257" t="n">
        <f aca="false">_xlfn.xlookup(D295&amp;H295,'PO item'!J:J,'PO item'!Y:Y,0)</f>
        <v>0</v>
      </c>
      <c r="AE295" s="256" t="n">
        <f aca="false">IFERROR(IF(AD295="CAD",(N295+O295)*AC295,(N295+O295)*AC295*T295),0)</f>
        <v>0</v>
      </c>
      <c r="AF295" s="256" t="n">
        <f aca="false">AE295-AB295</f>
        <v>-119.919506040164</v>
      </c>
      <c r="AG295" s="268" t="str">
        <f aca="false">IFERROR(1-AB295/AE295,"")</f>
        <v/>
      </c>
      <c r="AH295" s="269" t="n">
        <f aca="false">((N295+O295)*U295+W295)</f>
        <v>64.7880957837535</v>
      </c>
      <c r="AI295" s="268" t="str">
        <f aca="false">IFERROR(AH295/AE295,"")</f>
        <v/>
      </c>
      <c r="AJ295" s="268" t="str">
        <f aca="false">IFERROR(IF(AC295=0,"S",""),"S")</f>
        <v>S</v>
      </c>
      <c r="AK295" s="270" t="n">
        <f aca="false">A295</f>
        <v>84</v>
      </c>
      <c r="AL295" s="271" t="n">
        <f aca="false">IF(E295="labeledge",(L295*U295+AB295)/M295,AB295/(N295+O295))</f>
        <v>0.59483881964367</v>
      </c>
      <c r="AN295" s="144" t="e">
        <v>#NAME?</v>
      </c>
      <c r="AO295" s="144" t="e">
        <f aca="false">_xlfn.xlookup(AN295,A:A,F:F)</f>
        <v>#NAME?</v>
      </c>
      <c r="AP295" s="144" t="e">
        <f aca="false">_xlfn.xlookup(AN295,A:A,J:J)</f>
        <v>#NAME?</v>
      </c>
      <c r="AQ295" s="144" t="e">
        <f aca="false">_xlfn.xlookup(AN295,A:A,N:N)+_xlfn.xlookup(AN295,A:A,O:O)</f>
        <v>#NAME?</v>
      </c>
      <c r="AR295" s="150" t="e">
        <f aca="false">_xlfn.xlookup(AN295,A:A,AH:AH)</f>
        <v>#NAME?</v>
      </c>
      <c r="AS295" s="150" t="e">
        <f aca="false">_xlfn.xlookup(AN295,A:A,S:S)</f>
        <v>#NAME?</v>
      </c>
      <c r="AT295" s="150" t="e">
        <f aca="false">_xlfn.xlookup(AN295,A:A,AE:AE)</f>
        <v>#NAME?</v>
      </c>
      <c r="AU295" s="150" t="e">
        <f aca="false">_xlfn.xlookup(AN295,A:A,AF:AF)</f>
        <v>#NAME?</v>
      </c>
      <c r="BH295" s="152" t="e">
        <f aca="false">_xlfn.xlookup(BG295,A:A,F:F)</f>
        <v>#NAME?</v>
      </c>
      <c r="BI295" s="144" t="e">
        <f aca="false">_xlfn.xlookup(BG295,A:A,J:J)</f>
        <v>#NAME?</v>
      </c>
      <c r="BJ295" s="153" t="e">
        <f aca="false">_xlfn.xlookup(BG295,A:A,N:N)+_xlfn.xlookup(BG295,A:A,O:O)</f>
        <v>#NAME?</v>
      </c>
      <c r="BK295" s="153" t="e">
        <f aca="false">_xlfn.xlookup(BG295,A244:A1238,AB244:AB1238)</f>
        <v>#NAME?</v>
      </c>
      <c r="BQ295" s="144" t="str">
        <f aca="false">IF(VALUE(MONTH(C295))&lt;10,YEAR(C295)&amp;"-0"&amp;MONTH(C295),YEAR(C295)&amp;"-"&amp;MONTH(C295))</f>
        <v>2025-03</v>
      </c>
      <c r="BR295" s="144" t="str">
        <f aca="false">J295</f>
        <v>S35-3</v>
      </c>
      <c r="BS295" s="144" t="str">
        <f aca="false">IF(ISNUMBER(FIND("-", BR295)), LEFT(BR295, FIND("-", BR295) - 1), BR295)</f>
        <v>S35</v>
      </c>
      <c r="BT295" s="189" t="n">
        <f aca="false">L295-M295+O295</f>
        <v>234.36</v>
      </c>
    </row>
    <row r="296" customFormat="false" ht="16.4" hidden="false" customHeight="false" outlineLevel="0" collapsed="false">
      <c r="A296" s="264" t="n">
        <f aca="false">A295+1</f>
        <v>85</v>
      </c>
      <c r="B296" s="249" t="s">
        <v>893</v>
      </c>
      <c r="C296" s="265" t="n">
        <f aca="false">_xlfn.xlookup(A296,'Liste BT'!A:A,'Liste BT'!G:G)</f>
        <v>45730</v>
      </c>
      <c r="D296" s="266" t="n">
        <f aca="false">_xlfn.xlookup(A296,'Liste BT'!A:A,'Liste BT'!F:F)</f>
        <v>386</v>
      </c>
      <c r="E296" s="255"/>
      <c r="F296" s="255" t="str">
        <f aca="false">_xlfn.xlookup(A296,'Liste BT'!A:A,'Liste BT'!D:D)</f>
        <v>Nationale livraison</v>
      </c>
      <c r="G296" s="264" t="str">
        <f aca="false">_xlfn.xlookup(A296,'Liste BT'!A:A,'Liste BT'!E:E)</f>
        <v>MK250314-3</v>
      </c>
      <c r="H296" s="266" t="str">
        <f aca="false">_xlfn.xlookup(A296,'Liste BT'!A:A,'Liste BT'!K:K)</f>
        <v>T11</v>
      </c>
      <c r="I296" s="266"/>
      <c r="J296" s="264" t="str">
        <f aca="false">_xlfn.xlookup(A296,'Liste BT'!A:A,'Liste BT'!V:V)</f>
        <v>T11-1</v>
      </c>
      <c r="K296" s="264" t="str">
        <f aca="false">_xlfn.xlookup(A296,'Liste BT'!A:A,'Liste BT'!W:W)</f>
        <v>10051-T11</v>
      </c>
      <c r="L296" s="175" t="n">
        <v>15277.30488</v>
      </c>
      <c r="M296" s="175" t="n">
        <v>0</v>
      </c>
      <c r="N296" s="175" t="n">
        <v>14940</v>
      </c>
      <c r="O296" s="175"/>
      <c r="P296" s="175" t="n">
        <v>120</v>
      </c>
      <c r="Q296" s="176" t="n">
        <v>3</v>
      </c>
      <c r="R296" s="138" t="n">
        <v>3</v>
      </c>
      <c r="S296" s="177" t="n">
        <v>158.56</v>
      </c>
      <c r="T296" s="215"/>
      <c r="U296" s="259" t="n">
        <f aca="false">_xlfn.xlookup(K296,'[1]Prix MP'!C$1:C$1048576,'[1]Prix MP'!W$1:W$1048576, 0)</f>
        <v>0.273486093127953</v>
      </c>
      <c r="V296" s="256" t="n">
        <f aca="false">(N296+O296)*U296</f>
        <v>4085.88223133162</v>
      </c>
      <c r="W296" s="256" t="n">
        <f aca="false">(L296-N296-M296)*U296</f>
        <v>92.248193824192</v>
      </c>
      <c r="X296" s="267" t="n">
        <f aca="false">IFERROR((L296-N296-M296)/L296,"")</f>
        <v>0.0220788210125709</v>
      </c>
      <c r="Y296" s="256" t="n">
        <f aca="false">10.15/60*P296</f>
        <v>20.3</v>
      </c>
      <c r="Z296" s="256" t="n">
        <f aca="false">21.7*Q296</f>
        <v>65.1</v>
      </c>
      <c r="AA296" s="256" t="n">
        <f aca="false">125000/52/40*R296</f>
        <v>180.288461538462</v>
      </c>
      <c r="AB296" s="256" t="n">
        <f aca="false">(N296+O296)*U296+S296+W296+Y296+Z296+AA296</f>
        <v>4602.37888669428</v>
      </c>
      <c r="AC296" s="257" t="n">
        <f aca="false">_xlfn.xlookup(D296&amp;H296,'PO item'!J:J,'PO item'!V:V,0)</f>
        <v>0.371</v>
      </c>
      <c r="AD296" s="257" t="str">
        <f aca="false">_xlfn.xlookup(D296&amp;H296,'PO item'!J:J,'PO item'!Y:Y,0)</f>
        <v>CAD</v>
      </c>
      <c r="AE296" s="256" t="n">
        <f aca="false">IFERROR(IF(AD296="CAD",(N296+O296)*AC296,(N296+O296)*AC296*T296),0)</f>
        <v>5542.74</v>
      </c>
      <c r="AF296" s="256" t="n">
        <f aca="false">AE296-AB296</f>
        <v>940.361113305724</v>
      </c>
      <c r="AG296" s="268" t="n">
        <f aca="false">IFERROR(1-AB296/AE296,"")</f>
        <v>0.169656363694801</v>
      </c>
      <c r="AH296" s="269" t="n">
        <f aca="false">((N296+O296)*U296+W296)</f>
        <v>4178.13042515582</v>
      </c>
      <c r="AI296" s="268" t="n">
        <f aca="false">IFERROR(AH296/AE296,"")</f>
        <v>0.753802347783914</v>
      </c>
      <c r="AJ296" s="268" t="str">
        <f aca="false">IFERROR(IF(AC296=0,"S",""),"S")</f>
        <v/>
      </c>
      <c r="AK296" s="270" t="n">
        <f aca="false">A296</f>
        <v>85</v>
      </c>
      <c r="AL296" s="271" t="n">
        <f aca="false">IF(E296="labeledge",(L296*U296+AB296)/M296,AB296/(N296+O296))</f>
        <v>0.308057489069229</v>
      </c>
      <c r="AN296" s="144" t="e">
        <v>#NAME?</v>
      </c>
      <c r="AO296" s="144" t="e">
        <f aca="false">_xlfn.xlookup(AN296,A:A,F:F)</f>
        <v>#NAME?</v>
      </c>
      <c r="AP296" s="144" t="e">
        <f aca="false">_xlfn.xlookup(AN296,A:A,J:J)</f>
        <v>#NAME?</v>
      </c>
      <c r="AQ296" s="144" t="e">
        <f aca="false">_xlfn.xlookup(AN296,A:A,N:N)+_xlfn.xlookup(AN296,A:A,O:O)</f>
        <v>#NAME?</v>
      </c>
      <c r="AR296" s="150" t="e">
        <f aca="false">_xlfn.xlookup(AN296,A:A,AH:AH)</f>
        <v>#NAME?</v>
      </c>
      <c r="AS296" s="150" t="e">
        <f aca="false">_xlfn.xlookup(AN296,A:A,S:S)</f>
        <v>#NAME?</v>
      </c>
      <c r="AT296" s="150" t="e">
        <f aca="false">_xlfn.xlookup(AN296,A:A,AE:AE)</f>
        <v>#NAME?</v>
      </c>
      <c r="AU296" s="150" t="e">
        <f aca="false">_xlfn.xlookup(AN296,A:A,AF:AF)</f>
        <v>#NAME?</v>
      </c>
      <c r="BH296" s="152" t="e">
        <f aca="false">_xlfn.xlookup(BG296,A:A,F:F)</f>
        <v>#NAME?</v>
      </c>
      <c r="BI296" s="144" t="e">
        <f aca="false">_xlfn.xlookup(BG296,A:A,J:J)</f>
        <v>#NAME?</v>
      </c>
      <c r="BJ296" s="153" t="e">
        <f aca="false">_xlfn.xlookup(BG296,A:A,N:N)+_xlfn.xlookup(BG296,A:A,O:O)</f>
        <v>#NAME?</v>
      </c>
      <c r="BK296" s="153" t="e">
        <f aca="false">_xlfn.xlookup(BG296,A245:A1239,AB245:AB1239)</f>
        <v>#NAME?</v>
      </c>
      <c r="BQ296" s="144" t="str">
        <f aca="false">IF(VALUE(MONTH(C296))&lt;10,YEAR(C296)&amp;"-0"&amp;MONTH(C296),YEAR(C296)&amp;"-"&amp;MONTH(C296))</f>
        <v>2025-03</v>
      </c>
      <c r="BR296" s="144" t="str">
        <f aca="false">J296</f>
        <v>T11-1</v>
      </c>
      <c r="BS296" s="144" t="str">
        <f aca="false">IF(ISNUMBER(FIND("-", BR296)), LEFT(BR296, FIND("-", BR296) - 1), BR296)</f>
        <v>T11</v>
      </c>
      <c r="BT296" s="189" t="n">
        <f aca="false">L296-M296+O296</f>
        <v>15277.30488</v>
      </c>
    </row>
    <row r="297" customFormat="false" ht="16.4" hidden="false" customHeight="false" outlineLevel="0" collapsed="false">
      <c r="A297" s="264" t="n">
        <f aca="false">A296+1</f>
        <v>86</v>
      </c>
      <c r="B297" s="249" t="s">
        <v>893</v>
      </c>
      <c r="C297" s="265" t="n">
        <f aca="false">_xlfn.xlookup(A297,'Liste BT'!A:A,'Liste BT'!G:G)</f>
        <v>45733</v>
      </c>
      <c r="D297" s="266" t="n">
        <f aca="false">_xlfn.xlookup(A297,'Liste BT'!A:A,'Liste BT'!F:F)</f>
        <v>387</v>
      </c>
      <c r="E297" s="255"/>
      <c r="F297" s="255" t="str">
        <f aca="false">_xlfn.xlookup(A297,'Liste BT'!A:A,'Liste BT'!D:D)</f>
        <v>Damaflex livraison</v>
      </c>
      <c r="G297" s="264" t="n">
        <f aca="false">_xlfn.xlookup(A297,'Liste BT'!A:A,'Liste BT'!E:E)</f>
        <v>179205</v>
      </c>
      <c r="H297" s="266" t="str">
        <f aca="false">_xlfn.xlookup(A297,'Liste BT'!A:A,'Liste BT'!K:K)</f>
        <v>B25</v>
      </c>
      <c r="I297" s="266"/>
      <c r="J297" s="264" t="str">
        <f aca="false">_xlfn.xlookup(A297,'Liste BT'!A:A,'Liste BT'!V:V)</f>
        <v>B25-3</v>
      </c>
      <c r="K297" s="264" t="str">
        <f aca="false">_xlfn.xlookup(A297,'Liste BT'!A:A,'Liste BT'!W:W)</f>
        <v>10039-B25</v>
      </c>
      <c r="L297" s="175" t="n">
        <v>6939.1872</v>
      </c>
      <c r="M297" s="175" t="n">
        <v>0</v>
      </c>
      <c r="N297" s="175" t="n">
        <v>6912</v>
      </c>
      <c r="O297" s="175"/>
      <c r="P297" s="175" t="n">
        <v>60</v>
      </c>
      <c r="Q297" s="176" t="n">
        <v>2</v>
      </c>
      <c r="R297" s="138" t="n">
        <v>4.5</v>
      </c>
      <c r="S297" s="177" t="n">
        <v>140.82</v>
      </c>
      <c r="T297" s="215"/>
      <c r="U297" s="259" t="n">
        <f aca="false">_xlfn.xlookup(K297,'[1]Prix MP'!C$1:C$1048576,'[1]Prix MP'!W$1:W$1048576, 0)</f>
        <v>0.307208514182256</v>
      </c>
      <c r="V297" s="256" t="n">
        <f aca="false">(N297+O297)*U297</f>
        <v>2123.42525002775</v>
      </c>
      <c r="W297" s="256" t="n">
        <f aca="false">(L297-N297-M297)*U297</f>
        <v>8.35213931677536</v>
      </c>
      <c r="X297" s="267" t="n">
        <f aca="false">IFERROR((L297-N297-M297)/L297,"")</f>
        <v>0.00391792283684154</v>
      </c>
      <c r="Y297" s="256" t="n">
        <f aca="false">10.15/60*P297</f>
        <v>10.15</v>
      </c>
      <c r="Z297" s="256" t="n">
        <f aca="false">21.7*Q297</f>
        <v>43.4</v>
      </c>
      <c r="AA297" s="256" t="n">
        <f aca="false">125000/52/40*R297</f>
        <v>270.432692307692</v>
      </c>
      <c r="AB297" s="256" t="n">
        <f aca="false">(N297+O297)*U297+S297+W297+Y297+Z297+AA297</f>
        <v>2596.58008165222</v>
      </c>
      <c r="AC297" s="257" t="n">
        <f aca="false">_xlfn.xlookup(D297&amp;H297,'PO item'!J:J,'PO item'!V:V,0)</f>
        <v>0.423</v>
      </c>
      <c r="AD297" s="257" t="str">
        <f aca="false">_xlfn.xlookup(D297&amp;H297,'PO item'!J:J,'PO item'!Y:Y,0)</f>
        <v>CAD</v>
      </c>
      <c r="AE297" s="256" t="n">
        <f aca="false">IFERROR(IF(AD297="CAD",(N297+O297)*AC297,(N297+O297)*AC297*T297),0)</f>
        <v>2923.776</v>
      </c>
      <c r="AF297" s="256" t="n">
        <f aca="false">AE297-AB297</f>
        <v>327.195918347779</v>
      </c>
      <c r="AG297" s="268" t="n">
        <f aca="false">IFERROR(1-AB297/AE297,"")</f>
        <v>0.111908681905789</v>
      </c>
      <c r="AH297" s="269" t="n">
        <f aca="false">((N297+O297)*U297+W297)</f>
        <v>2131.77738934453</v>
      </c>
      <c r="AI297" s="268" t="n">
        <f aca="false">IFERROR(AH297/AE297,"")</f>
        <v>0.729117890476058</v>
      </c>
      <c r="AJ297" s="268" t="str">
        <f aca="false">IFERROR(IF(AC297=0,"S",""),"S")</f>
        <v/>
      </c>
      <c r="AK297" s="270" t="n">
        <f aca="false">A297</f>
        <v>86</v>
      </c>
      <c r="AL297" s="271" t="n">
        <f aca="false">IF(E297="labeledge",(L297*U297+AB297)/M297,AB297/(N297+O297))</f>
        <v>0.375662627553851</v>
      </c>
      <c r="AN297" s="144" t="e">
        <v>#NAME?</v>
      </c>
      <c r="AO297" s="144" t="e">
        <f aca="false">_xlfn.xlookup(AN297,A:A,F:F)</f>
        <v>#NAME?</v>
      </c>
      <c r="AP297" s="144" t="e">
        <f aca="false">_xlfn.xlookup(AN297,A:A,J:J)</f>
        <v>#NAME?</v>
      </c>
      <c r="AQ297" s="144" t="e">
        <f aca="false">_xlfn.xlookup(AN297,A:A,N:N)+_xlfn.xlookup(AN297,A:A,O:O)</f>
        <v>#NAME?</v>
      </c>
      <c r="AR297" s="150" t="e">
        <f aca="false">_xlfn.xlookup(AN297,A:A,AH:AH)</f>
        <v>#NAME?</v>
      </c>
      <c r="AS297" s="150" t="e">
        <f aca="false">_xlfn.xlookup(AN297,A:A,S:S)</f>
        <v>#NAME?</v>
      </c>
      <c r="AT297" s="150" t="e">
        <f aca="false">_xlfn.xlookup(AN297,A:A,AE:AE)</f>
        <v>#NAME?</v>
      </c>
      <c r="AU297" s="150" t="e">
        <f aca="false">_xlfn.xlookup(AN297,A:A,AF:AF)</f>
        <v>#NAME?</v>
      </c>
      <c r="BH297" s="152" t="e">
        <f aca="false">_xlfn.xlookup(BG297,A:A,F:F)</f>
        <v>#NAME?</v>
      </c>
      <c r="BI297" s="144" t="e">
        <f aca="false">_xlfn.xlookup(BG297,A:A,J:J)</f>
        <v>#NAME?</v>
      </c>
      <c r="BJ297" s="153" t="e">
        <f aca="false">_xlfn.xlookup(BG297,A:A,N:N)+_xlfn.xlookup(BG297,A:A,O:O)</f>
        <v>#NAME?</v>
      </c>
      <c r="BK297" s="153" t="e">
        <f aca="false">_xlfn.xlookup(BG297,A246:A1240,AB246:AB1240)</f>
        <v>#NAME?</v>
      </c>
      <c r="BQ297" s="144" t="str">
        <f aca="false">IF(VALUE(MONTH(C297))&lt;10,YEAR(C297)&amp;"-0"&amp;MONTH(C297),YEAR(C297)&amp;"-"&amp;MONTH(C297))</f>
        <v>2025-03</v>
      </c>
      <c r="BR297" s="144" t="str">
        <f aca="false">J297</f>
        <v>B25-3</v>
      </c>
      <c r="BS297" s="144" t="str">
        <f aca="false">IF(ISNUMBER(FIND("-", BR297)), LEFT(BR297, FIND("-", BR297) - 1), BR297)</f>
        <v>B25</v>
      </c>
      <c r="BT297" s="189" t="n">
        <f aca="false">L297-M297+O297</f>
        <v>6939.1872</v>
      </c>
    </row>
    <row r="298" customFormat="false" ht="16.4" hidden="false" customHeight="false" outlineLevel="0" collapsed="false">
      <c r="A298" s="264" t="n">
        <f aca="false">A297+1</f>
        <v>87</v>
      </c>
      <c r="B298" s="249" t="s">
        <v>1248</v>
      </c>
      <c r="C298" s="265" t="n">
        <f aca="false">_xlfn.xlookup(A298,'Liste BT'!A:A,'Liste BT'!G:G)</f>
        <v>45733</v>
      </c>
      <c r="D298" s="266" t="n">
        <f aca="false">_xlfn.xlookup(A298,'Liste BT'!A:A,'Liste BT'!F:F)</f>
        <v>388</v>
      </c>
      <c r="E298" s="255"/>
      <c r="F298" s="255" t="str">
        <f aca="false">_xlfn.xlookup(A298,'Liste BT'!A:A,'Liste BT'!D:D)</f>
        <v>Labelink Mtrl</v>
      </c>
      <c r="G298" s="264" t="n">
        <f aca="false">_xlfn.xlookup(A298,'Liste BT'!A:A,'Liste BT'!E:E)</f>
        <v>146349</v>
      </c>
      <c r="H298" s="266" t="str">
        <f aca="false">_xlfn.xlookup(A298,'Liste BT'!A:A,'Liste BT'!K:K)</f>
        <v>S31</v>
      </c>
      <c r="I298" s="266"/>
      <c r="J298" s="264" t="str">
        <f aca="false">_xlfn.xlookup(A298,'Liste BT'!A:A,'Liste BT'!V:V)</f>
        <v>S31-3</v>
      </c>
      <c r="K298" s="264" t="str">
        <f aca="false">_xlfn.xlookup(A298,'Liste BT'!A:A,'Liste BT'!W:W)</f>
        <v>10071-S31</v>
      </c>
      <c r="L298" s="175"/>
      <c r="M298" s="175"/>
      <c r="N298" s="175"/>
      <c r="O298" s="175"/>
      <c r="P298" s="175"/>
      <c r="Q298" s="176"/>
      <c r="R298" s="138"/>
      <c r="S298" s="177"/>
      <c r="T298" s="215"/>
      <c r="U298" s="259" t="n">
        <f aca="false">_xlfn.xlookup(K298,'[1]Prix MP'!C$1:C$1048576,'[1]Prix MP'!W$1:W$1048576, 0)</f>
        <v>0</v>
      </c>
      <c r="V298" s="256" t="n">
        <f aca="false">(N298+O298)*U298</f>
        <v>0</v>
      </c>
      <c r="W298" s="256" t="n">
        <f aca="false">(L298-N298-M298)*U298</f>
        <v>0</v>
      </c>
      <c r="X298" s="267" t="str">
        <f aca="false">IFERROR((L298-N298-M298)/L298,"")</f>
        <v/>
      </c>
      <c r="Y298" s="256" t="n">
        <f aca="false">10.15/60*P298</f>
        <v>0</v>
      </c>
      <c r="Z298" s="256" t="n">
        <f aca="false">21.7*Q298</f>
        <v>0</v>
      </c>
      <c r="AA298" s="256" t="n">
        <f aca="false">125000/52/40*R298</f>
        <v>0</v>
      </c>
      <c r="AB298" s="256" t="n">
        <f aca="false">(N298+O298)*U298+S298+W298+Y298+Z298+AA298</f>
        <v>0</v>
      </c>
      <c r="AC298" s="257" t="n">
        <f aca="false">_xlfn.xlookup(D298&amp;H298,'PO item'!J:J,'PO item'!V:V,0)</f>
        <v>0.387</v>
      </c>
      <c r="AD298" s="257" t="str">
        <f aca="false">_xlfn.xlookup(D298&amp;H298,'PO item'!J:J,'PO item'!Y:Y,0)</f>
        <v>CAD</v>
      </c>
      <c r="AE298" s="256" t="n">
        <f aca="false">IFERROR(IF(AD298="CAD",(N298+O298)*AC298,(N298+O298)*AC298*T298),0)</f>
        <v>0</v>
      </c>
      <c r="AF298" s="256" t="n">
        <f aca="false">AE298-AB298</f>
        <v>0</v>
      </c>
      <c r="AG298" s="268" t="str">
        <f aca="false">IFERROR(1-AB298/AE298,"")</f>
        <v/>
      </c>
      <c r="AH298" s="269" t="n">
        <f aca="false">((N298+O298)*U298+W298)</f>
        <v>0</v>
      </c>
      <c r="AI298" s="268" t="str">
        <f aca="false">IFERROR(AH298/AE298,"")</f>
        <v/>
      </c>
      <c r="AJ298" s="268" t="str">
        <f aca="false">IFERROR(IF(AC298=0,"S",""),"S")</f>
        <v/>
      </c>
      <c r="AK298" s="270" t="n">
        <f aca="false">A298</f>
        <v>87</v>
      </c>
      <c r="AL298" s="271" t="e">
        <f aca="false">IF(E298="labeledge",(L298*U298+AB298)/M298,AB298/(N298+O298))</f>
        <v>#DIV/0!</v>
      </c>
      <c r="AN298" s="144" t="e">
        <v>#NAME?</v>
      </c>
      <c r="AO298" s="144" t="e">
        <f aca="false">_xlfn.xlookup(AN298,A:A,F:F)</f>
        <v>#NAME?</v>
      </c>
      <c r="AP298" s="144" t="e">
        <f aca="false">_xlfn.xlookup(AN298,A:A,J:J)</f>
        <v>#NAME?</v>
      </c>
      <c r="AQ298" s="144" t="e">
        <f aca="false">_xlfn.xlookup(AN298,A:A,N:N)+_xlfn.xlookup(AN298,A:A,O:O)</f>
        <v>#NAME?</v>
      </c>
      <c r="AR298" s="150" t="e">
        <f aca="false">_xlfn.xlookup(AN298,A:A,AH:AH)</f>
        <v>#NAME?</v>
      </c>
      <c r="AS298" s="150" t="e">
        <f aca="false">_xlfn.xlookup(AN298,A:A,S:S)</f>
        <v>#NAME?</v>
      </c>
      <c r="AT298" s="150" t="e">
        <f aca="false">_xlfn.xlookup(AN298,A:A,AE:AE)</f>
        <v>#NAME?</v>
      </c>
      <c r="AU298" s="150" t="e">
        <f aca="false">_xlfn.xlookup(AN298,A:A,AF:AF)</f>
        <v>#NAME?</v>
      </c>
      <c r="BH298" s="152" t="e">
        <f aca="false">_xlfn.xlookup(BG298,A:A,F:F)</f>
        <v>#NAME?</v>
      </c>
      <c r="BI298" s="144" t="e">
        <f aca="false">_xlfn.xlookup(BG298,A:A,J:J)</f>
        <v>#NAME?</v>
      </c>
      <c r="BJ298" s="153" t="e">
        <f aca="false">_xlfn.xlookup(BG298,A:A,N:N)+_xlfn.xlookup(BG298,A:A,O:O)</f>
        <v>#NAME?</v>
      </c>
      <c r="BK298" s="153" t="e">
        <f aca="false">_xlfn.xlookup(BG298,A247:A1241,AB247:AB1241)</f>
        <v>#NAME?</v>
      </c>
      <c r="BQ298" s="144" t="str">
        <f aca="false">IF(VALUE(MONTH(C298))&lt;10,YEAR(C298)&amp;"-0"&amp;MONTH(C298),YEAR(C298)&amp;"-"&amp;MONTH(C298))</f>
        <v>2025-03</v>
      </c>
      <c r="BR298" s="144" t="str">
        <f aca="false">J298</f>
        <v>S31-3</v>
      </c>
      <c r="BS298" s="144" t="str">
        <f aca="false">IF(ISNUMBER(FIND("-", BR298)), LEFT(BR298, FIND("-", BR298) - 1), BR298)</f>
        <v>S31</v>
      </c>
      <c r="BT298" s="189" t="n">
        <f aca="false">L298-M298+O298</f>
        <v>0</v>
      </c>
    </row>
    <row r="299" customFormat="false" ht="16.4" hidden="false" customHeight="false" outlineLevel="0" collapsed="false">
      <c r="A299" s="264" t="n">
        <f aca="false">A298+1</f>
        <v>88</v>
      </c>
      <c r="B299" s="249" t="s">
        <v>1248</v>
      </c>
      <c r="C299" s="265" t="n">
        <f aca="false">_xlfn.xlookup(A299,'Liste BT'!A:A,'Liste BT'!G:G)</f>
        <v>45733</v>
      </c>
      <c r="D299" s="266" t="n">
        <f aca="false">_xlfn.xlookup(A299,'Liste BT'!A:A,'Liste BT'!F:F)</f>
        <v>389</v>
      </c>
      <c r="E299" s="255"/>
      <c r="F299" s="255" t="str">
        <f aca="false">_xlfn.xlookup(A299,'Liste BT'!A:A,'Liste BT'!D:D)</f>
        <v>Mijo</v>
      </c>
      <c r="G299" s="264" t="n">
        <f aca="false">_xlfn.xlookup(A299,'Liste BT'!A:A,'Liste BT'!E:E)</f>
        <v>14395</v>
      </c>
      <c r="H299" s="266" t="str">
        <f aca="false">_xlfn.xlookup(A299,'Liste BT'!A:A,'Liste BT'!K:K)</f>
        <v>S15</v>
      </c>
      <c r="I299" s="266"/>
      <c r="J299" s="264" t="str">
        <f aca="false">_xlfn.xlookup(A299,'Liste BT'!A:A,'Liste BT'!V:V)</f>
        <v>S15-3</v>
      </c>
      <c r="K299" s="264" t="str">
        <f aca="false">_xlfn.xlookup(A299,'Liste BT'!A:A,'Liste BT'!W:W)</f>
        <v>10064-S15</v>
      </c>
      <c r="L299" s="175" t="n">
        <v>14371.345824</v>
      </c>
      <c r="M299" s="175" t="n">
        <v>7034.601024</v>
      </c>
      <c r="N299" s="175" t="n">
        <v>7200</v>
      </c>
      <c r="O299" s="175"/>
      <c r="P299" s="175" t="n">
        <v>60</v>
      </c>
      <c r="Q299" s="176" t="n">
        <v>0</v>
      </c>
      <c r="R299" s="138" t="n">
        <v>2.75</v>
      </c>
      <c r="S299" s="177" t="n">
        <v>121.08</v>
      </c>
      <c r="T299" s="215"/>
      <c r="U299" s="259" t="n">
        <f aca="false">_xlfn.xlookup(K299,'[1]Prix MP'!C$1:C$1048576,'[1]Prix MP'!W$1:W$1048576, 0)</f>
        <v>0.259635140959208</v>
      </c>
      <c r="V299" s="256" t="n">
        <f aca="false">(N299+O299)*U299</f>
        <v>1869.3730149063</v>
      </c>
      <c r="W299" s="256" t="n">
        <f aca="false">(L299-N299-M299)*U299</f>
        <v>35.5037554234393</v>
      </c>
      <c r="X299" s="267" t="n">
        <f aca="false">IFERROR((L299-N299-M299)/L299,"")</f>
        <v>0.00951510051143852</v>
      </c>
      <c r="Y299" s="256" t="n">
        <f aca="false">10.15/60*P299</f>
        <v>10.15</v>
      </c>
      <c r="Z299" s="256" t="n">
        <f aca="false">21.7*Q299</f>
        <v>0</v>
      </c>
      <c r="AA299" s="256" t="n">
        <f aca="false">125000/52/40*R299</f>
        <v>165.264423076923</v>
      </c>
      <c r="AB299" s="256" t="n">
        <f aca="false">(N299+O299)*U299+S299+W299+Y299+Z299+AA299</f>
        <v>2201.37119340666</v>
      </c>
      <c r="AC299" s="257" t="n">
        <f aca="false">_xlfn.xlookup(D299&amp;H299,'PO item'!J:J,'PO item'!V:V,0)</f>
        <v>0.348</v>
      </c>
      <c r="AD299" s="257" t="str">
        <f aca="false">_xlfn.xlookup(D299&amp;H299,'PO item'!J:J,'PO item'!Y:Y,0)</f>
        <v>CAD</v>
      </c>
      <c r="AE299" s="256" t="n">
        <f aca="false">IFERROR(IF(AD299="CAD",(N299+O299)*AC299,(N299+O299)*AC299*T299),0)</f>
        <v>2505.6</v>
      </c>
      <c r="AF299" s="256" t="n">
        <f aca="false">AE299-AB299</f>
        <v>304.22880659334</v>
      </c>
      <c r="AG299" s="268" t="n">
        <f aca="false">IFERROR(1-AB299/AE299,"")</f>
        <v>0.121419542861327</v>
      </c>
      <c r="AH299" s="269" t="n">
        <f aca="false">((N299+O299)*U299+W299)</f>
        <v>1904.87677032974</v>
      </c>
      <c r="AI299" s="268" t="n">
        <f aca="false">IFERROR(AH299/AE299,"")</f>
        <v>0.760247753164805</v>
      </c>
      <c r="AJ299" s="268" t="str">
        <f aca="false">IFERROR(IF(AC299=0,"S",""),"S")</f>
        <v/>
      </c>
      <c r="AK299" s="270" t="n">
        <f aca="false">A299</f>
        <v>88</v>
      </c>
      <c r="AL299" s="271" t="n">
        <f aca="false">IF(E299="labeledge",(L299*U299+AB299)/M299,AB299/(N299+O299))</f>
        <v>0.305745999084258</v>
      </c>
      <c r="AN299" s="144" t="e">
        <v>#NAME?</v>
      </c>
      <c r="AO299" s="144" t="e">
        <f aca="false">_xlfn.xlookup(AN299,A:A,F:F)</f>
        <v>#NAME?</v>
      </c>
      <c r="AP299" s="144" t="e">
        <f aca="false">_xlfn.xlookup(AN299,A:A,J:J)</f>
        <v>#NAME?</v>
      </c>
      <c r="AQ299" s="144" t="e">
        <f aca="false">_xlfn.xlookup(AN299,A:A,N:N)+_xlfn.xlookup(AN299,A:A,O:O)</f>
        <v>#NAME?</v>
      </c>
      <c r="AR299" s="150" t="e">
        <f aca="false">_xlfn.xlookup(AN299,A:A,AH:AH)</f>
        <v>#NAME?</v>
      </c>
      <c r="AS299" s="150" t="e">
        <f aca="false">_xlfn.xlookup(AN299,A:A,S:S)</f>
        <v>#NAME?</v>
      </c>
      <c r="AT299" s="150" t="e">
        <f aca="false">_xlfn.xlookup(AN299,A:A,AE:AE)</f>
        <v>#NAME?</v>
      </c>
      <c r="AU299" s="150" t="e">
        <f aca="false">_xlfn.xlookup(AN299,A:A,AF:AF)</f>
        <v>#NAME?</v>
      </c>
      <c r="BH299" s="152" t="e">
        <f aca="false">_xlfn.xlookup(BG299,A:A,F:F)</f>
        <v>#NAME?</v>
      </c>
      <c r="BI299" s="144" t="e">
        <f aca="false">_xlfn.xlookup(BG299,A:A,J:J)</f>
        <v>#NAME?</v>
      </c>
      <c r="BJ299" s="153" t="e">
        <f aca="false">_xlfn.xlookup(BG299,A:A,N:N)+_xlfn.xlookup(BG299,A:A,O:O)</f>
        <v>#NAME?</v>
      </c>
      <c r="BK299" s="153" t="e">
        <f aca="false">_xlfn.xlookup(BG299,A248:A1242,AB248:AB1242)</f>
        <v>#NAME?</v>
      </c>
      <c r="BQ299" s="144" t="str">
        <f aca="false">IF(VALUE(MONTH(C299))&lt;10,YEAR(C299)&amp;"-0"&amp;MONTH(C299),YEAR(C299)&amp;"-"&amp;MONTH(C299))</f>
        <v>2025-03</v>
      </c>
      <c r="BR299" s="144" t="str">
        <f aca="false">J299</f>
        <v>S15-3</v>
      </c>
      <c r="BS299" s="144" t="str">
        <f aca="false">IF(ISNUMBER(FIND("-", BR299)), LEFT(BR299, FIND("-", BR299) - 1), BR299)</f>
        <v>S15</v>
      </c>
      <c r="BT299" s="189" t="n">
        <f aca="false">L299-M299+O299</f>
        <v>7336.7448</v>
      </c>
    </row>
    <row r="300" customFormat="false" ht="16.4" hidden="false" customHeight="false" outlineLevel="0" collapsed="false">
      <c r="A300" s="264" t="n">
        <f aca="false">A299+1</f>
        <v>89</v>
      </c>
      <c r="B300" s="249" t="s">
        <v>1248</v>
      </c>
      <c r="C300" s="265" t="e">
        <f aca="false">_xlfn.xlookup(A300,'Liste BT'!A:A,'Liste BT'!G:G)</f>
        <v>#NAME?</v>
      </c>
      <c r="D300" s="266" t="e">
        <f aca="false">_xlfn.xlookup(A300,'Liste BT'!A:A,'Liste BT'!F:F)</f>
        <v>#NAME?</v>
      </c>
      <c r="E300" s="255"/>
      <c r="F300" s="255" t="e">
        <f aca="false">_xlfn.xlookup(A300,'Liste BT'!A:A,'Liste BT'!D:D)</f>
        <v>#NAME?</v>
      </c>
      <c r="G300" s="264" t="e">
        <f aca="false">_xlfn.xlookup(A300,'Liste BT'!A:A,'Liste BT'!E:E)</f>
        <v>#NAME?</v>
      </c>
      <c r="H300" s="266" t="e">
        <f aca="false">_xlfn.xlookup(A300,'Liste BT'!A:A,'Liste BT'!K:K)</f>
        <v>#NAME?</v>
      </c>
      <c r="I300" s="266"/>
      <c r="J300" s="264" t="e">
        <f aca="false">_xlfn.xlookup(A300,'Liste BT'!A:A,'Liste BT'!V:V)</f>
        <v>#NAME?</v>
      </c>
      <c r="K300" s="264" t="e">
        <f aca="false">_xlfn.xlookup(A300,'Liste BT'!A:A,'Liste BT'!W:W)</f>
        <v>#NAME?</v>
      </c>
      <c r="L300" s="175"/>
      <c r="M300" s="175"/>
      <c r="N300" s="175"/>
      <c r="O300" s="175"/>
      <c r="P300" s="175"/>
      <c r="Q300" s="176"/>
      <c r="R300" s="138"/>
      <c r="S300" s="177"/>
      <c r="T300" s="215"/>
      <c r="U300" s="259" t="e">
        <f aca="false">_xlfn.xlookup(K300,'[1]Prix MP'!C$1:C$1048576,'[1]Prix MP'!W$1:W$1048576, 0)</f>
        <v>#NAME?</v>
      </c>
      <c r="V300" s="256" t="e">
        <f aca="false">(N300+O300)*U300</f>
        <v>#NAME?</v>
      </c>
      <c r="W300" s="256" t="e">
        <f aca="false">(L300-N300-M300)*U300</f>
        <v>#NAME?</v>
      </c>
      <c r="X300" s="267" t="str">
        <f aca="false">IFERROR((L300-N300-M300)/L300,"")</f>
        <v/>
      </c>
      <c r="Y300" s="256" t="n">
        <f aca="false">10.15/60*P300</f>
        <v>0</v>
      </c>
      <c r="Z300" s="256" t="n">
        <f aca="false">21.7*Q300</f>
        <v>0</v>
      </c>
      <c r="AA300" s="256" t="n">
        <f aca="false">125000/52/40*R300</f>
        <v>0</v>
      </c>
      <c r="AB300" s="256" t="e">
        <f aca="false">(N300+O300)*U300+S300+W300+Y300+Z300+AA300</f>
        <v>#NAME?</v>
      </c>
      <c r="AC300" s="257" t="e">
        <f aca="false">_xlfn.xlookup(D300&amp;H300,'PO item'!J:J,'PO item'!V:V,0)</f>
        <v>#NAME?</v>
      </c>
      <c r="AD300" s="257" t="e">
        <f aca="false">_xlfn.xlookup(D300&amp;H300,'PO item'!J:J,'PO item'!Y:Y,0)</f>
        <v>#NAME?</v>
      </c>
      <c r="AE300" s="256" t="n">
        <f aca="false">IFERROR(IF(AD300="CAD",(N300+O300)*AC300,(N300+O300)*AC300*T300),0)</f>
        <v>0</v>
      </c>
      <c r="AF300" s="256" t="e">
        <f aca="false">AE300-AB300</f>
        <v>#NAME?</v>
      </c>
      <c r="AG300" s="268" t="str">
        <f aca="false">IFERROR(1-AB300/AE300,"")</f>
        <v/>
      </c>
      <c r="AH300" s="269" t="e">
        <f aca="false">((N300+O300)*U300+W300)</f>
        <v>#NAME?</v>
      </c>
      <c r="AI300" s="268" t="str">
        <f aca="false">IFERROR(AH300/AE300,"")</f>
        <v/>
      </c>
      <c r="AJ300" s="268" t="str">
        <f aca="false">IFERROR(IF(AC300=0,"S",""),"S")</f>
        <v>S</v>
      </c>
      <c r="AK300" s="270" t="n">
        <f aca="false">A300</f>
        <v>89</v>
      </c>
      <c r="AL300" s="271" t="e">
        <f aca="false">IF(E300="labeledge",(L300*U300+AB300)/M300,AB300/(N300+O300))</f>
        <v>#NAME?</v>
      </c>
      <c r="AN300" s="144" t="e">
        <v>#NAME?</v>
      </c>
      <c r="AO300" s="144" t="e">
        <f aca="false">_xlfn.xlookup(AN300,A:A,F:F)</f>
        <v>#NAME?</v>
      </c>
      <c r="AP300" s="144" t="e">
        <f aca="false">_xlfn.xlookup(AN300,A:A,J:J)</f>
        <v>#NAME?</v>
      </c>
      <c r="AQ300" s="144" t="e">
        <f aca="false">_xlfn.xlookup(AN300,A:A,N:N)+_xlfn.xlookup(AN300,A:A,O:O)</f>
        <v>#NAME?</v>
      </c>
      <c r="AR300" s="150" t="e">
        <f aca="false">_xlfn.xlookup(AN300,A:A,AH:AH)</f>
        <v>#NAME?</v>
      </c>
      <c r="AS300" s="150" t="e">
        <f aca="false">_xlfn.xlookup(AN300,A:A,S:S)</f>
        <v>#NAME?</v>
      </c>
      <c r="AT300" s="150" t="e">
        <f aca="false">_xlfn.xlookup(AN300,A:A,AE:AE)</f>
        <v>#NAME?</v>
      </c>
      <c r="AU300" s="150" t="e">
        <f aca="false">_xlfn.xlookup(AN300,A:A,AF:AF)</f>
        <v>#NAME?</v>
      </c>
      <c r="BH300" s="152" t="e">
        <f aca="false">_xlfn.xlookup(BG300,A:A,F:F)</f>
        <v>#NAME?</v>
      </c>
      <c r="BI300" s="144" t="e">
        <f aca="false">_xlfn.xlookup(BG300,A:A,J:J)</f>
        <v>#NAME?</v>
      </c>
      <c r="BJ300" s="153" t="e">
        <f aca="false">_xlfn.xlookup(BG300,A:A,N:N)+_xlfn.xlookup(BG300,A:A,O:O)</f>
        <v>#NAME?</v>
      </c>
      <c r="BK300" s="153" t="e">
        <f aca="false">_xlfn.xlookup(BG300,A249:A1243,AB249:AB1243)</f>
        <v>#NAME?</v>
      </c>
      <c r="BQ300" s="144" t="e">
        <f aca="false">IF(VALUE(MONTH(C300))&lt;10,YEAR(C300)&amp;"-0"&amp;MONTH(C300),YEAR(C300)&amp;"-"&amp;MONTH(C300))</f>
        <v>#NAME?</v>
      </c>
      <c r="BR300" s="144" t="e">
        <f aca="false">J300</f>
        <v>#NAME?</v>
      </c>
      <c r="BS300" s="144" t="e">
        <f aca="false">IF(ISNUMBER(FIND("-", BR300)), LEFT(BR300, FIND("-", BR300) - 1), BR300)</f>
        <v>#NAME?</v>
      </c>
      <c r="BT300" s="189" t="n">
        <f aca="false">L300-M300+O300</f>
        <v>0</v>
      </c>
    </row>
    <row r="301" customFormat="false" ht="16.4" hidden="false" customHeight="false" outlineLevel="0" collapsed="false">
      <c r="A301" s="264" t="n">
        <f aca="false">A300+1</f>
        <v>90</v>
      </c>
      <c r="B301" s="249" t="s">
        <v>1248</v>
      </c>
      <c r="C301" s="265" t="e">
        <f aca="false">_xlfn.xlookup(A301,'Liste BT'!A:A,'Liste BT'!G:G)</f>
        <v>#NAME?</v>
      </c>
      <c r="D301" s="266" t="e">
        <f aca="false">_xlfn.xlookup(A301,'Liste BT'!A:A,'Liste BT'!F:F)</f>
        <v>#NAME?</v>
      </c>
      <c r="E301" s="255"/>
      <c r="F301" s="255" t="e">
        <f aca="false">_xlfn.xlookup(A301,'Liste BT'!A:A,'Liste BT'!D:D)</f>
        <v>#NAME?</v>
      </c>
      <c r="G301" s="264" t="e">
        <f aca="false">_xlfn.xlookup(A301,'Liste BT'!A:A,'Liste BT'!E:E)</f>
        <v>#NAME?</v>
      </c>
      <c r="H301" s="266" t="e">
        <f aca="false">_xlfn.xlookup(A301,'Liste BT'!A:A,'Liste BT'!K:K)</f>
        <v>#NAME?</v>
      </c>
      <c r="I301" s="266"/>
      <c r="J301" s="264" t="e">
        <f aca="false">_xlfn.xlookup(A301,'Liste BT'!A:A,'Liste BT'!V:V)</f>
        <v>#NAME?</v>
      </c>
      <c r="K301" s="264" t="e">
        <f aca="false">_xlfn.xlookup(A301,'Liste BT'!A:A,'Liste BT'!W:W)</f>
        <v>#NAME?</v>
      </c>
      <c r="L301" s="175"/>
      <c r="M301" s="175"/>
      <c r="N301" s="175"/>
      <c r="O301" s="175"/>
      <c r="P301" s="175"/>
      <c r="Q301" s="176"/>
      <c r="R301" s="138"/>
      <c r="S301" s="177"/>
      <c r="T301" s="215"/>
      <c r="U301" s="259" t="e">
        <f aca="false">_xlfn.xlookup(K301,'[1]Prix MP'!C$1:C$1048576,'[1]Prix MP'!W$1:W$1048576, 0)</f>
        <v>#NAME?</v>
      </c>
      <c r="V301" s="256" t="e">
        <f aca="false">(N301+O301)*U301</f>
        <v>#NAME?</v>
      </c>
      <c r="W301" s="256" t="e">
        <f aca="false">(L301-N301-M301)*U301</f>
        <v>#NAME?</v>
      </c>
      <c r="X301" s="267" t="str">
        <f aca="false">IFERROR((L301-N301-M301)/L301,"")</f>
        <v/>
      </c>
      <c r="Y301" s="256" t="n">
        <f aca="false">10.15/60*P301</f>
        <v>0</v>
      </c>
      <c r="Z301" s="256" t="n">
        <f aca="false">21.7*Q301</f>
        <v>0</v>
      </c>
      <c r="AA301" s="256" t="n">
        <f aca="false">125000/52/40*R301</f>
        <v>0</v>
      </c>
      <c r="AB301" s="256" t="e">
        <f aca="false">(N301+O301)*U301+S301+W301+Y301+Z301+AA301</f>
        <v>#NAME?</v>
      </c>
      <c r="AC301" s="257" t="e">
        <f aca="false">_xlfn.xlookup(D301&amp;H301,'PO item'!J:J,'PO item'!V:V,0)</f>
        <v>#NAME?</v>
      </c>
      <c r="AD301" s="257" t="e">
        <f aca="false">_xlfn.xlookup(D301&amp;H301,'PO item'!J:J,'PO item'!Y:Y,0)</f>
        <v>#NAME?</v>
      </c>
      <c r="AE301" s="256" t="n">
        <f aca="false">IFERROR(IF(AD301="CAD",(N301+O301)*AC301,(N301+O301)*AC301*T301),0)</f>
        <v>0</v>
      </c>
      <c r="AF301" s="256" t="e">
        <f aca="false">AE301-AB301</f>
        <v>#NAME?</v>
      </c>
      <c r="AG301" s="268" t="str">
        <f aca="false">IFERROR(1-AB301/AE301,"")</f>
        <v/>
      </c>
      <c r="AH301" s="269" t="e">
        <f aca="false">((N301+O301)*U301+W301)</f>
        <v>#NAME?</v>
      </c>
      <c r="AI301" s="268" t="str">
        <f aca="false">IFERROR(AH301/AE301,"")</f>
        <v/>
      </c>
      <c r="AJ301" s="268" t="str">
        <f aca="false">IFERROR(IF(AC301=0,"S",""),"S")</f>
        <v>S</v>
      </c>
      <c r="AK301" s="270" t="n">
        <f aca="false">A301</f>
        <v>90</v>
      </c>
      <c r="AL301" s="271" t="e">
        <f aca="false">IF(E301="labeledge",(L301*U301+AB301)/M301,AB301/(N301+O301))</f>
        <v>#NAME?</v>
      </c>
      <c r="AN301" s="144" t="e">
        <v>#NAME?</v>
      </c>
      <c r="AO301" s="144" t="e">
        <f aca="false">_xlfn.xlookup(AN301,A:A,F:F)</f>
        <v>#NAME?</v>
      </c>
      <c r="AP301" s="144" t="e">
        <f aca="false">_xlfn.xlookup(AN301,A:A,J:J)</f>
        <v>#NAME?</v>
      </c>
      <c r="AQ301" s="144" t="e">
        <f aca="false">_xlfn.xlookup(AN301,A:A,N:N)+_xlfn.xlookup(AN301,A:A,O:O)</f>
        <v>#NAME?</v>
      </c>
      <c r="AR301" s="150" t="e">
        <f aca="false">_xlfn.xlookup(AN301,A:A,AH:AH)</f>
        <v>#NAME?</v>
      </c>
      <c r="AS301" s="150" t="e">
        <f aca="false">_xlfn.xlookup(AN301,A:A,S:S)</f>
        <v>#NAME?</v>
      </c>
      <c r="AT301" s="150" t="e">
        <f aca="false">_xlfn.xlookup(AN301,A:A,AE:AE)</f>
        <v>#NAME?</v>
      </c>
      <c r="AU301" s="150" t="e">
        <f aca="false">_xlfn.xlookup(AN301,A:A,AF:AF)</f>
        <v>#NAME?</v>
      </c>
      <c r="BH301" s="152" t="e">
        <f aca="false">_xlfn.xlookup(BG301,A:A,F:F)</f>
        <v>#NAME?</v>
      </c>
      <c r="BI301" s="144" t="e">
        <f aca="false">_xlfn.xlookup(BG301,A:A,J:J)</f>
        <v>#NAME?</v>
      </c>
      <c r="BJ301" s="153" t="e">
        <f aca="false">_xlfn.xlookup(BG301,A:A,N:N)+_xlfn.xlookup(BG301,A:A,O:O)</f>
        <v>#NAME?</v>
      </c>
      <c r="BK301" s="153" t="e">
        <f aca="false">_xlfn.xlookup(BG301,A250:A1244,AB250:AB1244)</f>
        <v>#NAME?</v>
      </c>
      <c r="BQ301" s="144" t="e">
        <f aca="false">IF(VALUE(MONTH(C301))&lt;10,YEAR(C301)&amp;"-0"&amp;MONTH(C301),YEAR(C301)&amp;"-"&amp;MONTH(C301))</f>
        <v>#NAME?</v>
      </c>
      <c r="BR301" s="144" t="e">
        <f aca="false">J301</f>
        <v>#NAME?</v>
      </c>
      <c r="BS301" s="144" t="e">
        <f aca="false">IF(ISNUMBER(FIND("-", BR301)), LEFT(BR301, FIND("-", BR301) - 1), BR301)</f>
        <v>#NAME?</v>
      </c>
      <c r="BT301" s="189" t="n">
        <f aca="false">L301-M301+O301</f>
        <v>0</v>
      </c>
    </row>
    <row r="302" customFormat="false" ht="16.4" hidden="false" customHeight="false" outlineLevel="0" collapsed="false">
      <c r="A302" s="264" t="n">
        <f aca="false">A301+1</f>
        <v>91</v>
      </c>
      <c r="B302" s="249" t="s">
        <v>1248</v>
      </c>
      <c r="C302" s="265" t="e">
        <f aca="false">_xlfn.xlookup(A302,'Liste BT'!A:A,'Liste BT'!G:G)</f>
        <v>#NAME?</v>
      </c>
      <c r="D302" s="266" t="e">
        <f aca="false">_xlfn.xlookup(A302,'Liste BT'!A:A,'Liste BT'!F:F)</f>
        <v>#NAME?</v>
      </c>
      <c r="E302" s="255"/>
      <c r="F302" s="255" t="e">
        <f aca="false">_xlfn.xlookup(A302,'Liste BT'!A:A,'Liste BT'!D:D)</f>
        <v>#NAME?</v>
      </c>
      <c r="G302" s="264" t="e">
        <f aca="false">_xlfn.xlookup(A302,'Liste BT'!A:A,'Liste BT'!E:E)</f>
        <v>#NAME?</v>
      </c>
      <c r="H302" s="266" t="e">
        <f aca="false">_xlfn.xlookup(A302,'Liste BT'!A:A,'Liste BT'!K:K)</f>
        <v>#NAME?</v>
      </c>
      <c r="I302" s="266"/>
      <c r="J302" s="264" t="e">
        <f aca="false">_xlfn.xlookup(A302,'Liste BT'!A:A,'Liste BT'!V:V)</f>
        <v>#NAME?</v>
      </c>
      <c r="K302" s="264" t="e">
        <f aca="false">_xlfn.xlookup(A302,'Liste BT'!A:A,'Liste BT'!W:W)</f>
        <v>#NAME?</v>
      </c>
      <c r="L302" s="175"/>
      <c r="M302" s="175"/>
      <c r="N302" s="175"/>
      <c r="O302" s="175"/>
      <c r="P302" s="175"/>
      <c r="Q302" s="176"/>
      <c r="R302" s="138"/>
      <c r="S302" s="177"/>
      <c r="T302" s="215"/>
      <c r="U302" s="259" t="e">
        <f aca="false">_xlfn.xlookup(K302,'[1]Prix MP'!C$1:C$1048576,'[1]Prix MP'!W$1:W$1048576, 0)</f>
        <v>#NAME?</v>
      </c>
      <c r="V302" s="256" t="e">
        <f aca="false">(N302+O302)*U302</f>
        <v>#NAME?</v>
      </c>
      <c r="W302" s="256" t="e">
        <f aca="false">(L302-N302-M302)*U302</f>
        <v>#NAME?</v>
      </c>
      <c r="X302" s="267" t="str">
        <f aca="false">IFERROR((L302-N302-M302)/L302,"")</f>
        <v/>
      </c>
      <c r="Y302" s="256" t="n">
        <f aca="false">10.15/60*P302</f>
        <v>0</v>
      </c>
      <c r="Z302" s="256" t="n">
        <f aca="false">21.7*Q302</f>
        <v>0</v>
      </c>
      <c r="AA302" s="256" t="n">
        <f aca="false">125000/52/40*R302</f>
        <v>0</v>
      </c>
      <c r="AB302" s="256" t="e">
        <f aca="false">(N302+O302)*U302+S302+W302+Y302+Z302+AA302</f>
        <v>#NAME?</v>
      </c>
      <c r="AC302" s="257" t="e">
        <f aca="false">_xlfn.xlookup(D302&amp;H302,'PO item'!J:J,'PO item'!V:V,0)</f>
        <v>#NAME?</v>
      </c>
      <c r="AD302" s="257" t="e">
        <f aca="false">_xlfn.xlookup(D302&amp;H302,'PO item'!J:J,'PO item'!Y:Y,0)</f>
        <v>#NAME?</v>
      </c>
      <c r="AE302" s="256" t="n">
        <f aca="false">IFERROR(IF(AD302="CAD",(N302+O302)*AC302,(N302+O302)*AC302*T302),0)</f>
        <v>0</v>
      </c>
      <c r="AF302" s="256" t="e">
        <f aca="false">AE302-AB302</f>
        <v>#NAME?</v>
      </c>
      <c r="AG302" s="268" t="str">
        <f aca="false">IFERROR(1-AB302/AE302,"")</f>
        <v/>
      </c>
      <c r="AH302" s="269" t="e">
        <f aca="false">((N302+O302)*U302+W302)</f>
        <v>#NAME?</v>
      </c>
      <c r="AI302" s="268" t="str">
        <f aca="false">IFERROR(AH302/AE302,"")</f>
        <v/>
      </c>
      <c r="AJ302" s="268" t="str">
        <f aca="false">IFERROR(IF(AC302=0,"S",""),"S")</f>
        <v>S</v>
      </c>
      <c r="AK302" s="270" t="n">
        <f aca="false">A302</f>
        <v>91</v>
      </c>
      <c r="AL302" s="271" t="e">
        <f aca="false">IF(E302="labeledge",(L302*U302+AB302)/M302,AB302/(N302+O302))</f>
        <v>#NAME?</v>
      </c>
      <c r="AN302" s="144" t="e">
        <v>#NAME?</v>
      </c>
      <c r="AO302" s="144" t="e">
        <f aca="false">_xlfn.xlookup(AN302,A:A,F:F)</f>
        <v>#NAME?</v>
      </c>
      <c r="AP302" s="144" t="e">
        <f aca="false">_xlfn.xlookup(AN302,A:A,J:J)</f>
        <v>#NAME?</v>
      </c>
      <c r="AQ302" s="144" t="e">
        <f aca="false">_xlfn.xlookup(AN302,A:A,N:N)+_xlfn.xlookup(AN302,A:A,O:O)</f>
        <v>#NAME?</v>
      </c>
      <c r="AR302" s="150" t="e">
        <f aca="false">_xlfn.xlookup(AN302,A:A,AH:AH)</f>
        <v>#NAME?</v>
      </c>
      <c r="AS302" s="150" t="e">
        <f aca="false">_xlfn.xlookup(AN302,A:A,S:S)</f>
        <v>#NAME?</v>
      </c>
      <c r="AT302" s="150" t="e">
        <f aca="false">_xlfn.xlookup(AN302,A:A,AE:AE)</f>
        <v>#NAME?</v>
      </c>
      <c r="AU302" s="150" t="e">
        <f aca="false">_xlfn.xlookup(AN302,A:A,AF:AF)</f>
        <v>#NAME?</v>
      </c>
      <c r="BH302" s="152" t="e">
        <f aca="false">_xlfn.xlookup(BG302,A:A,F:F)</f>
        <v>#NAME?</v>
      </c>
      <c r="BI302" s="144" t="e">
        <f aca="false">_xlfn.xlookup(BG302,A:A,J:J)</f>
        <v>#NAME?</v>
      </c>
      <c r="BJ302" s="153" t="e">
        <f aca="false">_xlfn.xlookup(BG302,A:A,N:N)+_xlfn.xlookup(BG302,A:A,O:O)</f>
        <v>#NAME?</v>
      </c>
      <c r="BK302" s="153" t="e">
        <f aca="false">_xlfn.xlookup(BG302,A251:A1245,AB251:AB1245)</f>
        <v>#NAME?</v>
      </c>
      <c r="BQ302" s="144" t="e">
        <f aca="false">IF(VALUE(MONTH(C302))&lt;10,YEAR(C302)&amp;"-0"&amp;MONTH(C302),YEAR(C302)&amp;"-"&amp;MONTH(C302))</f>
        <v>#NAME?</v>
      </c>
      <c r="BR302" s="144" t="e">
        <f aca="false">J302</f>
        <v>#NAME?</v>
      </c>
      <c r="BS302" s="144" t="e">
        <f aca="false">IF(ISNUMBER(FIND("-", BR302)), LEFT(BR302, FIND("-", BR302) - 1), BR302)</f>
        <v>#NAME?</v>
      </c>
      <c r="BT302" s="189" t="n">
        <f aca="false">L302-M302+O302</f>
        <v>0</v>
      </c>
    </row>
    <row r="303" customFormat="false" ht="16.4" hidden="false" customHeight="false" outlineLevel="0" collapsed="false">
      <c r="A303" s="264" t="n">
        <f aca="false">A302+1</f>
        <v>92</v>
      </c>
      <c r="B303" s="249" t="s">
        <v>1248</v>
      </c>
      <c r="C303" s="265" t="e">
        <f aca="false">_xlfn.xlookup(A303,'Liste BT'!A:A,'Liste BT'!G:G)</f>
        <v>#NAME?</v>
      </c>
      <c r="D303" s="266" t="e">
        <f aca="false">_xlfn.xlookup(A303,'Liste BT'!A:A,'Liste BT'!F:F)</f>
        <v>#NAME?</v>
      </c>
      <c r="E303" s="255"/>
      <c r="F303" s="255" t="e">
        <f aca="false">_xlfn.xlookup(A303,'Liste BT'!A:A,'Liste BT'!D:D)</f>
        <v>#NAME?</v>
      </c>
      <c r="G303" s="264" t="e">
        <f aca="false">_xlfn.xlookup(A303,'Liste BT'!A:A,'Liste BT'!E:E)</f>
        <v>#NAME?</v>
      </c>
      <c r="H303" s="266" t="e">
        <f aca="false">_xlfn.xlookup(A303,'Liste BT'!A:A,'Liste BT'!K:K)</f>
        <v>#NAME?</v>
      </c>
      <c r="I303" s="266"/>
      <c r="J303" s="264" t="e">
        <f aca="false">_xlfn.xlookup(A303,'Liste BT'!A:A,'Liste BT'!V:V)</f>
        <v>#NAME?</v>
      </c>
      <c r="K303" s="264" t="e">
        <f aca="false">_xlfn.xlookup(A303,'Liste BT'!A:A,'Liste BT'!W:W)</f>
        <v>#NAME?</v>
      </c>
      <c r="L303" s="175"/>
      <c r="M303" s="175"/>
      <c r="N303" s="175"/>
      <c r="O303" s="175"/>
      <c r="P303" s="175"/>
      <c r="Q303" s="176"/>
      <c r="R303" s="138"/>
      <c r="S303" s="177"/>
      <c r="T303" s="215"/>
      <c r="U303" s="259" t="e">
        <f aca="false">_xlfn.xlookup(K303,'[1]Prix MP'!C$1:C$1048576,'[1]Prix MP'!W$1:W$1048576, 0)</f>
        <v>#NAME?</v>
      </c>
      <c r="V303" s="256" t="e">
        <f aca="false">(N303+O303)*U303</f>
        <v>#NAME?</v>
      </c>
      <c r="W303" s="256" t="e">
        <f aca="false">(L303-N303-M303)*U303</f>
        <v>#NAME?</v>
      </c>
      <c r="X303" s="267" t="str">
        <f aca="false">IFERROR((L303-N303-M303)/L303,"")</f>
        <v/>
      </c>
      <c r="Y303" s="256" t="n">
        <f aca="false">10.15/60*P303</f>
        <v>0</v>
      </c>
      <c r="Z303" s="256" t="n">
        <f aca="false">21.7*Q303</f>
        <v>0</v>
      </c>
      <c r="AA303" s="256" t="n">
        <f aca="false">125000/52/40*R303</f>
        <v>0</v>
      </c>
      <c r="AB303" s="256" t="e">
        <f aca="false">(N303+O303)*U303+S303+W303+Y303+Z303+AA303</f>
        <v>#NAME?</v>
      </c>
      <c r="AC303" s="257" t="e">
        <f aca="false">_xlfn.xlookup(D303&amp;H303,'PO item'!J:J,'PO item'!V:V,0)</f>
        <v>#NAME?</v>
      </c>
      <c r="AD303" s="257" t="e">
        <f aca="false">_xlfn.xlookup(D303&amp;H303,'PO item'!J:J,'PO item'!Y:Y,0)</f>
        <v>#NAME?</v>
      </c>
      <c r="AE303" s="256" t="n">
        <f aca="false">IFERROR(IF(AD303="CAD",(N303+O303)*AC303,(N303+O303)*AC303*T303),0)</f>
        <v>0</v>
      </c>
      <c r="AF303" s="256" t="e">
        <f aca="false">AE303-AB303</f>
        <v>#NAME?</v>
      </c>
      <c r="AG303" s="268" t="str">
        <f aca="false">IFERROR(1-AB303/AE303,"")</f>
        <v/>
      </c>
      <c r="AH303" s="269" t="e">
        <f aca="false">((N303+O303)*U303+W303)</f>
        <v>#NAME?</v>
      </c>
      <c r="AI303" s="268" t="str">
        <f aca="false">IFERROR(AH303/AE303,"")</f>
        <v/>
      </c>
      <c r="AJ303" s="268" t="str">
        <f aca="false">IFERROR(IF(AC303=0,"S",""),"S")</f>
        <v>S</v>
      </c>
      <c r="AK303" s="270" t="n">
        <f aca="false">A303</f>
        <v>92</v>
      </c>
      <c r="AL303" s="271" t="e">
        <f aca="false">IF(E303="labeledge",(L303*U303+AB303)/M303,AB303/(N303+O303))</f>
        <v>#NAME?</v>
      </c>
      <c r="AN303" s="144" t="e">
        <v>#NAME?</v>
      </c>
      <c r="AO303" s="144" t="e">
        <f aca="false">_xlfn.xlookup(AN303,A:A,F:F)</f>
        <v>#NAME?</v>
      </c>
      <c r="AP303" s="144" t="e">
        <f aca="false">_xlfn.xlookup(AN303,A:A,J:J)</f>
        <v>#NAME?</v>
      </c>
      <c r="AQ303" s="144" t="e">
        <f aca="false">_xlfn.xlookup(AN303,A:A,N:N)+_xlfn.xlookup(AN303,A:A,O:O)</f>
        <v>#NAME?</v>
      </c>
      <c r="AR303" s="150" t="e">
        <f aca="false">_xlfn.xlookup(AN303,A:A,AH:AH)</f>
        <v>#NAME?</v>
      </c>
      <c r="AS303" s="150" t="e">
        <f aca="false">_xlfn.xlookup(AN303,A:A,S:S)</f>
        <v>#NAME?</v>
      </c>
      <c r="AT303" s="150" t="e">
        <f aca="false">_xlfn.xlookup(AN303,A:A,AE:AE)</f>
        <v>#NAME?</v>
      </c>
      <c r="AU303" s="150" t="e">
        <f aca="false">_xlfn.xlookup(AN303,A:A,AF:AF)</f>
        <v>#NAME?</v>
      </c>
      <c r="BH303" s="152" t="e">
        <f aca="false">_xlfn.xlookup(BG303,A:A,F:F)</f>
        <v>#NAME?</v>
      </c>
      <c r="BI303" s="144" t="e">
        <f aca="false">_xlfn.xlookup(BG303,A:A,J:J)</f>
        <v>#NAME?</v>
      </c>
      <c r="BJ303" s="153" t="e">
        <f aca="false">_xlfn.xlookup(BG303,A:A,N:N)+_xlfn.xlookup(BG303,A:A,O:O)</f>
        <v>#NAME?</v>
      </c>
      <c r="BK303" s="153" t="e">
        <f aca="false">_xlfn.xlookup(BG303,A252:A1246,AB252:AB1246)</f>
        <v>#NAME?</v>
      </c>
      <c r="BQ303" s="144" t="e">
        <f aca="false">IF(VALUE(MONTH(C303))&lt;10,YEAR(C303)&amp;"-0"&amp;MONTH(C303),YEAR(C303)&amp;"-"&amp;MONTH(C303))</f>
        <v>#NAME?</v>
      </c>
      <c r="BR303" s="144" t="e">
        <f aca="false">J303</f>
        <v>#NAME?</v>
      </c>
      <c r="BS303" s="144" t="e">
        <f aca="false">IF(ISNUMBER(FIND("-", BR303)), LEFT(BR303, FIND("-", BR303) - 1), BR303)</f>
        <v>#NAME?</v>
      </c>
      <c r="BT303" s="189" t="n">
        <f aca="false">L303-M303+O303</f>
        <v>0</v>
      </c>
    </row>
    <row r="304" customFormat="false" ht="16.4" hidden="false" customHeight="false" outlineLevel="0" collapsed="false">
      <c r="A304" s="264" t="n">
        <f aca="false">A303+1</f>
        <v>93</v>
      </c>
      <c r="B304" s="249" t="s">
        <v>1248</v>
      </c>
      <c r="C304" s="265" t="e">
        <f aca="false">_xlfn.xlookup(A304,'Liste BT'!A:A,'Liste BT'!G:G)</f>
        <v>#NAME?</v>
      </c>
      <c r="D304" s="266" t="e">
        <f aca="false">_xlfn.xlookup(A304,'Liste BT'!A:A,'Liste BT'!F:F)</f>
        <v>#NAME?</v>
      </c>
      <c r="E304" s="255"/>
      <c r="F304" s="255" t="e">
        <f aca="false">_xlfn.xlookup(A304,'Liste BT'!A:A,'Liste BT'!D:D)</f>
        <v>#NAME?</v>
      </c>
      <c r="G304" s="264" t="e">
        <f aca="false">_xlfn.xlookup(A304,'Liste BT'!A:A,'Liste BT'!E:E)</f>
        <v>#NAME?</v>
      </c>
      <c r="H304" s="266" t="e">
        <f aca="false">_xlfn.xlookup(A304,'Liste BT'!A:A,'Liste BT'!K:K)</f>
        <v>#NAME?</v>
      </c>
      <c r="I304" s="266"/>
      <c r="J304" s="264" t="e">
        <f aca="false">_xlfn.xlookup(A304,'Liste BT'!A:A,'Liste BT'!V:V)</f>
        <v>#NAME?</v>
      </c>
      <c r="K304" s="264" t="e">
        <f aca="false">_xlfn.xlookup(A304,'Liste BT'!A:A,'Liste BT'!W:W)</f>
        <v>#NAME?</v>
      </c>
      <c r="L304" s="175"/>
      <c r="M304" s="175"/>
      <c r="N304" s="175"/>
      <c r="O304" s="175"/>
      <c r="P304" s="175"/>
      <c r="Q304" s="176"/>
      <c r="R304" s="138"/>
      <c r="S304" s="177"/>
      <c r="T304" s="215"/>
      <c r="U304" s="259" t="e">
        <f aca="false">_xlfn.xlookup(K304,'[1]Prix MP'!C$1:C$1048576,'[1]Prix MP'!W$1:W$1048576, 0)</f>
        <v>#NAME?</v>
      </c>
      <c r="V304" s="256" t="e">
        <f aca="false">(N304+O304)*U304</f>
        <v>#NAME?</v>
      </c>
      <c r="W304" s="256" t="e">
        <f aca="false">(L304-N304-M304)*U304</f>
        <v>#NAME?</v>
      </c>
      <c r="X304" s="267" t="str">
        <f aca="false">IFERROR((L304-N304-M304)/L304,"")</f>
        <v/>
      </c>
      <c r="Y304" s="256" t="n">
        <f aca="false">10.15/60*P304</f>
        <v>0</v>
      </c>
      <c r="Z304" s="256" t="n">
        <f aca="false">21.7*Q304</f>
        <v>0</v>
      </c>
      <c r="AA304" s="256" t="n">
        <f aca="false">125000/52/40*R304</f>
        <v>0</v>
      </c>
      <c r="AB304" s="256" t="e">
        <f aca="false">(N304+O304)*U304+S304+W304+Y304+Z304+AA304</f>
        <v>#NAME?</v>
      </c>
      <c r="AC304" s="257" t="e">
        <f aca="false">_xlfn.xlookup(D304&amp;H304,'PO item'!J:J,'PO item'!V:V,0)</f>
        <v>#NAME?</v>
      </c>
      <c r="AD304" s="257" t="e">
        <f aca="false">_xlfn.xlookup(D304&amp;H304,'PO item'!J:J,'PO item'!Y:Y,0)</f>
        <v>#NAME?</v>
      </c>
      <c r="AE304" s="256" t="n">
        <f aca="false">IFERROR(IF(AD304="CAD",(N304+O304)*AC304,(N304+O304)*AC304*T304),0)</f>
        <v>0</v>
      </c>
      <c r="AF304" s="256" t="e">
        <f aca="false">AE304-AB304</f>
        <v>#NAME?</v>
      </c>
      <c r="AG304" s="268" t="str">
        <f aca="false">IFERROR(1-AB304/AE304,"")</f>
        <v/>
      </c>
      <c r="AH304" s="269" t="e">
        <f aca="false">((N304+O304)*U304+W304)</f>
        <v>#NAME?</v>
      </c>
      <c r="AI304" s="268" t="str">
        <f aca="false">IFERROR(AH304/AE304,"")</f>
        <v/>
      </c>
      <c r="AJ304" s="268" t="str">
        <f aca="false">IFERROR(IF(AC304=0,"S",""),"S")</f>
        <v>S</v>
      </c>
      <c r="AK304" s="270" t="n">
        <f aca="false">A304</f>
        <v>93</v>
      </c>
      <c r="AL304" s="271" t="e">
        <f aca="false">IF(E304="labeledge",(L304*U304+AB304)/M304,AB304/(N304+O304))</f>
        <v>#NAME?</v>
      </c>
      <c r="AN304" s="144" t="e">
        <v>#NAME?</v>
      </c>
      <c r="AO304" s="144" t="e">
        <f aca="false">_xlfn.xlookup(AN304,A:A,F:F)</f>
        <v>#NAME?</v>
      </c>
      <c r="AP304" s="144" t="e">
        <f aca="false">_xlfn.xlookup(AN304,A:A,J:J)</f>
        <v>#NAME?</v>
      </c>
      <c r="AQ304" s="144" t="e">
        <f aca="false">_xlfn.xlookup(AN304,A:A,N:N)+_xlfn.xlookup(AN304,A:A,O:O)</f>
        <v>#NAME?</v>
      </c>
      <c r="AR304" s="150" t="e">
        <f aca="false">_xlfn.xlookup(AN304,A:A,AH:AH)</f>
        <v>#NAME?</v>
      </c>
      <c r="AS304" s="150" t="e">
        <f aca="false">_xlfn.xlookup(AN304,A:A,S:S)</f>
        <v>#NAME?</v>
      </c>
      <c r="AT304" s="150" t="e">
        <f aca="false">_xlfn.xlookup(AN304,A:A,AE:AE)</f>
        <v>#NAME?</v>
      </c>
      <c r="AU304" s="150" t="e">
        <f aca="false">_xlfn.xlookup(AN304,A:A,AF:AF)</f>
        <v>#NAME?</v>
      </c>
      <c r="BH304" s="152" t="e">
        <f aca="false">_xlfn.xlookup(BG304,A:A,F:F)</f>
        <v>#NAME?</v>
      </c>
      <c r="BI304" s="144" t="e">
        <f aca="false">_xlfn.xlookup(BG304,A:A,J:J)</f>
        <v>#NAME?</v>
      </c>
      <c r="BJ304" s="153" t="e">
        <f aca="false">_xlfn.xlookup(BG304,A:A,N:N)+_xlfn.xlookup(BG304,A:A,O:O)</f>
        <v>#NAME?</v>
      </c>
      <c r="BK304" s="153" t="e">
        <f aca="false">_xlfn.xlookup(BG304,A253:A1247,AB253:AB1247)</f>
        <v>#NAME?</v>
      </c>
      <c r="BQ304" s="144" t="e">
        <f aca="false">IF(VALUE(MONTH(C304))&lt;10,YEAR(C304)&amp;"-0"&amp;MONTH(C304),YEAR(C304)&amp;"-"&amp;MONTH(C304))</f>
        <v>#NAME?</v>
      </c>
      <c r="BR304" s="144" t="e">
        <f aca="false">J304</f>
        <v>#NAME?</v>
      </c>
      <c r="BS304" s="144" t="e">
        <f aca="false">IF(ISNUMBER(FIND("-", BR304)), LEFT(BR304, FIND("-", BR304) - 1), BR304)</f>
        <v>#NAME?</v>
      </c>
      <c r="BT304" s="189" t="n">
        <f aca="false">L304-M304+O304</f>
        <v>0</v>
      </c>
    </row>
    <row r="305" customFormat="false" ht="16.4" hidden="false" customHeight="false" outlineLevel="0" collapsed="false">
      <c r="A305" s="264" t="n">
        <f aca="false">A304+1</f>
        <v>94</v>
      </c>
      <c r="B305" s="249" t="s">
        <v>1248</v>
      </c>
      <c r="C305" s="265" t="e">
        <f aca="false">_xlfn.xlookup(A305,'Liste BT'!A:A,'Liste BT'!G:G)</f>
        <v>#NAME?</v>
      </c>
      <c r="D305" s="266" t="e">
        <f aca="false">_xlfn.xlookup(A305,'Liste BT'!A:A,'Liste BT'!F:F)</f>
        <v>#NAME?</v>
      </c>
      <c r="E305" s="255"/>
      <c r="F305" s="255" t="e">
        <f aca="false">_xlfn.xlookup(A305,'Liste BT'!A:A,'Liste BT'!D:D)</f>
        <v>#NAME?</v>
      </c>
      <c r="G305" s="264" t="e">
        <f aca="false">_xlfn.xlookup(A305,'Liste BT'!A:A,'Liste BT'!E:E)</f>
        <v>#NAME?</v>
      </c>
      <c r="H305" s="266" t="e">
        <f aca="false">_xlfn.xlookup(A305,'Liste BT'!A:A,'Liste BT'!K:K)</f>
        <v>#NAME?</v>
      </c>
      <c r="I305" s="266"/>
      <c r="J305" s="264" t="e">
        <f aca="false">_xlfn.xlookup(A305,'Liste BT'!A:A,'Liste BT'!V:V)</f>
        <v>#NAME?</v>
      </c>
      <c r="K305" s="264" t="e">
        <f aca="false">_xlfn.xlookup(A305,'Liste BT'!A:A,'Liste BT'!W:W)</f>
        <v>#NAME?</v>
      </c>
      <c r="L305" s="175"/>
      <c r="M305" s="175"/>
      <c r="N305" s="175"/>
      <c r="O305" s="175"/>
      <c r="P305" s="175"/>
      <c r="Q305" s="176"/>
      <c r="R305" s="138"/>
      <c r="S305" s="177"/>
      <c r="T305" s="215"/>
      <c r="U305" s="259" t="e">
        <f aca="false">_xlfn.xlookup(K305,'[1]Prix MP'!C$1:C$1048576,'[1]Prix MP'!W$1:W$1048576, 0)</f>
        <v>#NAME?</v>
      </c>
      <c r="V305" s="256" t="e">
        <f aca="false">(N305+O305)*U305</f>
        <v>#NAME?</v>
      </c>
      <c r="W305" s="256" t="e">
        <f aca="false">(L305-N305-M305)*U305</f>
        <v>#NAME?</v>
      </c>
      <c r="X305" s="267" t="str">
        <f aca="false">IFERROR((L305-N305-M305)/L305,"")</f>
        <v/>
      </c>
      <c r="Y305" s="256" t="n">
        <f aca="false">10.15/60*P305</f>
        <v>0</v>
      </c>
      <c r="Z305" s="256" t="n">
        <f aca="false">21.7*Q305</f>
        <v>0</v>
      </c>
      <c r="AA305" s="256" t="n">
        <f aca="false">125000/52/40*R305</f>
        <v>0</v>
      </c>
      <c r="AB305" s="256" t="e">
        <f aca="false">(N305+O305)*U305+S305+W305+Y305+Z305+AA305</f>
        <v>#NAME?</v>
      </c>
      <c r="AC305" s="257" t="e">
        <f aca="false">_xlfn.xlookup(D305&amp;H305,'PO item'!J:J,'PO item'!V:V,0)</f>
        <v>#NAME?</v>
      </c>
      <c r="AD305" s="257" t="e">
        <f aca="false">_xlfn.xlookup(D305&amp;H305,'PO item'!J:J,'PO item'!Y:Y,0)</f>
        <v>#NAME?</v>
      </c>
      <c r="AE305" s="256" t="n">
        <f aca="false">IFERROR(IF(AD305="CAD",(N305+O305)*AC305,(N305+O305)*AC305*T305),0)</f>
        <v>0</v>
      </c>
      <c r="AF305" s="256" t="e">
        <f aca="false">AE305-AB305</f>
        <v>#NAME?</v>
      </c>
      <c r="AG305" s="268" t="str">
        <f aca="false">IFERROR(1-AB305/AE305,"")</f>
        <v/>
      </c>
      <c r="AH305" s="269" t="e">
        <f aca="false">((N305+O305)*U305+W305)</f>
        <v>#NAME?</v>
      </c>
      <c r="AI305" s="268" t="str">
        <f aca="false">IFERROR(AH305/AE305,"")</f>
        <v/>
      </c>
      <c r="AJ305" s="268" t="str">
        <f aca="false">IFERROR(IF(AC305=0,"S",""),"S")</f>
        <v>S</v>
      </c>
      <c r="AK305" s="270" t="n">
        <f aca="false">A305</f>
        <v>94</v>
      </c>
      <c r="AL305" s="271" t="e">
        <f aca="false">IF(E305="labeledge",(L305*U305+AB305)/M305,AB305/(N305+O305))</f>
        <v>#NAME?</v>
      </c>
      <c r="AN305" s="144" t="e">
        <v>#NAME?</v>
      </c>
      <c r="AO305" s="144" t="e">
        <f aca="false">_xlfn.xlookup(AN305,A:A,F:F)</f>
        <v>#NAME?</v>
      </c>
      <c r="AP305" s="144" t="e">
        <f aca="false">_xlfn.xlookup(AN305,A:A,J:J)</f>
        <v>#NAME?</v>
      </c>
      <c r="AQ305" s="144" t="e">
        <f aca="false">_xlfn.xlookup(AN305,A:A,N:N)+_xlfn.xlookup(AN305,A:A,O:O)</f>
        <v>#NAME?</v>
      </c>
      <c r="AR305" s="150" t="e">
        <f aca="false">_xlfn.xlookup(AN305,A:A,AH:AH)</f>
        <v>#NAME?</v>
      </c>
      <c r="AS305" s="150" t="e">
        <f aca="false">_xlfn.xlookup(AN305,A:A,S:S)</f>
        <v>#NAME?</v>
      </c>
      <c r="AT305" s="150" t="e">
        <f aca="false">_xlfn.xlookup(AN305,A:A,AE:AE)</f>
        <v>#NAME?</v>
      </c>
      <c r="AU305" s="150" t="e">
        <f aca="false">_xlfn.xlookup(AN305,A:A,AF:AF)</f>
        <v>#NAME?</v>
      </c>
      <c r="BH305" s="152" t="e">
        <f aca="false">_xlfn.xlookup(BG305,A:A,F:F)</f>
        <v>#NAME?</v>
      </c>
      <c r="BI305" s="144" t="e">
        <f aca="false">_xlfn.xlookup(BG305,A:A,J:J)</f>
        <v>#NAME?</v>
      </c>
      <c r="BJ305" s="153" t="e">
        <f aca="false">_xlfn.xlookup(BG305,A:A,N:N)+_xlfn.xlookup(BG305,A:A,O:O)</f>
        <v>#NAME?</v>
      </c>
      <c r="BK305" s="153" t="e">
        <f aca="false">_xlfn.xlookup(BG305,A254:A1248,AB254:AB1248)</f>
        <v>#NAME?</v>
      </c>
      <c r="BQ305" s="144" t="e">
        <f aca="false">IF(VALUE(MONTH(C305))&lt;10,YEAR(C305)&amp;"-0"&amp;MONTH(C305),YEAR(C305)&amp;"-"&amp;MONTH(C305))</f>
        <v>#NAME?</v>
      </c>
      <c r="BR305" s="144" t="e">
        <f aca="false">J305</f>
        <v>#NAME?</v>
      </c>
      <c r="BS305" s="144" t="e">
        <f aca="false">IF(ISNUMBER(FIND("-", BR305)), LEFT(BR305, FIND("-", BR305) - 1), BR305)</f>
        <v>#NAME?</v>
      </c>
      <c r="BT305" s="189" t="n">
        <f aca="false">L305-M305+O305</f>
        <v>0</v>
      </c>
    </row>
    <row r="306" customFormat="false" ht="16.4" hidden="false" customHeight="false" outlineLevel="0" collapsed="false">
      <c r="A306" s="264" t="n">
        <f aca="false">A305+1</f>
        <v>95</v>
      </c>
      <c r="B306" s="249" t="s">
        <v>1248</v>
      </c>
      <c r="C306" s="265" t="e">
        <f aca="false">_xlfn.xlookup(A306,'Liste BT'!A:A,'Liste BT'!G:G)</f>
        <v>#NAME?</v>
      </c>
      <c r="D306" s="266" t="e">
        <f aca="false">_xlfn.xlookup(A306,'Liste BT'!A:A,'Liste BT'!F:F)</f>
        <v>#NAME?</v>
      </c>
      <c r="E306" s="255"/>
      <c r="F306" s="255" t="e">
        <f aca="false">_xlfn.xlookup(A306,'Liste BT'!A:A,'Liste BT'!D:D)</f>
        <v>#NAME?</v>
      </c>
      <c r="G306" s="264" t="e">
        <f aca="false">_xlfn.xlookup(A306,'Liste BT'!A:A,'Liste BT'!E:E)</f>
        <v>#NAME?</v>
      </c>
      <c r="H306" s="266" t="e">
        <f aca="false">_xlfn.xlookup(A306,'Liste BT'!A:A,'Liste BT'!K:K)</f>
        <v>#NAME?</v>
      </c>
      <c r="I306" s="266"/>
      <c r="J306" s="264" t="e">
        <f aca="false">_xlfn.xlookup(A306,'Liste BT'!A:A,'Liste BT'!V:V)</f>
        <v>#NAME?</v>
      </c>
      <c r="K306" s="264" t="e">
        <f aca="false">_xlfn.xlookup(A306,'Liste BT'!A:A,'Liste BT'!W:W)</f>
        <v>#NAME?</v>
      </c>
      <c r="L306" s="175"/>
      <c r="M306" s="175"/>
      <c r="N306" s="175"/>
      <c r="O306" s="175"/>
      <c r="P306" s="175"/>
      <c r="Q306" s="176"/>
      <c r="R306" s="138"/>
      <c r="S306" s="177"/>
      <c r="T306" s="215"/>
      <c r="U306" s="259" t="e">
        <f aca="false">_xlfn.xlookup(K306,'[1]Prix MP'!C$1:C$1048576,'[1]Prix MP'!W$1:W$1048576, 0)</f>
        <v>#NAME?</v>
      </c>
      <c r="V306" s="256" t="e">
        <f aca="false">(N306+O306)*U306</f>
        <v>#NAME?</v>
      </c>
      <c r="W306" s="256" t="e">
        <f aca="false">(L306-N306-M306)*U306</f>
        <v>#NAME?</v>
      </c>
      <c r="X306" s="267" t="str">
        <f aca="false">IFERROR((L306-N306-M306)/L306,"")</f>
        <v/>
      </c>
      <c r="Y306" s="256" t="n">
        <f aca="false">10.15/60*P306</f>
        <v>0</v>
      </c>
      <c r="Z306" s="256" t="n">
        <f aca="false">21.7*Q306</f>
        <v>0</v>
      </c>
      <c r="AA306" s="256" t="n">
        <f aca="false">125000/52/40*R306</f>
        <v>0</v>
      </c>
      <c r="AB306" s="256" t="e">
        <f aca="false">(N306+O306)*U306+S306+W306+Y306+Z306+AA306</f>
        <v>#NAME?</v>
      </c>
      <c r="AC306" s="257" t="e">
        <f aca="false">_xlfn.xlookup(D306&amp;H306,'PO item'!J:J,'PO item'!V:V,0)</f>
        <v>#NAME?</v>
      </c>
      <c r="AD306" s="257" t="e">
        <f aca="false">_xlfn.xlookup(D306&amp;H306,'PO item'!J:J,'PO item'!Y:Y,0)</f>
        <v>#NAME?</v>
      </c>
      <c r="AE306" s="256" t="n">
        <f aca="false">IFERROR(IF(AD306="CAD",(N306+O306)*AC306,(N306+O306)*AC306*T306),0)</f>
        <v>0</v>
      </c>
      <c r="AF306" s="256" t="e">
        <f aca="false">AE306-AB306</f>
        <v>#NAME?</v>
      </c>
      <c r="AG306" s="268" t="str">
        <f aca="false">IFERROR(1-AB306/AE306,"")</f>
        <v/>
      </c>
      <c r="AH306" s="269" t="e">
        <f aca="false">((N306+O306)*U306+W306)</f>
        <v>#NAME?</v>
      </c>
      <c r="AI306" s="268" t="str">
        <f aca="false">IFERROR(AH306/AE306,"")</f>
        <v/>
      </c>
      <c r="AJ306" s="268" t="str">
        <f aca="false">IFERROR(IF(AC306=0,"S",""),"S")</f>
        <v>S</v>
      </c>
      <c r="AK306" s="270" t="n">
        <f aca="false">A306</f>
        <v>95</v>
      </c>
      <c r="AL306" s="271" t="e">
        <f aca="false">IF(E306="labeledge",(L306*U306+AB306)/M306,AB306/(N306+O306))</f>
        <v>#NAME?</v>
      </c>
      <c r="AN306" s="144" t="e">
        <v>#NAME?</v>
      </c>
      <c r="AO306" s="144" t="e">
        <f aca="false">_xlfn.xlookup(AN306,A:A,F:F)</f>
        <v>#NAME?</v>
      </c>
      <c r="AP306" s="144" t="e">
        <f aca="false">_xlfn.xlookup(AN306,A:A,J:J)</f>
        <v>#NAME?</v>
      </c>
      <c r="AQ306" s="144" t="e">
        <f aca="false">_xlfn.xlookup(AN306,A:A,N:N)+_xlfn.xlookup(AN306,A:A,O:O)</f>
        <v>#NAME?</v>
      </c>
      <c r="AR306" s="150" t="e">
        <f aca="false">_xlfn.xlookup(AN306,A:A,AH:AH)</f>
        <v>#NAME?</v>
      </c>
      <c r="AS306" s="150" t="e">
        <f aca="false">_xlfn.xlookup(AN306,A:A,S:S)</f>
        <v>#NAME?</v>
      </c>
      <c r="AT306" s="150" t="e">
        <f aca="false">_xlfn.xlookup(AN306,A:A,AE:AE)</f>
        <v>#NAME?</v>
      </c>
      <c r="AU306" s="150" t="e">
        <f aca="false">_xlfn.xlookup(AN306,A:A,AF:AF)</f>
        <v>#NAME?</v>
      </c>
      <c r="BH306" s="152" t="e">
        <f aca="false">_xlfn.xlookup(BG306,A:A,F:F)</f>
        <v>#NAME?</v>
      </c>
      <c r="BI306" s="144" t="e">
        <f aca="false">_xlfn.xlookup(BG306,A:A,J:J)</f>
        <v>#NAME?</v>
      </c>
      <c r="BJ306" s="153" t="e">
        <f aca="false">_xlfn.xlookup(BG306,A:A,N:N)+_xlfn.xlookup(BG306,A:A,O:O)</f>
        <v>#NAME?</v>
      </c>
      <c r="BK306" s="153" t="e">
        <f aca="false">_xlfn.xlookup(BG306,A255:A1249,AB255:AB1249)</f>
        <v>#NAME?</v>
      </c>
      <c r="BQ306" s="144" t="e">
        <f aca="false">IF(VALUE(MONTH(C306))&lt;10,YEAR(C306)&amp;"-0"&amp;MONTH(C306),YEAR(C306)&amp;"-"&amp;MONTH(C306))</f>
        <v>#NAME?</v>
      </c>
      <c r="BR306" s="144" t="e">
        <f aca="false">J306</f>
        <v>#NAME?</v>
      </c>
      <c r="BS306" s="144" t="e">
        <f aca="false">IF(ISNUMBER(FIND("-", BR306)), LEFT(BR306, FIND("-", BR306) - 1), BR306)</f>
        <v>#NAME?</v>
      </c>
      <c r="BT306" s="189" t="n">
        <f aca="false">L306-M306+O306</f>
        <v>0</v>
      </c>
    </row>
    <row r="307" customFormat="false" ht="16.4" hidden="false" customHeight="false" outlineLevel="0" collapsed="false">
      <c r="A307" s="264" t="n">
        <f aca="false">A306+1</f>
        <v>96</v>
      </c>
      <c r="B307" s="249" t="s">
        <v>1248</v>
      </c>
      <c r="C307" s="265" t="e">
        <f aca="false">_xlfn.xlookup(A307,'Liste BT'!A:A,'Liste BT'!G:G)</f>
        <v>#NAME?</v>
      </c>
      <c r="D307" s="266" t="e">
        <f aca="false">_xlfn.xlookup(A307,'Liste BT'!A:A,'Liste BT'!F:F)</f>
        <v>#NAME?</v>
      </c>
      <c r="E307" s="255"/>
      <c r="F307" s="255" t="e">
        <f aca="false">_xlfn.xlookup(A307,'Liste BT'!A:A,'Liste BT'!D:D)</f>
        <v>#NAME?</v>
      </c>
      <c r="G307" s="264" t="e">
        <f aca="false">_xlfn.xlookup(A307,'Liste BT'!A:A,'Liste BT'!E:E)</f>
        <v>#NAME?</v>
      </c>
      <c r="H307" s="266" t="e">
        <f aca="false">_xlfn.xlookup(A307,'Liste BT'!A:A,'Liste BT'!K:K)</f>
        <v>#NAME?</v>
      </c>
      <c r="I307" s="266"/>
      <c r="J307" s="264" t="e">
        <f aca="false">_xlfn.xlookup(A307,'Liste BT'!A:A,'Liste BT'!V:V)</f>
        <v>#NAME?</v>
      </c>
      <c r="K307" s="264" t="e">
        <f aca="false">_xlfn.xlookup(A307,'Liste BT'!A:A,'Liste BT'!W:W)</f>
        <v>#NAME?</v>
      </c>
      <c r="L307" s="175"/>
      <c r="M307" s="175"/>
      <c r="N307" s="175"/>
      <c r="O307" s="175"/>
      <c r="P307" s="175"/>
      <c r="Q307" s="176"/>
      <c r="R307" s="138"/>
      <c r="S307" s="177"/>
      <c r="T307" s="215"/>
      <c r="U307" s="259" t="e">
        <f aca="false">_xlfn.xlookup(K307,'[1]Prix MP'!C$1:C$1048576,'[1]Prix MP'!W$1:W$1048576, 0)</f>
        <v>#NAME?</v>
      </c>
      <c r="V307" s="256" t="e">
        <f aca="false">(N307+O307)*U307</f>
        <v>#NAME?</v>
      </c>
      <c r="W307" s="256" t="e">
        <f aca="false">(L307-N307-M307)*U307</f>
        <v>#NAME?</v>
      </c>
      <c r="X307" s="267" t="str">
        <f aca="false">IFERROR((L307-N307-M307)/L307,"")</f>
        <v/>
      </c>
      <c r="Y307" s="256" t="n">
        <f aca="false">10.15/60*P307</f>
        <v>0</v>
      </c>
      <c r="Z307" s="256" t="n">
        <f aca="false">21.7*Q307</f>
        <v>0</v>
      </c>
      <c r="AA307" s="256" t="n">
        <f aca="false">125000/52/40*R307</f>
        <v>0</v>
      </c>
      <c r="AB307" s="256" t="e">
        <f aca="false">(N307+O307)*U307+S307+W307+Y307+Z307+AA307</f>
        <v>#NAME?</v>
      </c>
      <c r="AC307" s="257" t="e">
        <f aca="false">_xlfn.xlookup(D307&amp;H307,'PO item'!J:J,'PO item'!V:V,0)</f>
        <v>#NAME?</v>
      </c>
      <c r="AD307" s="257" t="e">
        <f aca="false">_xlfn.xlookup(D307&amp;H307,'PO item'!J:J,'PO item'!Y:Y,0)</f>
        <v>#NAME?</v>
      </c>
      <c r="AE307" s="256" t="n">
        <f aca="false">IFERROR(IF(AD307="CAD",(N307+O307)*AC307,(N307+O307)*AC307*T307),0)</f>
        <v>0</v>
      </c>
      <c r="AF307" s="256" t="e">
        <f aca="false">AE307-AB307</f>
        <v>#NAME?</v>
      </c>
      <c r="AG307" s="268" t="str">
        <f aca="false">IFERROR(1-AB307/AE307,"")</f>
        <v/>
      </c>
      <c r="AH307" s="269" t="e">
        <f aca="false">((N307+O307)*U307+W307)</f>
        <v>#NAME?</v>
      </c>
      <c r="AI307" s="268" t="str">
        <f aca="false">IFERROR(AH307/AE307,"")</f>
        <v/>
      </c>
      <c r="AJ307" s="268" t="str">
        <f aca="false">IFERROR(IF(AC307=0,"S",""),"S")</f>
        <v>S</v>
      </c>
      <c r="AK307" s="270" t="n">
        <f aca="false">A307</f>
        <v>96</v>
      </c>
      <c r="AL307" s="271" t="e">
        <f aca="false">IF(E307="labeledge",(L307*U307+AB307)/M307,AB307/(N307+O307))</f>
        <v>#NAME?</v>
      </c>
      <c r="AN307" s="144" t="e">
        <v>#NAME?</v>
      </c>
      <c r="AO307" s="144" t="e">
        <f aca="false">_xlfn.xlookup(AN307,A:A,F:F)</f>
        <v>#NAME?</v>
      </c>
      <c r="AP307" s="144" t="e">
        <f aca="false">_xlfn.xlookup(AN307,A:A,J:J)</f>
        <v>#NAME?</v>
      </c>
      <c r="AQ307" s="144" t="e">
        <f aca="false">_xlfn.xlookup(AN307,A:A,N:N)+_xlfn.xlookup(AN307,A:A,O:O)</f>
        <v>#NAME?</v>
      </c>
      <c r="AR307" s="150" t="e">
        <f aca="false">_xlfn.xlookup(AN307,A:A,AH:AH)</f>
        <v>#NAME?</v>
      </c>
      <c r="AS307" s="150" t="e">
        <f aca="false">_xlfn.xlookup(AN307,A:A,S:S)</f>
        <v>#NAME?</v>
      </c>
      <c r="AT307" s="150" t="e">
        <f aca="false">_xlfn.xlookup(AN307,A:A,AE:AE)</f>
        <v>#NAME?</v>
      </c>
      <c r="AU307" s="150" t="e">
        <f aca="false">_xlfn.xlookup(AN307,A:A,AF:AF)</f>
        <v>#NAME?</v>
      </c>
      <c r="BH307" s="152" t="e">
        <f aca="false">_xlfn.xlookup(BG307,A:A,F:F)</f>
        <v>#NAME?</v>
      </c>
      <c r="BI307" s="144" t="e">
        <f aca="false">_xlfn.xlookup(BG307,A:A,J:J)</f>
        <v>#NAME?</v>
      </c>
      <c r="BJ307" s="153" t="e">
        <f aca="false">_xlfn.xlookup(BG307,A:A,N:N)+_xlfn.xlookup(BG307,A:A,O:O)</f>
        <v>#NAME?</v>
      </c>
      <c r="BK307" s="153" t="e">
        <f aca="false">_xlfn.xlookup(BG307,A256:A1250,AB256:AB1250)</f>
        <v>#NAME?</v>
      </c>
      <c r="BQ307" s="144" t="e">
        <f aca="false">IF(VALUE(MONTH(C307))&lt;10,YEAR(C307)&amp;"-0"&amp;MONTH(C307),YEAR(C307)&amp;"-"&amp;MONTH(C307))</f>
        <v>#NAME?</v>
      </c>
      <c r="BR307" s="144" t="e">
        <f aca="false">J307</f>
        <v>#NAME?</v>
      </c>
      <c r="BS307" s="144" t="e">
        <f aca="false">IF(ISNUMBER(FIND("-", BR307)), LEFT(BR307, FIND("-", BR307) - 1), BR307)</f>
        <v>#NAME?</v>
      </c>
      <c r="BT307" s="189" t="n">
        <f aca="false">L307-M307+O307</f>
        <v>0</v>
      </c>
    </row>
    <row r="308" customFormat="false" ht="16.4" hidden="false" customHeight="false" outlineLevel="0" collapsed="false">
      <c r="A308" s="264" t="n">
        <f aca="false">A307+1</f>
        <v>97</v>
      </c>
      <c r="B308" s="249" t="s">
        <v>1248</v>
      </c>
      <c r="C308" s="265" t="e">
        <f aca="false">_xlfn.xlookup(A308,'Liste BT'!A:A,'Liste BT'!G:G)</f>
        <v>#NAME?</v>
      </c>
      <c r="D308" s="266" t="e">
        <f aca="false">_xlfn.xlookup(A308,'Liste BT'!A:A,'Liste BT'!F:F)</f>
        <v>#NAME?</v>
      </c>
      <c r="E308" s="255"/>
      <c r="F308" s="255" t="e">
        <f aca="false">_xlfn.xlookup(A308,'Liste BT'!A:A,'Liste BT'!D:D)</f>
        <v>#NAME?</v>
      </c>
      <c r="G308" s="264" t="e">
        <f aca="false">_xlfn.xlookup(A308,'Liste BT'!A:A,'Liste BT'!E:E)</f>
        <v>#NAME?</v>
      </c>
      <c r="H308" s="266" t="e">
        <f aca="false">_xlfn.xlookup(A308,'Liste BT'!A:A,'Liste BT'!K:K)</f>
        <v>#NAME?</v>
      </c>
      <c r="I308" s="266"/>
      <c r="J308" s="264" t="e">
        <f aca="false">_xlfn.xlookup(A308,'Liste BT'!A:A,'Liste BT'!V:V)</f>
        <v>#NAME?</v>
      </c>
      <c r="K308" s="264" t="e">
        <f aca="false">_xlfn.xlookup(A308,'Liste BT'!A:A,'Liste BT'!W:W)</f>
        <v>#NAME?</v>
      </c>
      <c r="L308" s="175"/>
      <c r="M308" s="175"/>
      <c r="N308" s="175"/>
      <c r="O308" s="175"/>
      <c r="P308" s="175"/>
      <c r="Q308" s="176"/>
      <c r="R308" s="138"/>
      <c r="S308" s="177"/>
      <c r="T308" s="215"/>
      <c r="U308" s="259" t="e">
        <f aca="false">_xlfn.xlookup(K308,'[1]Prix MP'!C$1:C$1048576,'[1]Prix MP'!W$1:W$1048576, 0)</f>
        <v>#NAME?</v>
      </c>
      <c r="V308" s="256" t="e">
        <f aca="false">(N308+O308)*U308</f>
        <v>#NAME?</v>
      </c>
      <c r="W308" s="256" t="e">
        <f aca="false">(L308-N308-M308)*U308</f>
        <v>#NAME?</v>
      </c>
      <c r="X308" s="267" t="str">
        <f aca="false">IFERROR((L308-N308-M308)/L308,"")</f>
        <v/>
      </c>
      <c r="Y308" s="256" t="n">
        <f aca="false">10.15/60*P308</f>
        <v>0</v>
      </c>
      <c r="Z308" s="256" t="n">
        <f aca="false">21.7*Q308</f>
        <v>0</v>
      </c>
      <c r="AA308" s="256" t="n">
        <f aca="false">125000/52/40*R308</f>
        <v>0</v>
      </c>
      <c r="AB308" s="256" t="e">
        <f aca="false">(N308+O308)*U308+S308+W308+Y308+Z308+AA308</f>
        <v>#NAME?</v>
      </c>
      <c r="AC308" s="257" t="e">
        <f aca="false">_xlfn.xlookup(D308&amp;H308,'PO item'!J:J,'PO item'!V:V,0)</f>
        <v>#NAME?</v>
      </c>
      <c r="AD308" s="257" t="e">
        <f aca="false">_xlfn.xlookup(D308&amp;H308,'PO item'!J:J,'PO item'!Y:Y,0)</f>
        <v>#NAME?</v>
      </c>
      <c r="AE308" s="256" t="n">
        <f aca="false">IFERROR(IF(AD308="CAD",(N308+O308)*AC308,(N308+O308)*AC308*T308),0)</f>
        <v>0</v>
      </c>
      <c r="AF308" s="256" t="e">
        <f aca="false">AE308-AB308</f>
        <v>#NAME?</v>
      </c>
      <c r="AG308" s="268" t="str">
        <f aca="false">IFERROR(1-AB308/AE308,"")</f>
        <v/>
      </c>
      <c r="AH308" s="269" t="e">
        <f aca="false">((N308+O308)*U308+W308)</f>
        <v>#NAME?</v>
      </c>
      <c r="AI308" s="268" t="str">
        <f aca="false">IFERROR(AH308/AE308,"")</f>
        <v/>
      </c>
      <c r="AJ308" s="268" t="str">
        <f aca="false">IFERROR(IF(AC308=0,"S",""),"S")</f>
        <v>S</v>
      </c>
      <c r="AK308" s="270" t="n">
        <f aca="false">A308</f>
        <v>97</v>
      </c>
      <c r="AL308" s="271" t="e">
        <f aca="false">IF(E308="labeledge",(L308*U308+AB308)/M308,AB308/(N308+O308))</f>
        <v>#NAME?</v>
      </c>
      <c r="AN308" s="144" t="e">
        <v>#NAME?</v>
      </c>
      <c r="AO308" s="144" t="e">
        <f aca="false">_xlfn.xlookup(AN308,A:A,F:F)</f>
        <v>#NAME?</v>
      </c>
      <c r="AP308" s="144" t="e">
        <f aca="false">_xlfn.xlookup(AN308,A:A,J:J)</f>
        <v>#NAME?</v>
      </c>
      <c r="AQ308" s="144" t="e">
        <f aca="false">_xlfn.xlookup(AN308,A:A,N:N)+_xlfn.xlookup(AN308,A:A,O:O)</f>
        <v>#NAME?</v>
      </c>
      <c r="AR308" s="150" t="e">
        <f aca="false">_xlfn.xlookup(AN308,A:A,AH:AH)</f>
        <v>#NAME?</v>
      </c>
      <c r="AS308" s="150" t="e">
        <f aca="false">_xlfn.xlookup(AN308,A:A,S:S)</f>
        <v>#NAME?</v>
      </c>
      <c r="AT308" s="150" t="e">
        <f aca="false">_xlfn.xlookup(AN308,A:A,AE:AE)</f>
        <v>#NAME?</v>
      </c>
      <c r="AU308" s="150" t="e">
        <f aca="false">_xlfn.xlookup(AN308,A:A,AF:AF)</f>
        <v>#NAME?</v>
      </c>
      <c r="BH308" s="152" t="e">
        <f aca="false">_xlfn.xlookup(BG308,A:A,F:F)</f>
        <v>#NAME?</v>
      </c>
      <c r="BI308" s="144" t="e">
        <f aca="false">_xlfn.xlookup(BG308,A:A,J:J)</f>
        <v>#NAME?</v>
      </c>
      <c r="BJ308" s="153" t="e">
        <f aca="false">_xlfn.xlookup(BG308,A:A,N:N)+_xlfn.xlookup(BG308,A:A,O:O)</f>
        <v>#NAME?</v>
      </c>
      <c r="BK308" s="153" t="e">
        <f aca="false">_xlfn.xlookup(BG308,A257:A1251,AB257:AB1251)</f>
        <v>#NAME?</v>
      </c>
      <c r="BQ308" s="144" t="e">
        <f aca="false">IF(VALUE(MONTH(C308))&lt;10,YEAR(C308)&amp;"-0"&amp;MONTH(C308),YEAR(C308)&amp;"-"&amp;MONTH(C308))</f>
        <v>#NAME?</v>
      </c>
      <c r="BR308" s="144" t="e">
        <f aca="false">J308</f>
        <v>#NAME?</v>
      </c>
      <c r="BS308" s="144" t="e">
        <f aca="false">IF(ISNUMBER(FIND("-", BR308)), LEFT(BR308, FIND("-", BR308) - 1), BR308)</f>
        <v>#NAME?</v>
      </c>
      <c r="BT308" s="189" t="n">
        <f aca="false">L308-M308+O308</f>
        <v>0</v>
      </c>
    </row>
    <row r="309" customFormat="false" ht="16.4" hidden="false" customHeight="false" outlineLevel="0" collapsed="false">
      <c r="A309" s="264" t="n">
        <f aca="false">A308+1</f>
        <v>98</v>
      </c>
      <c r="B309" s="249" t="s">
        <v>1248</v>
      </c>
      <c r="C309" s="265" t="e">
        <f aca="false">_xlfn.xlookup(A309,'Liste BT'!A:A,'Liste BT'!G:G)</f>
        <v>#NAME?</v>
      </c>
      <c r="D309" s="266" t="e">
        <f aca="false">_xlfn.xlookup(A309,'Liste BT'!A:A,'Liste BT'!F:F)</f>
        <v>#NAME?</v>
      </c>
      <c r="E309" s="255"/>
      <c r="F309" s="255" t="e">
        <f aca="false">_xlfn.xlookup(A309,'Liste BT'!A:A,'Liste BT'!D:D)</f>
        <v>#NAME?</v>
      </c>
      <c r="G309" s="264" t="e">
        <f aca="false">_xlfn.xlookup(A309,'Liste BT'!A:A,'Liste BT'!E:E)</f>
        <v>#NAME?</v>
      </c>
      <c r="H309" s="266" t="e">
        <f aca="false">_xlfn.xlookup(A309,'Liste BT'!A:A,'Liste BT'!K:K)</f>
        <v>#NAME?</v>
      </c>
      <c r="I309" s="266"/>
      <c r="J309" s="264" t="e">
        <f aca="false">_xlfn.xlookup(A309,'Liste BT'!A:A,'Liste BT'!V:V)</f>
        <v>#NAME?</v>
      </c>
      <c r="K309" s="264" t="e">
        <f aca="false">_xlfn.xlookup(A309,'Liste BT'!A:A,'Liste BT'!W:W)</f>
        <v>#NAME?</v>
      </c>
      <c r="L309" s="175"/>
      <c r="M309" s="175"/>
      <c r="N309" s="175"/>
      <c r="O309" s="175"/>
      <c r="P309" s="175"/>
      <c r="Q309" s="176"/>
      <c r="R309" s="138"/>
      <c r="S309" s="177"/>
      <c r="T309" s="215"/>
      <c r="U309" s="259" t="e">
        <f aca="false">_xlfn.xlookup(K309,'[1]Prix MP'!C$1:C$1048576,'[1]Prix MP'!W$1:W$1048576, 0)</f>
        <v>#NAME?</v>
      </c>
      <c r="V309" s="256" t="e">
        <f aca="false">(N309+O309)*U309</f>
        <v>#NAME?</v>
      </c>
      <c r="W309" s="256" t="e">
        <f aca="false">(L309-N309-M309)*U309</f>
        <v>#NAME?</v>
      </c>
      <c r="X309" s="267" t="str">
        <f aca="false">IFERROR((L309-N309-M309)/L309,"")</f>
        <v/>
      </c>
      <c r="Y309" s="256" t="n">
        <f aca="false">10.15/60*P309</f>
        <v>0</v>
      </c>
      <c r="Z309" s="256" t="n">
        <f aca="false">21.7*Q309</f>
        <v>0</v>
      </c>
      <c r="AA309" s="256" t="n">
        <f aca="false">125000/52/40*R309</f>
        <v>0</v>
      </c>
      <c r="AB309" s="256" t="e">
        <f aca="false">(N309+O309)*U309+S309+W309+Y309+Z309+AA309</f>
        <v>#NAME?</v>
      </c>
      <c r="AC309" s="257" t="e">
        <f aca="false">_xlfn.xlookup(D309&amp;H309,'PO item'!J:J,'PO item'!V:V,0)</f>
        <v>#NAME?</v>
      </c>
      <c r="AD309" s="257" t="e">
        <f aca="false">_xlfn.xlookup(D309&amp;H309,'PO item'!J:J,'PO item'!Y:Y,0)</f>
        <v>#NAME?</v>
      </c>
      <c r="AE309" s="256" t="n">
        <f aca="false">IFERROR(IF(AD309="CAD",(N309+O309)*AC309,(N309+O309)*AC309*T309),0)</f>
        <v>0</v>
      </c>
      <c r="AF309" s="256" t="e">
        <f aca="false">AE309-AB309</f>
        <v>#NAME?</v>
      </c>
      <c r="AG309" s="268" t="str">
        <f aca="false">IFERROR(1-AB309/AE309,"")</f>
        <v/>
      </c>
      <c r="AH309" s="269" t="e">
        <f aca="false">((N309+O309)*U309+W309)</f>
        <v>#NAME?</v>
      </c>
      <c r="AI309" s="268" t="str">
        <f aca="false">IFERROR(AH309/AE309,"")</f>
        <v/>
      </c>
      <c r="AJ309" s="268" t="str">
        <f aca="false">IFERROR(IF(AC309=0,"S",""),"S")</f>
        <v>S</v>
      </c>
      <c r="AK309" s="270" t="n">
        <f aca="false">A309</f>
        <v>98</v>
      </c>
      <c r="AL309" s="271" t="e">
        <f aca="false">IF(E309="labeledge",(L309*U309+AB309)/M309,AB309/(N309+O309))</f>
        <v>#NAME?</v>
      </c>
      <c r="AN309" s="144" t="e">
        <v>#NAME?</v>
      </c>
      <c r="AO309" s="144" t="e">
        <f aca="false">_xlfn.xlookup(AN309,A:A,F:F)</f>
        <v>#NAME?</v>
      </c>
      <c r="AP309" s="144" t="e">
        <f aca="false">_xlfn.xlookup(AN309,A:A,J:J)</f>
        <v>#NAME?</v>
      </c>
      <c r="AQ309" s="144" t="e">
        <f aca="false">_xlfn.xlookup(AN309,A:A,N:N)+_xlfn.xlookup(AN309,A:A,O:O)</f>
        <v>#NAME?</v>
      </c>
      <c r="AR309" s="150" t="e">
        <f aca="false">_xlfn.xlookup(AN309,A:A,AH:AH)</f>
        <v>#NAME?</v>
      </c>
      <c r="AS309" s="150" t="e">
        <f aca="false">_xlfn.xlookup(AN309,A:A,S:S)</f>
        <v>#NAME?</v>
      </c>
      <c r="AT309" s="150" t="e">
        <f aca="false">_xlfn.xlookup(AN309,A:A,AE:AE)</f>
        <v>#NAME?</v>
      </c>
      <c r="AU309" s="150" t="e">
        <f aca="false">_xlfn.xlookup(AN309,A:A,AF:AF)</f>
        <v>#NAME?</v>
      </c>
      <c r="BH309" s="152" t="e">
        <f aca="false">_xlfn.xlookup(BG309,A:A,F:F)</f>
        <v>#NAME?</v>
      </c>
      <c r="BI309" s="144" t="e">
        <f aca="false">_xlfn.xlookup(BG309,A:A,J:J)</f>
        <v>#NAME?</v>
      </c>
      <c r="BJ309" s="153" t="e">
        <f aca="false">_xlfn.xlookup(BG309,A:A,N:N)+_xlfn.xlookup(BG309,A:A,O:O)</f>
        <v>#NAME?</v>
      </c>
      <c r="BK309" s="153" t="e">
        <f aca="false">_xlfn.xlookup(BG309,A258:A1252,AB258:AB1252)</f>
        <v>#NAME?</v>
      </c>
      <c r="BQ309" s="144" t="e">
        <f aca="false">IF(VALUE(MONTH(C309))&lt;10,YEAR(C309)&amp;"-0"&amp;MONTH(C309),YEAR(C309)&amp;"-"&amp;MONTH(C309))</f>
        <v>#NAME?</v>
      </c>
      <c r="BR309" s="144" t="e">
        <f aca="false">J309</f>
        <v>#NAME?</v>
      </c>
      <c r="BS309" s="144" t="e">
        <f aca="false">IF(ISNUMBER(FIND("-", BR309)), LEFT(BR309, FIND("-", BR309) - 1), BR309)</f>
        <v>#NAME?</v>
      </c>
      <c r="BT309" s="189" t="n">
        <f aca="false">L309-M309+O309</f>
        <v>0</v>
      </c>
    </row>
    <row r="310" customFormat="false" ht="16.4" hidden="false" customHeight="false" outlineLevel="0" collapsed="false">
      <c r="A310" s="264" t="n">
        <f aca="false">A309+1</f>
        <v>99</v>
      </c>
      <c r="B310" s="249" t="s">
        <v>1248</v>
      </c>
      <c r="C310" s="265" t="e">
        <f aca="false">_xlfn.xlookup(A310,'Liste BT'!A:A,'Liste BT'!G:G)</f>
        <v>#NAME?</v>
      </c>
      <c r="D310" s="266" t="e">
        <f aca="false">_xlfn.xlookup(A310,'Liste BT'!A:A,'Liste BT'!F:F)</f>
        <v>#NAME?</v>
      </c>
      <c r="E310" s="255"/>
      <c r="F310" s="255" t="e">
        <f aca="false">_xlfn.xlookup(A310,'Liste BT'!A:A,'Liste BT'!D:D)</f>
        <v>#NAME?</v>
      </c>
      <c r="G310" s="264" t="e">
        <f aca="false">_xlfn.xlookup(A310,'Liste BT'!A:A,'Liste BT'!E:E)</f>
        <v>#NAME?</v>
      </c>
      <c r="H310" s="266" t="e">
        <f aca="false">_xlfn.xlookup(A310,'Liste BT'!A:A,'Liste BT'!K:K)</f>
        <v>#NAME?</v>
      </c>
      <c r="I310" s="266"/>
      <c r="J310" s="264" t="e">
        <f aca="false">_xlfn.xlookup(A310,'Liste BT'!A:A,'Liste BT'!V:V)</f>
        <v>#NAME?</v>
      </c>
      <c r="K310" s="264" t="e">
        <f aca="false">_xlfn.xlookup(A310,'Liste BT'!A:A,'Liste BT'!W:W)</f>
        <v>#NAME?</v>
      </c>
      <c r="L310" s="175"/>
      <c r="M310" s="175"/>
      <c r="N310" s="175"/>
      <c r="O310" s="175"/>
      <c r="P310" s="175"/>
      <c r="Q310" s="176"/>
      <c r="R310" s="138"/>
      <c r="S310" s="177"/>
      <c r="T310" s="215"/>
      <c r="U310" s="259" t="e">
        <f aca="false">_xlfn.xlookup(K310,'[1]Prix MP'!C$1:C$1048576,'[1]Prix MP'!W$1:W$1048576, 0)</f>
        <v>#NAME?</v>
      </c>
      <c r="V310" s="256" t="e">
        <f aca="false">(N310+O310)*U310</f>
        <v>#NAME?</v>
      </c>
      <c r="W310" s="256" t="e">
        <f aca="false">(L310-N310-M310)*U310</f>
        <v>#NAME?</v>
      </c>
      <c r="X310" s="267" t="str">
        <f aca="false">IFERROR((L310-N310-M310)/L310,"")</f>
        <v/>
      </c>
      <c r="Y310" s="256" t="n">
        <f aca="false">10.15/60*P310</f>
        <v>0</v>
      </c>
      <c r="Z310" s="256" t="n">
        <f aca="false">21.7*Q310</f>
        <v>0</v>
      </c>
      <c r="AA310" s="256" t="n">
        <f aca="false">125000/52/40*R310</f>
        <v>0</v>
      </c>
      <c r="AB310" s="256" t="e">
        <f aca="false">(N310+O310)*U310+S310+W310+Y310+Z310+AA310</f>
        <v>#NAME?</v>
      </c>
      <c r="AC310" s="257" t="e">
        <f aca="false">_xlfn.xlookup(D310&amp;H310,'PO item'!J:J,'PO item'!V:V,0)</f>
        <v>#NAME?</v>
      </c>
      <c r="AD310" s="257" t="e">
        <f aca="false">_xlfn.xlookup(D310&amp;H310,'PO item'!J:J,'PO item'!Y:Y,0)</f>
        <v>#NAME?</v>
      </c>
      <c r="AE310" s="256" t="n">
        <f aca="false">IFERROR(IF(AD310="CAD",(N310+O310)*AC310,(N310+O310)*AC310*T310),0)</f>
        <v>0</v>
      </c>
      <c r="AF310" s="256" t="e">
        <f aca="false">AE310-AB310</f>
        <v>#NAME?</v>
      </c>
      <c r="AG310" s="268" t="str">
        <f aca="false">IFERROR(1-AB310/AE310,"")</f>
        <v/>
      </c>
      <c r="AH310" s="269" t="e">
        <f aca="false">((N310+O310)*U310+W310)</f>
        <v>#NAME?</v>
      </c>
      <c r="AI310" s="268" t="str">
        <f aca="false">IFERROR(AH310/AE310,"")</f>
        <v/>
      </c>
      <c r="AJ310" s="268" t="str">
        <f aca="false">IFERROR(IF(AC310=0,"S",""),"S")</f>
        <v>S</v>
      </c>
      <c r="AK310" s="270" t="n">
        <f aca="false">A310</f>
        <v>99</v>
      </c>
      <c r="AL310" s="271" t="e">
        <f aca="false">IF(E310="labeledge",(L310*U310+AB310)/M310,AB310/(N310+O310))</f>
        <v>#NAME?</v>
      </c>
      <c r="AN310" s="144" t="e">
        <v>#NAME?</v>
      </c>
      <c r="AO310" s="144" t="e">
        <f aca="false">_xlfn.xlookup(AN310,A:A,F:F)</f>
        <v>#NAME?</v>
      </c>
      <c r="AP310" s="144" t="e">
        <f aca="false">_xlfn.xlookup(AN310,A:A,J:J)</f>
        <v>#NAME?</v>
      </c>
      <c r="AQ310" s="144" t="e">
        <f aca="false">_xlfn.xlookup(AN310,A:A,N:N)+_xlfn.xlookup(AN310,A:A,O:O)</f>
        <v>#NAME?</v>
      </c>
      <c r="AR310" s="150" t="e">
        <f aca="false">_xlfn.xlookup(AN310,A:A,AH:AH)</f>
        <v>#NAME?</v>
      </c>
      <c r="AS310" s="150" t="e">
        <f aca="false">_xlfn.xlookup(AN310,A:A,S:S)</f>
        <v>#NAME?</v>
      </c>
      <c r="AT310" s="150" t="e">
        <f aca="false">_xlfn.xlookup(AN310,A:A,AE:AE)</f>
        <v>#NAME?</v>
      </c>
      <c r="AU310" s="150" t="e">
        <f aca="false">_xlfn.xlookup(AN310,A:A,AF:AF)</f>
        <v>#NAME?</v>
      </c>
      <c r="BH310" s="152" t="e">
        <f aca="false">_xlfn.xlookup(BG310,A:A,F:F)</f>
        <v>#NAME?</v>
      </c>
      <c r="BI310" s="144" t="e">
        <f aca="false">_xlfn.xlookup(BG310,A:A,J:J)</f>
        <v>#NAME?</v>
      </c>
      <c r="BJ310" s="153" t="e">
        <f aca="false">_xlfn.xlookup(BG310,A:A,N:N)+_xlfn.xlookup(BG310,A:A,O:O)</f>
        <v>#NAME?</v>
      </c>
      <c r="BK310" s="153" t="e">
        <f aca="false">_xlfn.xlookup(BG310,A259:A1253,AB259:AB1253)</f>
        <v>#NAME?</v>
      </c>
      <c r="BQ310" s="144" t="e">
        <f aca="false">IF(VALUE(MONTH(C310))&lt;10,YEAR(C310)&amp;"-0"&amp;MONTH(C310),YEAR(C310)&amp;"-"&amp;MONTH(C310))</f>
        <v>#NAME?</v>
      </c>
      <c r="BR310" s="144" t="e">
        <f aca="false">J310</f>
        <v>#NAME?</v>
      </c>
      <c r="BS310" s="144" t="e">
        <f aca="false">IF(ISNUMBER(FIND("-", BR310)), LEFT(BR310, FIND("-", BR310) - 1), BR310)</f>
        <v>#NAME?</v>
      </c>
      <c r="BT310" s="189" t="n">
        <f aca="false">L310-M310+O310</f>
        <v>0</v>
      </c>
    </row>
    <row r="311" s="153" customFormat="true" ht="15" hidden="false" customHeight="false" outlineLevel="0" collapsed="false">
      <c r="AN311" s="153" t="e">
        <v>#NAME?</v>
      </c>
      <c r="AO311" s="153" t="e">
        <f aca="false">_xlfn.xlookup(AN311,A:A,F:F)</f>
        <v>#NAME?</v>
      </c>
      <c r="AP311" s="153" t="e">
        <f aca="false">_xlfn.xlookup(AN311,A:A,J:J)</f>
        <v>#NAME?</v>
      </c>
      <c r="AQ311" s="153" t="e">
        <f aca="false">_xlfn.xlookup(AN311,A:A,N:N)+_xlfn.xlookup(AN311,A:A,O:O)</f>
        <v>#NAME?</v>
      </c>
      <c r="AR311" s="150" t="e">
        <f aca="false">_xlfn.xlookup(AN311,A:A,AH:AH)</f>
        <v>#NAME?</v>
      </c>
      <c r="AS311" s="150" t="e">
        <f aca="false">_xlfn.xlookup(AN311,A:A,S:S)</f>
        <v>#NAME?</v>
      </c>
      <c r="AT311" s="150" t="e">
        <f aca="false">_xlfn.xlookup(AN311,A:A,AE:AE)</f>
        <v>#NAME?</v>
      </c>
      <c r="AU311" s="150" t="e">
        <f aca="false">_xlfn.xlookup(AN311,A:A,AF:AF)</f>
        <v>#NAME?</v>
      </c>
      <c r="AX311" s="146"/>
      <c r="AY311" s="150"/>
      <c r="AZ311" s="150"/>
      <c r="BA311" s="150"/>
      <c r="BB311" s="146"/>
      <c r="BC311" s="146"/>
      <c r="BD311" s="151"/>
      <c r="BE311" s="146"/>
      <c r="BF311" s="146"/>
      <c r="BH311" s="152" t="e">
        <f aca="false">_xlfn.xlookup(BG311,A:A,F:F)</f>
        <v>#NAME?</v>
      </c>
      <c r="BI311" s="153" t="e">
        <f aca="false">_xlfn.xlookup(BG311,A:A,J:J)</f>
        <v>#NAME?</v>
      </c>
      <c r="BJ311" s="153" t="e">
        <f aca="false">_xlfn.xlookup(BG311,A:A,N:N)+_xlfn.xlookup(BG311,A:A,O:O)</f>
        <v>#NAME?</v>
      </c>
      <c r="BK311" s="153" t="e">
        <f aca="false">_xlfn.xlookup(BG311,A260:A1254,AB260:AB1254)</f>
        <v>#NAME?</v>
      </c>
      <c r="BN311" s="146"/>
      <c r="BO311" s="150"/>
      <c r="BQ311" s="153" t="str">
        <f aca="false">IF(VALUE(MONTH(C311))&lt;10,YEAR(C311)&amp;"-0"&amp;MONTH(C311),YEAR(C311)&amp;"-"&amp;MONTH(C311))</f>
        <v>1900-01</v>
      </c>
      <c r="BR311" s="153" t="n">
        <f aca="false">J311</f>
        <v>0</v>
      </c>
      <c r="BS311" s="153" t="n">
        <f aca="false">IF(ISNUMBER(FIND("-", BR311)), LEFT(BR311, FIND("-", BR311) - 1), BR311)</f>
        <v>0</v>
      </c>
      <c r="BT311" s="189" t="n">
        <f aca="false">L311-M311+O311</f>
        <v>0</v>
      </c>
    </row>
    <row r="312" s="153" customFormat="true" ht="15" hidden="false" customHeight="false" outlineLevel="0" collapsed="false">
      <c r="AN312" s="153" t="e">
        <v>#NAME?</v>
      </c>
      <c r="AO312" s="153" t="e">
        <f aca="false">_xlfn.xlookup(AN312,A:A,F:F)</f>
        <v>#NAME?</v>
      </c>
      <c r="AP312" s="153" t="e">
        <f aca="false">_xlfn.xlookup(AN312,A:A,J:J)</f>
        <v>#NAME?</v>
      </c>
      <c r="AQ312" s="153" t="e">
        <f aca="false">_xlfn.xlookup(AN312,A:A,N:N)+_xlfn.xlookup(AN312,A:A,O:O)</f>
        <v>#NAME?</v>
      </c>
      <c r="AR312" s="150" t="e">
        <f aca="false">_xlfn.xlookup(AN312,A:A,AH:AH)</f>
        <v>#NAME?</v>
      </c>
      <c r="AS312" s="150" t="e">
        <f aca="false">_xlfn.xlookup(AN312,A:A,S:S)</f>
        <v>#NAME?</v>
      </c>
      <c r="AT312" s="150" t="e">
        <f aca="false">_xlfn.xlookup(AN312,A:A,AE:AE)</f>
        <v>#NAME?</v>
      </c>
      <c r="AU312" s="150" t="e">
        <f aca="false">_xlfn.xlookup(AN312,A:A,AF:AF)</f>
        <v>#NAME?</v>
      </c>
      <c r="AX312" s="146"/>
      <c r="AY312" s="150"/>
      <c r="AZ312" s="150"/>
      <c r="BA312" s="150"/>
      <c r="BB312" s="146"/>
      <c r="BC312" s="146"/>
      <c r="BD312" s="151"/>
      <c r="BE312" s="146"/>
      <c r="BF312" s="146"/>
      <c r="BH312" s="152" t="e">
        <f aca="false">_xlfn.xlookup(BG312,A:A,F:F)</f>
        <v>#NAME?</v>
      </c>
      <c r="BI312" s="153" t="e">
        <f aca="false">_xlfn.xlookup(BG312,A:A,J:J)</f>
        <v>#NAME?</v>
      </c>
      <c r="BJ312" s="153" t="e">
        <f aca="false">_xlfn.xlookup(BG312,A:A,N:N)+_xlfn.xlookup(BG312,A:A,O:O)</f>
        <v>#NAME?</v>
      </c>
      <c r="BK312" s="153" t="e">
        <f aca="false">_xlfn.xlookup(BG312,A261:A1255,AB261:AB1255)</f>
        <v>#NAME?</v>
      </c>
      <c r="BN312" s="146"/>
      <c r="BO312" s="150"/>
      <c r="BQ312" s="153" t="str">
        <f aca="false">IF(VALUE(MONTH(C312))&lt;10,YEAR(C312)&amp;"-0"&amp;MONTH(C312),YEAR(C312)&amp;"-"&amp;MONTH(C312))</f>
        <v>1900-01</v>
      </c>
      <c r="BR312" s="153" t="n">
        <f aca="false">J312</f>
        <v>0</v>
      </c>
      <c r="BS312" s="153" t="n">
        <f aca="false">IF(ISNUMBER(FIND("-", BR312)), LEFT(BR312, FIND("-", BR312) - 1), BR312)</f>
        <v>0</v>
      </c>
      <c r="BT312" s="189" t="n">
        <f aca="false">L312-M312+O312</f>
        <v>0</v>
      </c>
    </row>
    <row r="313" s="153" customFormat="true" ht="15" hidden="false" customHeight="false" outlineLevel="0" collapsed="false">
      <c r="AN313" s="153" t="e">
        <v>#NAME?</v>
      </c>
      <c r="AO313" s="153" t="e">
        <f aca="false">_xlfn.xlookup(AN313,A:A,F:F)</f>
        <v>#NAME?</v>
      </c>
      <c r="AP313" s="153" t="e">
        <f aca="false">_xlfn.xlookup(AN313,A:A,J:J)</f>
        <v>#NAME?</v>
      </c>
      <c r="AQ313" s="153" t="e">
        <f aca="false">_xlfn.xlookup(AN313,A:A,N:N)+_xlfn.xlookup(AN313,A:A,O:O)</f>
        <v>#NAME?</v>
      </c>
      <c r="AR313" s="150" t="e">
        <f aca="false">_xlfn.xlookup(AN313,A:A,AH:AH)</f>
        <v>#NAME?</v>
      </c>
      <c r="AS313" s="150" t="e">
        <f aca="false">_xlfn.xlookup(AN313,A:A,S:S)</f>
        <v>#NAME?</v>
      </c>
      <c r="AT313" s="150" t="e">
        <f aca="false">_xlfn.xlookup(AN313,A:A,AE:AE)</f>
        <v>#NAME?</v>
      </c>
      <c r="AU313" s="150" t="e">
        <f aca="false">_xlfn.xlookup(AN313,A:A,AF:AF)</f>
        <v>#NAME?</v>
      </c>
      <c r="AX313" s="146"/>
      <c r="AY313" s="150"/>
      <c r="AZ313" s="150"/>
      <c r="BA313" s="150"/>
      <c r="BB313" s="146"/>
      <c r="BC313" s="146"/>
      <c r="BD313" s="151"/>
      <c r="BE313" s="146"/>
      <c r="BF313" s="146"/>
      <c r="BH313" s="152" t="e">
        <f aca="false">_xlfn.xlookup(BG313,A:A,F:F)</f>
        <v>#NAME?</v>
      </c>
      <c r="BI313" s="153" t="e">
        <f aca="false">_xlfn.xlookup(BG313,A:A,J:J)</f>
        <v>#NAME?</v>
      </c>
      <c r="BJ313" s="153" t="e">
        <f aca="false">_xlfn.xlookup(BG313,A:A,N:N)+_xlfn.xlookup(BG313,A:A,O:O)</f>
        <v>#NAME?</v>
      </c>
      <c r="BK313" s="153" t="e">
        <f aca="false">_xlfn.xlookup(BG313,A262:A1256,AB262:AB1256)</f>
        <v>#NAME?</v>
      </c>
      <c r="BN313" s="146"/>
      <c r="BO313" s="150"/>
      <c r="BQ313" s="153" t="str">
        <f aca="false">IF(VALUE(MONTH(C313))&lt;10,YEAR(C313)&amp;"-0"&amp;MONTH(C313),YEAR(C313)&amp;"-"&amp;MONTH(C313))</f>
        <v>1900-01</v>
      </c>
      <c r="BR313" s="153" t="n">
        <f aca="false">J313</f>
        <v>0</v>
      </c>
      <c r="BS313" s="153" t="n">
        <f aca="false">IF(ISNUMBER(FIND("-", BR313)), LEFT(BR313, FIND("-", BR313) - 1), BR313)</f>
        <v>0</v>
      </c>
      <c r="BT313" s="189" t="n">
        <f aca="false">L313-M313+O313</f>
        <v>0</v>
      </c>
    </row>
    <row r="314" s="153" customFormat="true" ht="15" hidden="false" customHeight="false" outlineLevel="0" collapsed="false">
      <c r="AN314" s="153" t="e">
        <v>#NAME?</v>
      </c>
      <c r="AO314" s="153" t="e">
        <f aca="false">_xlfn.xlookup(AN314,A:A,F:F)</f>
        <v>#NAME?</v>
      </c>
      <c r="AP314" s="153" t="e">
        <f aca="false">_xlfn.xlookup(AN314,A:A,J:J)</f>
        <v>#NAME?</v>
      </c>
      <c r="AQ314" s="153" t="e">
        <f aca="false">_xlfn.xlookup(AN314,A:A,N:N)+_xlfn.xlookup(AN314,A:A,O:O)</f>
        <v>#NAME?</v>
      </c>
      <c r="AR314" s="150" t="e">
        <f aca="false">_xlfn.xlookup(AN314,A:A,AH:AH)</f>
        <v>#NAME?</v>
      </c>
      <c r="AS314" s="150" t="e">
        <f aca="false">_xlfn.xlookup(AN314,A:A,S:S)</f>
        <v>#NAME?</v>
      </c>
      <c r="AT314" s="150" t="e">
        <f aca="false">_xlfn.xlookup(AN314,A:A,AE:AE)</f>
        <v>#NAME?</v>
      </c>
      <c r="AU314" s="150" t="e">
        <f aca="false">_xlfn.xlookup(AN314,A:A,AF:AF)</f>
        <v>#NAME?</v>
      </c>
      <c r="AX314" s="146"/>
      <c r="AY314" s="150"/>
      <c r="AZ314" s="150"/>
      <c r="BA314" s="150"/>
      <c r="BB314" s="146"/>
      <c r="BC314" s="146"/>
      <c r="BD314" s="151"/>
      <c r="BE314" s="146"/>
      <c r="BF314" s="146"/>
      <c r="BH314" s="152" t="e">
        <f aca="false">_xlfn.xlookup(BG314,A:A,F:F)</f>
        <v>#NAME?</v>
      </c>
      <c r="BI314" s="153" t="e">
        <f aca="false">_xlfn.xlookup(BG314,A:A,J:J)</f>
        <v>#NAME?</v>
      </c>
      <c r="BJ314" s="153" t="e">
        <f aca="false">_xlfn.xlookup(BG314,A:A,N:N)+_xlfn.xlookup(BG314,A:A,O:O)</f>
        <v>#NAME?</v>
      </c>
      <c r="BK314" s="153" t="e">
        <f aca="false">_xlfn.xlookup(BG314,A263:A1257,AB263:AB1257)</f>
        <v>#NAME?</v>
      </c>
      <c r="BN314" s="146"/>
      <c r="BO314" s="150"/>
      <c r="BQ314" s="153" t="str">
        <f aca="false">IF(VALUE(MONTH(C314))&lt;10,YEAR(C314)&amp;"-0"&amp;MONTH(C314),YEAR(C314)&amp;"-"&amp;MONTH(C314))</f>
        <v>1900-01</v>
      </c>
      <c r="BR314" s="153" t="n">
        <f aca="false">J314</f>
        <v>0</v>
      </c>
      <c r="BS314" s="153" t="n">
        <f aca="false">IF(ISNUMBER(FIND("-", BR314)), LEFT(BR314, FIND("-", BR314) - 1), BR314)</f>
        <v>0</v>
      </c>
      <c r="BT314" s="189" t="n">
        <f aca="false">L314-M314+O314</f>
        <v>0</v>
      </c>
    </row>
    <row r="315" s="153" customFormat="true" ht="15" hidden="false" customHeight="false" outlineLevel="0" collapsed="false">
      <c r="AN315" s="153" t="e">
        <v>#NAME?</v>
      </c>
      <c r="AO315" s="153" t="e">
        <f aca="false">_xlfn.xlookup(AN315,A:A,F:F)</f>
        <v>#NAME?</v>
      </c>
      <c r="AP315" s="153" t="e">
        <f aca="false">_xlfn.xlookup(AN315,A:A,J:J)</f>
        <v>#NAME?</v>
      </c>
      <c r="AQ315" s="153" t="e">
        <f aca="false">_xlfn.xlookup(AN315,A:A,N:N)+_xlfn.xlookup(AN315,A:A,O:O)</f>
        <v>#NAME?</v>
      </c>
      <c r="AR315" s="150" t="e">
        <f aca="false">_xlfn.xlookup(AN315,A:A,AH:AH)</f>
        <v>#NAME?</v>
      </c>
      <c r="AS315" s="150" t="e">
        <f aca="false">_xlfn.xlookup(AN315,A:A,S:S)</f>
        <v>#NAME?</v>
      </c>
      <c r="AT315" s="150" t="e">
        <f aca="false">_xlfn.xlookup(AN315,A:A,AE:AE)</f>
        <v>#NAME?</v>
      </c>
      <c r="AU315" s="150" t="e">
        <f aca="false">_xlfn.xlookup(AN315,A:A,AF:AF)</f>
        <v>#NAME?</v>
      </c>
      <c r="AX315" s="146"/>
      <c r="AY315" s="150"/>
      <c r="AZ315" s="150"/>
      <c r="BA315" s="150"/>
      <c r="BB315" s="146"/>
      <c r="BC315" s="146"/>
      <c r="BD315" s="151"/>
      <c r="BE315" s="146"/>
      <c r="BF315" s="146"/>
      <c r="BH315" s="152" t="e">
        <f aca="false">_xlfn.xlookup(BG315,A:A,F:F)</f>
        <v>#NAME?</v>
      </c>
      <c r="BI315" s="153" t="e">
        <f aca="false">_xlfn.xlookup(BG315,A:A,J:J)</f>
        <v>#NAME?</v>
      </c>
      <c r="BJ315" s="153" t="e">
        <f aca="false">_xlfn.xlookup(BG315,A:A,N:N)+_xlfn.xlookup(BG315,A:A,O:O)</f>
        <v>#NAME?</v>
      </c>
      <c r="BK315" s="153" t="e">
        <f aca="false">_xlfn.xlookup(BG315,A264:A1258,AB264:AB1258)</f>
        <v>#NAME?</v>
      </c>
      <c r="BN315" s="146"/>
      <c r="BO315" s="150"/>
      <c r="BQ315" s="153" t="str">
        <f aca="false">IF(VALUE(MONTH(C315))&lt;10,YEAR(C315)&amp;"-0"&amp;MONTH(C315),YEAR(C315)&amp;"-"&amp;MONTH(C315))</f>
        <v>1900-01</v>
      </c>
      <c r="BR315" s="153" t="n">
        <f aca="false">J315</f>
        <v>0</v>
      </c>
      <c r="BS315" s="153" t="n">
        <f aca="false">IF(ISNUMBER(FIND("-", BR315)), LEFT(BR315, FIND("-", BR315) - 1), BR315)</f>
        <v>0</v>
      </c>
      <c r="BT315" s="189" t="n">
        <f aca="false">L315-M315+O315</f>
        <v>0</v>
      </c>
    </row>
    <row r="316" s="153" customFormat="true" ht="15" hidden="false" customHeight="false" outlineLevel="0" collapsed="false">
      <c r="AN316" s="153" t="e">
        <v>#NAME?</v>
      </c>
      <c r="AO316" s="153" t="e">
        <f aca="false">_xlfn.xlookup(AN316,A:A,F:F)</f>
        <v>#NAME?</v>
      </c>
      <c r="AP316" s="153" t="e">
        <f aca="false">_xlfn.xlookup(AN316,A:A,J:J)</f>
        <v>#NAME?</v>
      </c>
      <c r="AQ316" s="153" t="e">
        <f aca="false">_xlfn.xlookup(AN316,A:A,N:N)+_xlfn.xlookup(AN316,A:A,O:O)</f>
        <v>#NAME?</v>
      </c>
      <c r="AR316" s="150" t="e">
        <f aca="false">_xlfn.xlookup(AN316,A:A,AH:AH)</f>
        <v>#NAME?</v>
      </c>
      <c r="AS316" s="150" t="e">
        <f aca="false">_xlfn.xlookup(AN316,A:A,S:S)</f>
        <v>#NAME?</v>
      </c>
      <c r="AT316" s="150" t="e">
        <f aca="false">_xlfn.xlookup(AN316,A:A,AE:AE)</f>
        <v>#NAME?</v>
      </c>
      <c r="AU316" s="150" t="e">
        <f aca="false">_xlfn.xlookup(AN316,A:A,AF:AF)</f>
        <v>#NAME?</v>
      </c>
      <c r="AX316" s="146"/>
      <c r="AY316" s="150"/>
      <c r="AZ316" s="150"/>
      <c r="BA316" s="150"/>
      <c r="BB316" s="146"/>
      <c r="BC316" s="146"/>
      <c r="BD316" s="151"/>
      <c r="BE316" s="146"/>
      <c r="BF316" s="146"/>
      <c r="BH316" s="152" t="e">
        <f aca="false">_xlfn.xlookup(BG316,A:A,F:F)</f>
        <v>#NAME?</v>
      </c>
      <c r="BI316" s="153" t="e">
        <f aca="false">_xlfn.xlookup(BG316,A:A,J:J)</f>
        <v>#NAME?</v>
      </c>
      <c r="BJ316" s="153" t="e">
        <f aca="false">_xlfn.xlookup(BG316,A:A,N:N)+_xlfn.xlookup(BG316,A:A,O:O)</f>
        <v>#NAME?</v>
      </c>
      <c r="BK316" s="153" t="e">
        <f aca="false">_xlfn.xlookup(BG316,A265:A1259,AB265:AB1259)</f>
        <v>#NAME?</v>
      </c>
      <c r="BN316" s="146"/>
      <c r="BO316" s="150"/>
      <c r="BQ316" s="153" t="str">
        <f aca="false">IF(VALUE(MONTH(C316))&lt;10,YEAR(C316)&amp;"-0"&amp;MONTH(C316),YEAR(C316)&amp;"-"&amp;MONTH(C316))</f>
        <v>1900-01</v>
      </c>
      <c r="BR316" s="153" t="n">
        <f aca="false">J316</f>
        <v>0</v>
      </c>
      <c r="BS316" s="153" t="n">
        <f aca="false">IF(ISNUMBER(FIND("-", BR316)), LEFT(BR316, FIND("-", BR316) - 1), BR316)</f>
        <v>0</v>
      </c>
      <c r="BT316" s="189" t="n">
        <f aca="false">L316-M316+O316</f>
        <v>0</v>
      </c>
    </row>
    <row r="317" s="153" customFormat="true" ht="15" hidden="false" customHeight="false" outlineLevel="0" collapsed="false">
      <c r="AN317" s="153" t="e">
        <v>#NAME?</v>
      </c>
      <c r="AO317" s="153" t="e">
        <f aca="false">_xlfn.xlookup(AN317,A:A,F:F)</f>
        <v>#NAME?</v>
      </c>
      <c r="AP317" s="153" t="e">
        <f aca="false">_xlfn.xlookup(AN317,A:A,J:J)</f>
        <v>#NAME?</v>
      </c>
      <c r="AQ317" s="153" t="e">
        <f aca="false">_xlfn.xlookup(AN317,A:A,N:N)+_xlfn.xlookup(AN317,A:A,O:O)</f>
        <v>#NAME?</v>
      </c>
      <c r="AR317" s="150" t="e">
        <f aca="false">_xlfn.xlookup(AN317,A:A,AH:AH)</f>
        <v>#NAME?</v>
      </c>
      <c r="AS317" s="150" t="e">
        <f aca="false">_xlfn.xlookup(AN317,A:A,S:S)</f>
        <v>#NAME?</v>
      </c>
      <c r="AT317" s="150" t="e">
        <f aca="false">_xlfn.xlookup(AN317,A:A,AE:AE)</f>
        <v>#NAME?</v>
      </c>
      <c r="AU317" s="150" t="e">
        <f aca="false">_xlfn.xlookup(AN317,A:A,AF:AF)</f>
        <v>#NAME?</v>
      </c>
      <c r="AX317" s="146"/>
      <c r="AY317" s="150"/>
      <c r="AZ317" s="150"/>
      <c r="BA317" s="150"/>
      <c r="BB317" s="146"/>
      <c r="BC317" s="146"/>
      <c r="BD317" s="151"/>
      <c r="BE317" s="146"/>
      <c r="BF317" s="146"/>
      <c r="BH317" s="152" t="e">
        <f aca="false">_xlfn.xlookup(BG317,A:A,F:F)</f>
        <v>#NAME?</v>
      </c>
      <c r="BI317" s="153" t="e">
        <f aca="false">_xlfn.xlookup(BG317,A:A,J:J)</f>
        <v>#NAME?</v>
      </c>
      <c r="BJ317" s="153" t="e">
        <f aca="false">_xlfn.xlookup(BG317,A:A,N:N)+_xlfn.xlookup(BG317,A:A,O:O)</f>
        <v>#NAME?</v>
      </c>
      <c r="BK317" s="153" t="e">
        <f aca="false">_xlfn.xlookup(BG317,A266:A1260,AB266:AB1260)</f>
        <v>#NAME?</v>
      </c>
      <c r="BN317" s="146"/>
      <c r="BO317" s="150"/>
      <c r="BQ317" s="153" t="str">
        <f aca="false">IF(VALUE(MONTH(C317))&lt;10,YEAR(C317)&amp;"-0"&amp;MONTH(C317),YEAR(C317)&amp;"-"&amp;MONTH(C317))</f>
        <v>1900-01</v>
      </c>
      <c r="BR317" s="153" t="n">
        <f aca="false">J317</f>
        <v>0</v>
      </c>
      <c r="BS317" s="153" t="n">
        <f aca="false">IF(ISNUMBER(FIND("-", BR317)), LEFT(BR317, FIND("-", BR317) - 1), BR317)</f>
        <v>0</v>
      </c>
      <c r="BT317" s="189" t="n">
        <f aca="false">L317-M317+O317</f>
        <v>0</v>
      </c>
    </row>
    <row r="318" s="153" customFormat="true" ht="15" hidden="false" customHeight="false" outlineLevel="0" collapsed="false">
      <c r="AN318" s="153" t="e">
        <v>#NAME?</v>
      </c>
      <c r="AO318" s="153" t="e">
        <f aca="false">_xlfn.xlookup(AN318,A:A,F:F)</f>
        <v>#NAME?</v>
      </c>
      <c r="AP318" s="153" t="e">
        <f aca="false">_xlfn.xlookup(AN318,A:A,J:J)</f>
        <v>#NAME?</v>
      </c>
      <c r="AQ318" s="153" t="e">
        <f aca="false">_xlfn.xlookup(AN318,A:A,N:N)+_xlfn.xlookup(AN318,A:A,O:O)</f>
        <v>#NAME?</v>
      </c>
      <c r="AR318" s="150" t="e">
        <f aca="false">_xlfn.xlookup(AN318,A:A,AH:AH)</f>
        <v>#NAME?</v>
      </c>
      <c r="AS318" s="150" t="e">
        <f aca="false">_xlfn.xlookup(AN318,A:A,S:S)</f>
        <v>#NAME?</v>
      </c>
      <c r="AT318" s="150" t="e">
        <f aca="false">_xlfn.xlookup(AN318,A:A,AE:AE)</f>
        <v>#NAME?</v>
      </c>
      <c r="AU318" s="150" t="e">
        <f aca="false">_xlfn.xlookup(AN318,A:A,AF:AF)</f>
        <v>#NAME?</v>
      </c>
      <c r="AX318" s="146"/>
      <c r="AY318" s="150"/>
      <c r="AZ318" s="150"/>
      <c r="BA318" s="150"/>
      <c r="BB318" s="146"/>
      <c r="BC318" s="146"/>
      <c r="BD318" s="151"/>
      <c r="BE318" s="146"/>
      <c r="BF318" s="146"/>
      <c r="BH318" s="152" t="e">
        <f aca="false">_xlfn.xlookup(BG318,A:A,F:F)</f>
        <v>#NAME?</v>
      </c>
      <c r="BI318" s="153" t="e">
        <f aca="false">_xlfn.xlookup(BG318,A:A,J:J)</f>
        <v>#NAME?</v>
      </c>
      <c r="BJ318" s="153" t="e">
        <f aca="false">_xlfn.xlookup(BG318,A:A,N:N)+_xlfn.xlookup(BG318,A:A,O:O)</f>
        <v>#NAME?</v>
      </c>
      <c r="BK318" s="153" t="e">
        <f aca="false">_xlfn.xlookup(BG318,A267:A1261,AB267:AB1261)</f>
        <v>#NAME?</v>
      </c>
      <c r="BN318" s="146"/>
      <c r="BO318" s="150"/>
      <c r="BQ318" s="153" t="str">
        <f aca="false">IF(VALUE(MONTH(C318))&lt;10,YEAR(C318)&amp;"-0"&amp;MONTH(C318),YEAR(C318)&amp;"-"&amp;MONTH(C318))</f>
        <v>1900-01</v>
      </c>
      <c r="BR318" s="153" t="n">
        <f aca="false">J318</f>
        <v>0</v>
      </c>
      <c r="BS318" s="153" t="n">
        <f aca="false">IF(ISNUMBER(FIND("-", BR318)), LEFT(BR318, FIND("-", BR318) - 1), BR318)</f>
        <v>0</v>
      </c>
      <c r="BT318" s="189" t="n">
        <f aca="false">L318-M318+O318</f>
        <v>0</v>
      </c>
    </row>
    <row r="319" s="153" customFormat="true" ht="15" hidden="false" customHeight="false" outlineLevel="0" collapsed="false">
      <c r="AN319" s="153" t="e">
        <v>#NAME?</v>
      </c>
      <c r="AO319" s="153" t="e">
        <f aca="false">_xlfn.xlookup(AN319,A:A,F:F)</f>
        <v>#NAME?</v>
      </c>
      <c r="AP319" s="153" t="e">
        <f aca="false">_xlfn.xlookup(AN319,A:A,J:J)</f>
        <v>#NAME?</v>
      </c>
      <c r="AQ319" s="153" t="e">
        <f aca="false">_xlfn.xlookup(AN319,A:A,N:N)+_xlfn.xlookup(AN319,A:A,O:O)</f>
        <v>#NAME?</v>
      </c>
      <c r="AR319" s="150" t="e">
        <f aca="false">_xlfn.xlookup(AN319,A:A,AH:AH)</f>
        <v>#NAME?</v>
      </c>
      <c r="AS319" s="150" t="e">
        <f aca="false">_xlfn.xlookup(AN319,A:A,S:S)</f>
        <v>#NAME?</v>
      </c>
      <c r="AT319" s="150" t="e">
        <f aca="false">_xlfn.xlookup(AN319,A:A,AE:AE)</f>
        <v>#NAME?</v>
      </c>
      <c r="AU319" s="150" t="e">
        <f aca="false">_xlfn.xlookup(AN319,A:A,AF:AF)</f>
        <v>#NAME?</v>
      </c>
      <c r="AX319" s="146"/>
      <c r="AY319" s="150"/>
      <c r="AZ319" s="150"/>
      <c r="BA319" s="150"/>
      <c r="BB319" s="146"/>
      <c r="BC319" s="146"/>
      <c r="BD319" s="151"/>
      <c r="BE319" s="146"/>
      <c r="BF319" s="146"/>
      <c r="BH319" s="152" t="e">
        <f aca="false">_xlfn.xlookup(BG319,A:A,F:F)</f>
        <v>#NAME?</v>
      </c>
      <c r="BI319" s="153" t="e">
        <f aca="false">_xlfn.xlookup(BG319,A:A,J:J)</f>
        <v>#NAME?</v>
      </c>
      <c r="BJ319" s="153" t="e">
        <f aca="false">_xlfn.xlookup(BG319,A:A,N:N)+_xlfn.xlookup(BG319,A:A,O:O)</f>
        <v>#NAME?</v>
      </c>
      <c r="BK319" s="153" t="e">
        <f aca="false">_xlfn.xlookup(BG319,A268:A1262,AB268:AB1262)</f>
        <v>#NAME?</v>
      </c>
      <c r="BN319" s="146"/>
      <c r="BO319" s="150"/>
      <c r="BQ319" s="153" t="str">
        <f aca="false">IF(VALUE(MONTH(C319))&lt;10,YEAR(C319)&amp;"-0"&amp;MONTH(C319),YEAR(C319)&amp;"-"&amp;MONTH(C319))</f>
        <v>1900-01</v>
      </c>
      <c r="BR319" s="153" t="n">
        <f aca="false">J319</f>
        <v>0</v>
      </c>
      <c r="BS319" s="153" t="n">
        <f aca="false">IF(ISNUMBER(FIND("-", BR319)), LEFT(BR319, FIND("-", BR319) - 1), BR319)</f>
        <v>0</v>
      </c>
      <c r="BT319" s="189" t="n">
        <f aca="false">L319-M319+O319</f>
        <v>0</v>
      </c>
    </row>
    <row r="320" s="153" customFormat="true" ht="15" hidden="false" customHeight="false" outlineLevel="0" collapsed="false">
      <c r="AN320" s="153" t="e">
        <v>#NAME?</v>
      </c>
      <c r="AO320" s="153" t="e">
        <f aca="false">_xlfn.xlookup(AN320,A:A,F:F)</f>
        <v>#NAME?</v>
      </c>
      <c r="AP320" s="153" t="e">
        <f aca="false">_xlfn.xlookup(AN320,A:A,J:J)</f>
        <v>#NAME?</v>
      </c>
      <c r="AQ320" s="153" t="e">
        <f aca="false">_xlfn.xlookup(AN320,A:A,N:N)+_xlfn.xlookup(AN320,A:A,O:O)</f>
        <v>#NAME?</v>
      </c>
      <c r="AR320" s="150" t="e">
        <f aca="false">_xlfn.xlookup(AN320,A:A,AH:AH)</f>
        <v>#NAME?</v>
      </c>
      <c r="AS320" s="150" t="e">
        <f aca="false">_xlfn.xlookup(AN320,A:A,S:S)</f>
        <v>#NAME?</v>
      </c>
      <c r="AT320" s="150" t="e">
        <f aca="false">_xlfn.xlookup(AN320,A:A,AE:AE)</f>
        <v>#NAME?</v>
      </c>
      <c r="AU320" s="150" t="e">
        <f aca="false">_xlfn.xlookup(AN320,A:A,AF:AF)</f>
        <v>#NAME?</v>
      </c>
      <c r="AX320" s="146"/>
      <c r="AY320" s="150"/>
      <c r="AZ320" s="150"/>
      <c r="BA320" s="150"/>
      <c r="BB320" s="146"/>
      <c r="BC320" s="146"/>
      <c r="BD320" s="151"/>
      <c r="BE320" s="146"/>
      <c r="BF320" s="146"/>
      <c r="BH320" s="152" t="e">
        <f aca="false">_xlfn.xlookup(BG320,A:A,F:F)</f>
        <v>#NAME?</v>
      </c>
      <c r="BI320" s="153" t="e">
        <f aca="false">_xlfn.xlookup(BG320,A:A,J:J)</f>
        <v>#NAME?</v>
      </c>
      <c r="BJ320" s="153" t="e">
        <f aca="false">_xlfn.xlookup(BG320,A:A,N:N)+_xlfn.xlookup(BG320,A:A,O:O)</f>
        <v>#NAME?</v>
      </c>
      <c r="BK320" s="153" t="e">
        <f aca="false">_xlfn.xlookup(BG320,A269:A1263,AB269:AB1263)</f>
        <v>#NAME?</v>
      </c>
      <c r="BN320" s="146"/>
      <c r="BO320" s="150"/>
      <c r="BQ320" s="153" t="str">
        <f aca="false">IF(VALUE(MONTH(C320))&lt;10,YEAR(C320)&amp;"-0"&amp;MONTH(C320),YEAR(C320)&amp;"-"&amp;MONTH(C320))</f>
        <v>1900-01</v>
      </c>
      <c r="BR320" s="153" t="n">
        <f aca="false">J320</f>
        <v>0</v>
      </c>
      <c r="BS320" s="153" t="n">
        <f aca="false">IF(ISNUMBER(FIND("-", BR320)), LEFT(BR320, FIND("-", BR320) - 1), BR320)</f>
        <v>0</v>
      </c>
      <c r="BT320" s="189" t="n">
        <f aca="false">L320-M320+O320</f>
        <v>0</v>
      </c>
    </row>
    <row r="321" s="153" customFormat="true" ht="15" hidden="false" customHeight="false" outlineLevel="0" collapsed="false">
      <c r="AN321" s="153" t="e">
        <v>#NAME?</v>
      </c>
      <c r="AO321" s="153" t="e">
        <f aca="false">_xlfn.xlookup(AN321,A:A,F:F)</f>
        <v>#NAME?</v>
      </c>
      <c r="AP321" s="153" t="e">
        <f aca="false">_xlfn.xlookup(AN321,A:A,J:J)</f>
        <v>#NAME?</v>
      </c>
      <c r="AQ321" s="153" t="e">
        <f aca="false">_xlfn.xlookup(AN321,A:A,N:N)+_xlfn.xlookup(AN321,A:A,O:O)</f>
        <v>#NAME?</v>
      </c>
      <c r="AR321" s="150" t="e">
        <f aca="false">_xlfn.xlookup(AN321,A:A,AH:AH)</f>
        <v>#NAME?</v>
      </c>
      <c r="AS321" s="150" t="e">
        <f aca="false">_xlfn.xlookup(AN321,A:A,S:S)</f>
        <v>#NAME?</v>
      </c>
      <c r="AT321" s="150" t="e">
        <f aca="false">_xlfn.xlookup(AN321,A:A,AE:AE)</f>
        <v>#NAME?</v>
      </c>
      <c r="AU321" s="150" t="e">
        <f aca="false">_xlfn.xlookup(AN321,A:A,AF:AF)</f>
        <v>#NAME?</v>
      </c>
      <c r="AX321" s="146"/>
      <c r="AY321" s="150"/>
      <c r="AZ321" s="150"/>
      <c r="BA321" s="150"/>
      <c r="BB321" s="146"/>
      <c r="BC321" s="146"/>
      <c r="BD321" s="151"/>
      <c r="BE321" s="146"/>
      <c r="BF321" s="146"/>
      <c r="BH321" s="152" t="e">
        <f aca="false">_xlfn.xlookup(BG321,A:A,F:F)</f>
        <v>#NAME?</v>
      </c>
      <c r="BI321" s="153" t="e">
        <f aca="false">_xlfn.xlookup(BG321,A:A,J:J)</f>
        <v>#NAME?</v>
      </c>
      <c r="BJ321" s="153" t="e">
        <f aca="false">_xlfn.xlookup(BG321,A:A,N:N)+_xlfn.xlookup(BG321,A:A,O:O)</f>
        <v>#NAME?</v>
      </c>
      <c r="BK321" s="153" t="e">
        <f aca="false">_xlfn.xlookup(BG321,A270:A1264,AB270:AB1264)</f>
        <v>#NAME?</v>
      </c>
      <c r="BN321" s="146"/>
      <c r="BO321" s="150"/>
      <c r="BQ321" s="153" t="str">
        <f aca="false">IF(VALUE(MONTH(C321))&lt;10,YEAR(C321)&amp;"-0"&amp;MONTH(C321),YEAR(C321)&amp;"-"&amp;MONTH(C321))</f>
        <v>1900-01</v>
      </c>
      <c r="BR321" s="153" t="n">
        <f aca="false">J321</f>
        <v>0</v>
      </c>
      <c r="BS321" s="153" t="n">
        <f aca="false">IF(ISNUMBER(FIND("-", BR321)), LEFT(BR321, FIND("-", BR321) - 1), BR321)</f>
        <v>0</v>
      </c>
      <c r="BT321" s="189" t="n">
        <f aca="false">L321-M321+O321</f>
        <v>0</v>
      </c>
    </row>
    <row r="322" s="153" customFormat="true" ht="15" hidden="false" customHeight="false" outlineLevel="0" collapsed="false">
      <c r="AN322" s="153" t="e">
        <v>#NAME?</v>
      </c>
      <c r="AO322" s="153" t="e">
        <f aca="false">_xlfn.xlookup(AN322,A:A,F:F)</f>
        <v>#NAME?</v>
      </c>
      <c r="AP322" s="153" t="e">
        <f aca="false">_xlfn.xlookup(AN322,A:A,J:J)</f>
        <v>#NAME?</v>
      </c>
      <c r="AQ322" s="153" t="e">
        <f aca="false">_xlfn.xlookup(AN322,A:A,N:N)+_xlfn.xlookup(AN322,A:A,O:O)</f>
        <v>#NAME?</v>
      </c>
      <c r="AR322" s="150" t="e">
        <f aca="false">_xlfn.xlookup(AN322,A:A,AH:AH)</f>
        <v>#NAME?</v>
      </c>
      <c r="AS322" s="150" t="e">
        <f aca="false">_xlfn.xlookup(AN322,A:A,S:S)</f>
        <v>#NAME?</v>
      </c>
      <c r="AT322" s="150" t="e">
        <f aca="false">_xlfn.xlookup(AN322,A:A,AE:AE)</f>
        <v>#NAME?</v>
      </c>
      <c r="AU322" s="150" t="e">
        <f aca="false">_xlfn.xlookup(AN322,A:A,AF:AF)</f>
        <v>#NAME?</v>
      </c>
      <c r="AX322" s="146"/>
      <c r="AY322" s="150"/>
      <c r="AZ322" s="150"/>
      <c r="BA322" s="150"/>
      <c r="BB322" s="146"/>
      <c r="BC322" s="146"/>
      <c r="BD322" s="151"/>
      <c r="BE322" s="146"/>
      <c r="BF322" s="146"/>
      <c r="BH322" s="152" t="e">
        <f aca="false">_xlfn.xlookup(BG322,A:A,F:F)</f>
        <v>#NAME?</v>
      </c>
      <c r="BI322" s="153" t="e">
        <f aca="false">_xlfn.xlookup(BG322,A:A,J:J)</f>
        <v>#NAME?</v>
      </c>
      <c r="BJ322" s="153" t="e">
        <f aca="false">_xlfn.xlookup(BG322,A:A,N:N)+_xlfn.xlookup(BG322,A:A,O:O)</f>
        <v>#NAME?</v>
      </c>
      <c r="BK322" s="153" t="e">
        <f aca="false">_xlfn.xlookup(BG322,A271:A1265,AB271:AB1265)</f>
        <v>#NAME?</v>
      </c>
      <c r="BN322" s="146"/>
      <c r="BO322" s="150"/>
      <c r="BQ322" s="153" t="str">
        <f aca="false">IF(VALUE(MONTH(C322))&lt;10,YEAR(C322)&amp;"-0"&amp;MONTH(C322),YEAR(C322)&amp;"-"&amp;MONTH(C322))</f>
        <v>1900-01</v>
      </c>
      <c r="BR322" s="153" t="n">
        <f aca="false">J322</f>
        <v>0</v>
      </c>
      <c r="BS322" s="153" t="n">
        <f aca="false">IF(ISNUMBER(FIND("-", BR322)), LEFT(BR322, FIND("-", BR322) - 1), BR322)</f>
        <v>0</v>
      </c>
      <c r="BT322" s="189" t="n">
        <f aca="false">L322-M322+O322</f>
        <v>0</v>
      </c>
    </row>
    <row r="323" s="153" customFormat="true" ht="15" hidden="false" customHeight="false" outlineLevel="0" collapsed="false">
      <c r="AN323" s="153" t="e">
        <v>#NAME?</v>
      </c>
      <c r="AO323" s="153" t="e">
        <f aca="false">_xlfn.xlookup(AN323,A:A,F:F)</f>
        <v>#NAME?</v>
      </c>
      <c r="AP323" s="153" t="e">
        <f aca="false">_xlfn.xlookup(AN323,A:A,J:J)</f>
        <v>#NAME?</v>
      </c>
      <c r="AQ323" s="153" t="e">
        <f aca="false">_xlfn.xlookup(AN323,A:A,N:N)+_xlfn.xlookup(AN323,A:A,O:O)</f>
        <v>#NAME?</v>
      </c>
      <c r="AR323" s="150" t="e">
        <f aca="false">_xlfn.xlookup(AN323,A:A,AH:AH)</f>
        <v>#NAME?</v>
      </c>
      <c r="AS323" s="150" t="e">
        <f aca="false">_xlfn.xlookup(AN323,A:A,S:S)</f>
        <v>#NAME?</v>
      </c>
      <c r="AT323" s="150" t="e">
        <f aca="false">_xlfn.xlookup(AN323,A:A,AE:AE)</f>
        <v>#NAME?</v>
      </c>
      <c r="AU323" s="150" t="e">
        <f aca="false">_xlfn.xlookup(AN323,A:A,AF:AF)</f>
        <v>#NAME?</v>
      </c>
      <c r="AX323" s="146"/>
      <c r="AY323" s="150"/>
      <c r="AZ323" s="150"/>
      <c r="BA323" s="150"/>
      <c r="BB323" s="146"/>
      <c r="BC323" s="146"/>
      <c r="BD323" s="151"/>
      <c r="BE323" s="146"/>
      <c r="BF323" s="146"/>
      <c r="BH323" s="152" t="e">
        <f aca="false">_xlfn.xlookup(BG323,A:A,F:F)</f>
        <v>#NAME?</v>
      </c>
      <c r="BI323" s="153" t="e">
        <f aca="false">_xlfn.xlookup(BG323,A:A,J:J)</f>
        <v>#NAME?</v>
      </c>
      <c r="BJ323" s="153" t="e">
        <f aca="false">_xlfn.xlookup(BG323,A:A,N:N)+_xlfn.xlookup(BG323,A:A,O:O)</f>
        <v>#NAME?</v>
      </c>
      <c r="BK323" s="153" t="e">
        <f aca="false">_xlfn.xlookup(BG323,A272:A1266,AB272:AB1266)</f>
        <v>#NAME?</v>
      </c>
      <c r="BN323" s="146"/>
      <c r="BO323" s="150"/>
      <c r="BQ323" s="153" t="str">
        <f aca="false">IF(VALUE(MONTH(C323))&lt;10,YEAR(C323)&amp;"-0"&amp;MONTH(C323),YEAR(C323)&amp;"-"&amp;MONTH(C323))</f>
        <v>1900-01</v>
      </c>
      <c r="BR323" s="153" t="n">
        <f aca="false">J323</f>
        <v>0</v>
      </c>
      <c r="BS323" s="153" t="n">
        <f aca="false">IF(ISNUMBER(FIND("-", BR323)), LEFT(BR323, FIND("-", BR323) - 1), BR323)</f>
        <v>0</v>
      </c>
      <c r="BT323" s="189" t="n">
        <f aca="false">L323-M323+O323</f>
        <v>0</v>
      </c>
    </row>
    <row r="324" s="153" customFormat="true" ht="15" hidden="false" customHeight="false" outlineLevel="0" collapsed="false">
      <c r="AN324" s="153" t="e">
        <v>#NAME?</v>
      </c>
      <c r="AO324" s="153" t="e">
        <f aca="false">_xlfn.xlookup(AN324,A:A,F:F)</f>
        <v>#NAME?</v>
      </c>
      <c r="AP324" s="153" t="e">
        <f aca="false">_xlfn.xlookup(AN324,A:A,J:J)</f>
        <v>#NAME?</v>
      </c>
      <c r="AQ324" s="153" t="e">
        <f aca="false">_xlfn.xlookup(AN324,A:A,N:N)+_xlfn.xlookup(AN324,A:A,O:O)</f>
        <v>#NAME?</v>
      </c>
      <c r="AR324" s="150" t="e">
        <f aca="false">_xlfn.xlookup(AN324,A:A,AH:AH)</f>
        <v>#NAME?</v>
      </c>
      <c r="AS324" s="150" t="e">
        <f aca="false">_xlfn.xlookup(AN324,A:A,S:S)</f>
        <v>#NAME?</v>
      </c>
      <c r="AT324" s="150" t="e">
        <f aca="false">_xlfn.xlookup(AN324,A:A,AE:AE)</f>
        <v>#NAME?</v>
      </c>
      <c r="AU324" s="150" t="e">
        <f aca="false">_xlfn.xlookup(AN324,A:A,AF:AF)</f>
        <v>#NAME?</v>
      </c>
      <c r="AX324" s="146"/>
      <c r="AY324" s="150"/>
      <c r="AZ324" s="150"/>
      <c r="BA324" s="150"/>
      <c r="BB324" s="146"/>
      <c r="BC324" s="146"/>
      <c r="BD324" s="151"/>
      <c r="BE324" s="146"/>
      <c r="BF324" s="146"/>
      <c r="BH324" s="152" t="e">
        <f aca="false">_xlfn.xlookup(BG324,A:A,F:F)</f>
        <v>#NAME?</v>
      </c>
      <c r="BI324" s="153" t="e">
        <f aca="false">_xlfn.xlookup(BG324,A:A,J:J)</f>
        <v>#NAME?</v>
      </c>
      <c r="BJ324" s="153" t="e">
        <f aca="false">_xlfn.xlookup(BG324,A:A,N:N)+_xlfn.xlookup(BG324,A:A,O:O)</f>
        <v>#NAME?</v>
      </c>
      <c r="BK324" s="153" t="e">
        <f aca="false">_xlfn.xlookup(BG324,A273:A1267,AB273:AB1267)</f>
        <v>#NAME?</v>
      </c>
      <c r="BN324" s="146"/>
      <c r="BO324" s="150"/>
      <c r="BQ324" s="153" t="str">
        <f aca="false">IF(VALUE(MONTH(C324))&lt;10,YEAR(C324)&amp;"-0"&amp;MONTH(C324),YEAR(C324)&amp;"-"&amp;MONTH(C324))</f>
        <v>1900-01</v>
      </c>
      <c r="BR324" s="153" t="n">
        <f aca="false">J324</f>
        <v>0</v>
      </c>
      <c r="BS324" s="153" t="n">
        <f aca="false">IF(ISNUMBER(FIND("-", BR324)), LEFT(BR324, FIND("-", BR324) - 1), BR324)</f>
        <v>0</v>
      </c>
      <c r="BT324" s="189" t="n">
        <f aca="false">L324-M324+O324</f>
        <v>0</v>
      </c>
    </row>
    <row r="325" s="153" customFormat="true" ht="15" hidden="false" customHeight="false" outlineLevel="0" collapsed="false">
      <c r="AN325" s="153" t="e">
        <v>#NAME?</v>
      </c>
      <c r="AO325" s="153" t="e">
        <f aca="false">_xlfn.xlookup(AN325,A:A,F:F)</f>
        <v>#NAME?</v>
      </c>
      <c r="AP325" s="153" t="e">
        <f aca="false">_xlfn.xlookup(AN325,A:A,J:J)</f>
        <v>#NAME?</v>
      </c>
      <c r="AQ325" s="153" t="e">
        <f aca="false">_xlfn.xlookup(AN325,A:A,N:N)+_xlfn.xlookup(AN325,A:A,O:O)</f>
        <v>#NAME?</v>
      </c>
      <c r="AR325" s="150" t="e">
        <f aca="false">_xlfn.xlookup(AN325,A:A,AH:AH)</f>
        <v>#NAME?</v>
      </c>
      <c r="AS325" s="150" t="e">
        <f aca="false">_xlfn.xlookup(AN325,A:A,S:S)</f>
        <v>#NAME?</v>
      </c>
      <c r="AT325" s="150" t="e">
        <f aca="false">_xlfn.xlookup(AN325,A:A,AE:AE)</f>
        <v>#NAME?</v>
      </c>
      <c r="AU325" s="150" t="e">
        <f aca="false">_xlfn.xlookup(AN325,A:A,AF:AF)</f>
        <v>#NAME?</v>
      </c>
      <c r="AX325" s="146"/>
      <c r="AY325" s="150"/>
      <c r="AZ325" s="150"/>
      <c r="BA325" s="150"/>
      <c r="BB325" s="146"/>
      <c r="BC325" s="146"/>
      <c r="BD325" s="151"/>
      <c r="BE325" s="146"/>
      <c r="BF325" s="146"/>
      <c r="BH325" s="152" t="e">
        <f aca="false">_xlfn.xlookup(BG325,A:A,F:F)</f>
        <v>#NAME?</v>
      </c>
      <c r="BI325" s="153" t="e">
        <f aca="false">_xlfn.xlookup(BG325,A:A,J:J)</f>
        <v>#NAME?</v>
      </c>
      <c r="BJ325" s="153" t="e">
        <f aca="false">_xlfn.xlookup(BG325,A:A,N:N)+_xlfn.xlookup(BG325,A:A,O:O)</f>
        <v>#NAME?</v>
      </c>
      <c r="BK325" s="153" t="e">
        <f aca="false">_xlfn.xlookup(BG325,A274:A1268,AB274:AB1268)</f>
        <v>#NAME?</v>
      </c>
      <c r="BN325" s="146"/>
      <c r="BO325" s="150"/>
      <c r="BQ325" s="153" t="str">
        <f aca="false">IF(VALUE(MONTH(C325))&lt;10,YEAR(C325)&amp;"-0"&amp;MONTH(C325),YEAR(C325)&amp;"-"&amp;MONTH(C325))</f>
        <v>1900-01</v>
      </c>
      <c r="BR325" s="153" t="n">
        <f aca="false">J325</f>
        <v>0</v>
      </c>
      <c r="BS325" s="153" t="n">
        <f aca="false">IF(ISNUMBER(FIND("-", BR325)), LEFT(BR325, FIND("-", BR325) - 1), BR325)</f>
        <v>0</v>
      </c>
      <c r="BT325" s="189" t="n">
        <f aca="false">L325-M325+O325</f>
        <v>0</v>
      </c>
    </row>
    <row r="326" s="153" customFormat="true" ht="15" hidden="false" customHeight="false" outlineLevel="0" collapsed="false">
      <c r="AN326" s="153" t="e">
        <v>#NAME?</v>
      </c>
      <c r="AO326" s="153" t="e">
        <f aca="false">_xlfn.xlookup(AN326,A:A,F:F)</f>
        <v>#NAME?</v>
      </c>
      <c r="AP326" s="153" t="e">
        <f aca="false">_xlfn.xlookup(AN326,A:A,J:J)</f>
        <v>#NAME?</v>
      </c>
      <c r="AQ326" s="153" t="e">
        <f aca="false">_xlfn.xlookup(AN326,A:A,N:N)+_xlfn.xlookup(AN326,A:A,O:O)</f>
        <v>#NAME?</v>
      </c>
      <c r="AR326" s="150" t="e">
        <f aca="false">_xlfn.xlookup(AN326,A:A,AH:AH)</f>
        <v>#NAME?</v>
      </c>
      <c r="AS326" s="150" t="e">
        <f aca="false">_xlfn.xlookup(AN326,A:A,S:S)</f>
        <v>#NAME?</v>
      </c>
      <c r="AT326" s="150" t="e">
        <f aca="false">_xlfn.xlookup(AN326,A:A,AE:AE)</f>
        <v>#NAME?</v>
      </c>
      <c r="AU326" s="150" t="e">
        <f aca="false">_xlfn.xlookup(AN326,A:A,AF:AF)</f>
        <v>#NAME?</v>
      </c>
      <c r="AX326" s="146"/>
      <c r="AY326" s="150"/>
      <c r="AZ326" s="150"/>
      <c r="BA326" s="150"/>
      <c r="BB326" s="146"/>
      <c r="BC326" s="146"/>
      <c r="BD326" s="151"/>
      <c r="BE326" s="146"/>
      <c r="BF326" s="146"/>
      <c r="BH326" s="152" t="e">
        <f aca="false">_xlfn.xlookup(BG326,A:A,F:F)</f>
        <v>#NAME?</v>
      </c>
      <c r="BI326" s="153" t="e">
        <f aca="false">_xlfn.xlookup(BG326,A:A,J:J)</f>
        <v>#NAME?</v>
      </c>
      <c r="BJ326" s="153" t="e">
        <f aca="false">_xlfn.xlookup(BG326,A:A,N:N)+_xlfn.xlookup(BG326,A:A,O:O)</f>
        <v>#NAME?</v>
      </c>
      <c r="BK326" s="153" t="e">
        <f aca="false">_xlfn.xlookup(BG326,A275:A1269,AB275:AB1269)</f>
        <v>#NAME?</v>
      </c>
      <c r="BN326" s="146"/>
      <c r="BO326" s="150"/>
      <c r="BQ326" s="153" t="str">
        <f aca="false">IF(VALUE(MONTH(C326))&lt;10,YEAR(C326)&amp;"-0"&amp;MONTH(C326),YEAR(C326)&amp;"-"&amp;MONTH(C326))</f>
        <v>1900-01</v>
      </c>
      <c r="BR326" s="153" t="n">
        <f aca="false">J326</f>
        <v>0</v>
      </c>
      <c r="BS326" s="153" t="n">
        <f aca="false">IF(ISNUMBER(FIND("-", BR326)), LEFT(BR326, FIND("-", BR326) - 1), BR326)</f>
        <v>0</v>
      </c>
      <c r="BT326" s="189" t="n">
        <f aca="false">L326-M326+O326</f>
        <v>0</v>
      </c>
    </row>
    <row r="327" s="153" customFormat="true" ht="15" hidden="false" customHeight="false" outlineLevel="0" collapsed="false">
      <c r="AN327" s="153" t="e">
        <v>#NAME?</v>
      </c>
      <c r="AO327" s="153" t="e">
        <f aca="false">_xlfn.xlookup(AN327,A:A,F:F)</f>
        <v>#NAME?</v>
      </c>
      <c r="AP327" s="153" t="e">
        <f aca="false">_xlfn.xlookup(AN327,A:A,J:J)</f>
        <v>#NAME?</v>
      </c>
      <c r="AQ327" s="153" t="e">
        <f aca="false">_xlfn.xlookup(AN327,A:A,N:N)+_xlfn.xlookup(AN327,A:A,O:O)</f>
        <v>#NAME?</v>
      </c>
      <c r="AR327" s="150" t="e">
        <f aca="false">_xlfn.xlookup(AN327,A:A,AH:AH)</f>
        <v>#NAME?</v>
      </c>
      <c r="AS327" s="150" t="e">
        <f aca="false">_xlfn.xlookup(AN327,A:A,S:S)</f>
        <v>#NAME?</v>
      </c>
      <c r="AT327" s="150" t="e">
        <f aca="false">_xlfn.xlookup(AN327,A:A,AE:AE)</f>
        <v>#NAME?</v>
      </c>
      <c r="AU327" s="150" t="e">
        <f aca="false">_xlfn.xlookup(AN327,A:A,AF:AF)</f>
        <v>#NAME?</v>
      </c>
      <c r="AX327" s="146"/>
      <c r="AY327" s="150"/>
      <c r="AZ327" s="150"/>
      <c r="BA327" s="150"/>
      <c r="BB327" s="146"/>
      <c r="BC327" s="146"/>
      <c r="BD327" s="151"/>
      <c r="BE327" s="146"/>
      <c r="BF327" s="146"/>
      <c r="BH327" s="152" t="e">
        <f aca="false">_xlfn.xlookup(BG327,A:A,F:F)</f>
        <v>#NAME?</v>
      </c>
      <c r="BI327" s="153" t="e">
        <f aca="false">_xlfn.xlookup(BG327,A:A,J:J)</f>
        <v>#NAME?</v>
      </c>
      <c r="BJ327" s="153" t="e">
        <f aca="false">_xlfn.xlookup(BG327,A:A,N:N)+_xlfn.xlookup(BG327,A:A,O:O)</f>
        <v>#NAME?</v>
      </c>
      <c r="BK327" s="153" t="e">
        <f aca="false">_xlfn.xlookup(BG327,A276:A1270,AB276:AB1270)</f>
        <v>#NAME?</v>
      </c>
      <c r="BN327" s="146"/>
      <c r="BO327" s="150"/>
      <c r="BQ327" s="153" t="str">
        <f aca="false">IF(VALUE(MONTH(C327))&lt;10,YEAR(C327)&amp;"-0"&amp;MONTH(C327),YEAR(C327)&amp;"-"&amp;MONTH(C327))</f>
        <v>1900-01</v>
      </c>
      <c r="BR327" s="153" t="n">
        <f aca="false">J327</f>
        <v>0</v>
      </c>
      <c r="BS327" s="153" t="n">
        <f aca="false">IF(ISNUMBER(FIND("-", BR327)), LEFT(BR327, FIND("-", BR327) - 1), BR327)</f>
        <v>0</v>
      </c>
      <c r="BT327" s="189" t="n">
        <f aca="false">L327-M327+O327</f>
        <v>0</v>
      </c>
    </row>
    <row r="328" s="153" customFormat="true" ht="15" hidden="false" customHeight="false" outlineLevel="0" collapsed="false">
      <c r="AN328" s="153" t="e">
        <v>#NAME?</v>
      </c>
      <c r="AO328" s="153" t="e">
        <f aca="false">_xlfn.xlookup(AN328,A:A,F:F)</f>
        <v>#NAME?</v>
      </c>
      <c r="AP328" s="153" t="e">
        <f aca="false">_xlfn.xlookup(AN328,A:A,J:J)</f>
        <v>#NAME?</v>
      </c>
      <c r="AQ328" s="153" t="e">
        <f aca="false">_xlfn.xlookup(AN328,A:A,N:N)+_xlfn.xlookup(AN328,A:A,O:O)</f>
        <v>#NAME?</v>
      </c>
      <c r="AR328" s="150" t="e">
        <f aca="false">_xlfn.xlookup(AN328,A:A,AH:AH)</f>
        <v>#NAME?</v>
      </c>
      <c r="AS328" s="150" t="e">
        <f aca="false">_xlfn.xlookup(AN328,A:A,S:S)</f>
        <v>#NAME?</v>
      </c>
      <c r="AT328" s="150" t="e">
        <f aca="false">_xlfn.xlookup(AN328,A:A,AE:AE)</f>
        <v>#NAME?</v>
      </c>
      <c r="AU328" s="150" t="e">
        <f aca="false">_xlfn.xlookup(AN328,A:A,AF:AF)</f>
        <v>#NAME?</v>
      </c>
      <c r="AX328" s="146"/>
      <c r="AY328" s="150"/>
      <c r="AZ328" s="150"/>
      <c r="BA328" s="150"/>
      <c r="BB328" s="146"/>
      <c r="BC328" s="146"/>
      <c r="BD328" s="151"/>
      <c r="BE328" s="146"/>
      <c r="BF328" s="146"/>
      <c r="BH328" s="152" t="e">
        <f aca="false">_xlfn.xlookup(BG328,A:A,F:F)</f>
        <v>#NAME?</v>
      </c>
      <c r="BI328" s="153" t="e">
        <f aca="false">_xlfn.xlookup(BG328,A:A,J:J)</f>
        <v>#NAME?</v>
      </c>
      <c r="BJ328" s="153" t="e">
        <f aca="false">_xlfn.xlookup(BG328,A:A,N:N)+_xlfn.xlookup(BG328,A:A,O:O)</f>
        <v>#NAME?</v>
      </c>
      <c r="BK328" s="153" t="e">
        <f aca="false">_xlfn.xlookup(BG328,A277:A1271,AB277:AB1271)</f>
        <v>#NAME?</v>
      </c>
      <c r="BN328" s="146"/>
      <c r="BO328" s="150"/>
      <c r="BQ328" s="153" t="str">
        <f aca="false">IF(VALUE(MONTH(C328))&lt;10,YEAR(C328)&amp;"-0"&amp;MONTH(C328),YEAR(C328)&amp;"-"&amp;MONTH(C328))</f>
        <v>1900-01</v>
      </c>
      <c r="BR328" s="153" t="n">
        <f aca="false">J328</f>
        <v>0</v>
      </c>
      <c r="BS328" s="153" t="n">
        <f aca="false">IF(ISNUMBER(FIND("-", BR328)), LEFT(BR328, FIND("-", BR328) - 1), BR328)</f>
        <v>0</v>
      </c>
      <c r="BT328" s="189" t="n">
        <f aca="false">L328-M328+O328</f>
        <v>0</v>
      </c>
    </row>
    <row r="329" s="153" customFormat="true" ht="15" hidden="false" customHeight="false" outlineLevel="0" collapsed="false">
      <c r="AN329" s="153" t="e">
        <v>#NAME?</v>
      </c>
      <c r="AO329" s="153" t="e">
        <f aca="false">_xlfn.xlookup(AN329,A:A,F:F)</f>
        <v>#NAME?</v>
      </c>
      <c r="AP329" s="153" t="e">
        <f aca="false">_xlfn.xlookup(AN329,A:A,J:J)</f>
        <v>#NAME?</v>
      </c>
      <c r="AQ329" s="153" t="e">
        <f aca="false">_xlfn.xlookup(AN329,A:A,N:N)+_xlfn.xlookup(AN329,A:A,O:O)</f>
        <v>#NAME?</v>
      </c>
      <c r="AR329" s="150" t="e">
        <f aca="false">_xlfn.xlookup(AN329,A:A,AH:AH)</f>
        <v>#NAME?</v>
      </c>
      <c r="AS329" s="150" t="e">
        <f aca="false">_xlfn.xlookup(AN329,A:A,S:S)</f>
        <v>#NAME?</v>
      </c>
      <c r="AT329" s="150" t="e">
        <f aca="false">_xlfn.xlookup(AN329,A:A,AE:AE)</f>
        <v>#NAME?</v>
      </c>
      <c r="AU329" s="150" t="e">
        <f aca="false">_xlfn.xlookup(AN329,A:A,AF:AF)</f>
        <v>#NAME?</v>
      </c>
      <c r="AX329" s="146"/>
      <c r="AY329" s="150"/>
      <c r="AZ329" s="150"/>
      <c r="BA329" s="150"/>
      <c r="BB329" s="146"/>
      <c r="BC329" s="146"/>
      <c r="BD329" s="151"/>
      <c r="BE329" s="146"/>
      <c r="BF329" s="146"/>
      <c r="BH329" s="152" t="e">
        <f aca="false">_xlfn.xlookup(BG329,A:A,F:F)</f>
        <v>#NAME?</v>
      </c>
      <c r="BI329" s="153" t="e">
        <f aca="false">_xlfn.xlookup(BG329,A:A,J:J)</f>
        <v>#NAME?</v>
      </c>
      <c r="BJ329" s="153" t="e">
        <f aca="false">_xlfn.xlookup(BG329,A:A,N:N)+_xlfn.xlookup(BG329,A:A,O:O)</f>
        <v>#NAME?</v>
      </c>
      <c r="BK329" s="153" t="e">
        <f aca="false">_xlfn.xlookup(BG329,A278:A1272,AB278:AB1272)</f>
        <v>#NAME?</v>
      </c>
      <c r="BN329" s="146"/>
      <c r="BO329" s="150"/>
      <c r="BQ329" s="153" t="str">
        <f aca="false">IF(VALUE(MONTH(C329))&lt;10,YEAR(C329)&amp;"-0"&amp;MONTH(C329),YEAR(C329)&amp;"-"&amp;MONTH(C329))</f>
        <v>1900-01</v>
      </c>
      <c r="BR329" s="153" t="n">
        <f aca="false">J329</f>
        <v>0</v>
      </c>
      <c r="BS329" s="153" t="n">
        <f aca="false">IF(ISNUMBER(FIND("-", BR329)), LEFT(BR329, FIND("-", BR329) - 1), BR329)</f>
        <v>0</v>
      </c>
      <c r="BT329" s="189" t="n">
        <f aca="false">L329-M329+O329</f>
        <v>0</v>
      </c>
    </row>
    <row r="330" s="153" customFormat="true" ht="15" hidden="false" customHeight="false" outlineLevel="0" collapsed="false">
      <c r="AN330" s="153" t="e">
        <v>#NAME?</v>
      </c>
      <c r="AO330" s="153" t="e">
        <f aca="false">_xlfn.xlookup(AN330,A:A,F:F)</f>
        <v>#NAME?</v>
      </c>
      <c r="AP330" s="153" t="e">
        <f aca="false">_xlfn.xlookup(AN330,A:A,J:J)</f>
        <v>#NAME?</v>
      </c>
      <c r="AQ330" s="153" t="e">
        <f aca="false">_xlfn.xlookup(AN330,A:A,N:N)+_xlfn.xlookup(AN330,A:A,O:O)</f>
        <v>#NAME?</v>
      </c>
      <c r="AR330" s="150" t="e">
        <f aca="false">_xlfn.xlookup(AN330,A:A,AH:AH)</f>
        <v>#NAME?</v>
      </c>
      <c r="AS330" s="150" t="e">
        <f aca="false">_xlfn.xlookup(AN330,A:A,S:S)</f>
        <v>#NAME?</v>
      </c>
      <c r="AT330" s="150" t="e">
        <f aca="false">_xlfn.xlookup(AN330,A:A,AE:AE)</f>
        <v>#NAME?</v>
      </c>
      <c r="AU330" s="150" t="e">
        <f aca="false">_xlfn.xlookup(AN330,A:A,AF:AF)</f>
        <v>#NAME?</v>
      </c>
      <c r="AX330" s="146"/>
      <c r="AY330" s="150"/>
      <c r="AZ330" s="150"/>
      <c r="BA330" s="150"/>
      <c r="BB330" s="146"/>
      <c r="BC330" s="146"/>
      <c r="BD330" s="151"/>
      <c r="BE330" s="146"/>
      <c r="BF330" s="146"/>
      <c r="BH330" s="152" t="e">
        <f aca="false">_xlfn.xlookup(BG330,A:A,F:F)</f>
        <v>#NAME?</v>
      </c>
      <c r="BI330" s="153" t="e">
        <f aca="false">_xlfn.xlookup(BG330,A:A,J:J)</f>
        <v>#NAME?</v>
      </c>
      <c r="BJ330" s="153" t="e">
        <f aca="false">_xlfn.xlookup(BG330,A:A,N:N)+_xlfn.xlookup(BG330,A:A,O:O)</f>
        <v>#NAME?</v>
      </c>
      <c r="BK330" s="153" t="e">
        <f aca="false">_xlfn.xlookup(BG330,A279:A1273,AB279:AB1273)</f>
        <v>#NAME?</v>
      </c>
      <c r="BN330" s="146"/>
      <c r="BO330" s="150"/>
      <c r="BQ330" s="153" t="str">
        <f aca="false">IF(VALUE(MONTH(C330))&lt;10,YEAR(C330)&amp;"-0"&amp;MONTH(C330),YEAR(C330)&amp;"-"&amp;MONTH(C330))</f>
        <v>1900-01</v>
      </c>
      <c r="BR330" s="153" t="n">
        <f aca="false">J330</f>
        <v>0</v>
      </c>
      <c r="BS330" s="153" t="n">
        <f aca="false">IF(ISNUMBER(FIND("-", BR330)), LEFT(BR330, FIND("-", BR330) - 1), BR330)</f>
        <v>0</v>
      </c>
      <c r="BT330" s="189" t="n">
        <f aca="false">L330-M330+O330</f>
        <v>0</v>
      </c>
    </row>
    <row r="331" s="153" customFormat="true" ht="15" hidden="false" customHeight="false" outlineLevel="0" collapsed="false">
      <c r="AN331" s="153" t="e">
        <v>#NAME?</v>
      </c>
      <c r="AO331" s="153" t="e">
        <f aca="false">_xlfn.xlookup(AN331,A:A,F:F)</f>
        <v>#NAME?</v>
      </c>
      <c r="AP331" s="153" t="e">
        <f aca="false">_xlfn.xlookup(AN331,A:A,J:J)</f>
        <v>#NAME?</v>
      </c>
      <c r="AQ331" s="153" t="e">
        <f aca="false">_xlfn.xlookup(AN331,A:A,N:N)+_xlfn.xlookup(AN331,A:A,O:O)</f>
        <v>#NAME?</v>
      </c>
      <c r="AR331" s="150" t="e">
        <f aca="false">_xlfn.xlookup(AN331,A:A,AH:AH)</f>
        <v>#NAME?</v>
      </c>
      <c r="AS331" s="150" t="e">
        <f aca="false">_xlfn.xlookup(AN331,A:A,S:S)</f>
        <v>#NAME?</v>
      </c>
      <c r="AT331" s="150" t="e">
        <f aca="false">_xlfn.xlookup(AN331,A:A,AE:AE)</f>
        <v>#NAME?</v>
      </c>
      <c r="AU331" s="150" t="e">
        <f aca="false">_xlfn.xlookup(AN331,A:A,AF:AF)</f>
        <v>#NAME?</v>
      </c>
      <c r="AX331" s="146"/>
      <c r="AY331" s="150"/>
      <c r="AZ331" s="150"/>
      <c r="BA331" s="150"/>
      <c r="BB331" s="146"/>
      <c r="BC331" s="146"/>
      <c r="BD331" s="151"/>
      <c r="BE331" s="146"/>
      <c r="BF331" s="146"/>
      <c r="BH331" s="152" t="e">
        <f aca="false">_xlfn.xlookup(BG331,A:A,F:F)</f>
        <v>#NAME?</v>
      </c>
      <c r="BI331" s="153" t="e">
        <f aca="false">_xlfn.xlookup(BG331,A:A,J:J)</f>
        <v>#NAME?</v>
      </c>
      <c r="BJ331" s="153" t="e">
        <f aca="false">_xlfn.xlookup(BG331,A:A,N:N)+_xlfn.xlookup(BG331,A:A,O:O)</f>
        <v>#NAME?</v>
      </c>
      <c r="BK331" s="153" t="e">
        <f aca="false">_xlfn.xlookup(BG331,A280:A1274,AB280:AB1274)</f>
        <v>#NAME?</v>
      </c>
      <c r="BN331" s="146"/>
      <c r="BO331" s="150"/>
      <c r="BQ331" s="153" t="str">
        <f aca="false">IF(VALUE(MONTH(C331))&lt;10,YEAR(C331)&amp;"-0"&amp;MONTH(C331),YEAR(C331)&amp;"-"&amp;MONTH(C331))</f>
        <v>1900-01</v>
      </c>
      <c r="BR331" s="153" t="n">
        <f aca="false">J331</f>
        <v>0</v>
      </c>
      <c r="BS331" s="153" t="n">
        <f aca="false">IF(ISNUMBER(FIND("-", BR331)), LEFT(BR331, FIND("-", BR331) - 1), BR331)</f>
        <v>0</v>
      </c>
      <c r="BT331" s="189" t="n">
        <f aca="false">L331-M331+O331</f>
        <v>0</v>
      </c>
    </row>
    <row r="332" s="153" customFormat="true" ht="15" hidden="false" customHeight="false" outlineLevel="0" collapsed="false">
      <c r="AN332" s="153" t="e">
        <v>#NAME?</v>
      </c>
      <c r="AO332" s="153" t="e">
        <f aca="false">_xlfn.xlookup(AN332,A:A,F:F)</f>
        <v>#NAME?</v>
      </c>
      <c r="AP332" s="153" t="e">
        <f aca="false">_xlfn.xlookup(AN332,A:A,J:J)</f>
        <v>#NAME?</v>
      </c>
      <c r="AQ332" s="153" t="e">
        <f aca="false">_xlfn.xlookup(AN332,A:A,N:N)+_xlfn.xlookup(AN332,A:A,O:O)</f>
        <v>#NAME?</v>
      </c>
      <c r="AR332" s="150" t="e">
        <f aca="false">_xlfn.xlookup(AN332,A:A,AH:AH)</f>
        <v>#NAME?</v>
      </c>
      <c r="AS332" s="150" t="e">
        <f aca="false">_xlfn.xlookup(AN332,A:A,S:S)</f>
        <v>#NAME?</v>
      </c>
      <c r="AT332" s="150" t="e">
        <f aca="false">_xlfn.xlookup(AN332,A:A,AE:AE)</f>
        <v>#NAME?</v>
      </c>
      <c r="AU332" s="150" t="e">
        <f aca="false">_xlfn.xlookup(AN332,A:A,AF:AF)</f>
        <v>#NAME?</v>
      </c>
      <c r="AX332" s="146"/>
      <c r="AY332" s="150"/>
      <c r="AZ332" s="150"/>
      <c r="BA332" s="150"/>
      <c r="BB332" s="146"/>
      <c r="BC332" s="146"/>
      <c r="BD332" s="151"/>
      <c r="BE332" s="146"/>
      <c r="BF332" s="146"/>
      <c r="BH332" s="152" t="e">
        <f aca="false">_xlfn.xlookup(BG332,A:A,F:F)</f>
        <v>#NAME?</v>
      </c>
      <c r="BI332" s="153" t="e">
        <f aca="false">_xlfn.xlookup(BG332,A:A,J:J)</f>
        <v>#NAME?</v>
      </c>
      <c r="BJ332" s="153" t="e">
        <f aca="false">_xlfn.xlookup(BG332,A:A,N:N)+_xlfn.xlookup(BG332,A:A,O:O)</f>
        <v>#NAME?</v>
      </c>
      <c r="BK332" s="153" t="e">
        <f aca="false">_xlfn.xlookup(BG332,A281:A1275,AB281:AB1275)</f>
        <v>#NAME?</v>
      </c>
      <c r="BN332" s="146"/>
      <c r="BO332" s="150"/>
      <c r="BQ332" s="153" t="str">
        <f aca="false">IF(VALUE(MONTH(C332))&lt;10,YEAR(C332)&amp;"-0"&amp;MONTH(C332),YEAR(C332)&amp;"-"&amp;MONTH(C332))</f>
        <v>1900-01</v>
      </c>
      <c r="BR332" s="153" t="n">
        <f aca="false">J332</f>
        <v>0</v>
      </c>
      <c r="BS332" s="153" t="n">
        <f aca="false">IF(ISNUMBER(FIND("-", BR332)), LEFT(BR332, FIND("-", BR332) - 1), BR332)</f>
        <v>0</v>
      </c>
      <c r="BT332" s="189" t="n">
        <f aca="false">L332-M332+O332</f>
        <v>0</v>
      </c>
    </row>
    <row r="333" s="153" customFormat="true" ht="15" hidden="false" customHeight="false" outlineLevel="0" collapsed="false">
      <c r="AN333" s="153" t="e">
        <v>#NAME?</v>
      </c>
      <c r="AO333" s="153" t="e">
        <f aca="false">_xlfn.xlookup(AN333,A:A,F:F)</f>
        <v>#NAME?</v>
      </c>
      <c r="AP333" s="153" t="e">
        <f aca="false">_xlfn.xlookup(AN333,A:A,J:J)</f>
        <v>#NAME?</v>
      </c>
      <c r="AQ333" s="153" t="e">
        <f aca="false">_xlfn.xlookup(AN333,A:A,N:N)+_xlfn.xlookup(AN333,A:A,O:O)</f>
        <v>#NAME?</v>
      </c>
      <c r="AR333" s="150" t="e">
        <f aca="false">_xlfn.xlookup(AN333,A:A,AH:AH)</f>
        <v>#NAME?</v>
      </c>
      <c r="AS333" s="150" t="e">
        <f aca="false">_xlfn.xlookup(AN333,A:A,S:S)</f>
        <v>#NAME?</v>
      </c>
      <c r="AT333" s="150" t="e">
        <f aca="false">_xlfn.xlookup(AN333,A:A,AE:AE)</f>
        <v>#NAME?</v>
      </c>
      <c r="AU333" s="150" t="e">
        <f aca="false">_xlfn.xlookup(AN333,A:A,AF:AF)</f>
        <v>#NAME?</v>
      </c>
      <c r="AX333" s="146"/>
      <c r="AY333" s="150"/>
      <c r="AZ333" s="150"/>
      <c r="BA333" s="150"/>
      <c r="BB333" s="146"/>
      <c r="BC333" s="146"/>
      <c r="BD333" s="151"/>
      <c r="BE333" s="146"/>
      <c r="BF333" s="146"/>
      <c r="BH333" s="152" t="e">
        <f aca="false">_xlfn.xlookup(BG333,A:A,F:F)</f>
        <v>#NAME?</v>
      </c>
      <c r="BI333" s="153" t="e">
        <f aca="false">_xlfn.xlookup(BG333,A:A,J:J)</f>
        <v>#NAME?</v>
      </c>
      <c r="BJ333" s="153" t="e">
        <f aca="false">_xlfn.xlookup(BG333,A:A,N:N)+_xlfn.xlookup(BG333,A:A,O:O)</f>
        <v>#NAME?</v>
      </c>
      <c r="BK333" s="153" t="e">
        <f aca="false">_xlfn.xlookup(BG333,A282:A1276,AB282:AB1276)</f>
        <v>#NAME?</v>
      </c>
      <c r="BN333" s="146"/>
      <c r="BO333" s="150"/>
      <c r="BQ333" s="153" t="str">
        <f aca="false">IF(VALUE(MONTH(C333))&lt;10,YEAR(C333)&amp;"-0"&amp;MONTH(C333),YEAR(C333)&amp;"-"&amp;MONTH(C333))</f>
        <v>1900-01</v>
      </c>
      <c r="BR333" s="153" t="n">
        <f aca="false">J333</f>
        <v>0</v>
      </c>
      <c r="BS333" s="153" t="n">
        <f aca="false">IF(ISNUMBER(FIND("-", BR333)), LEFT(BR333, FIND("-", BR333) - 1), BR333)</f>
        <v>0</v>
      </c>
      <c r="BT333" s="189" t="n">
        <f aca="false">L333-M333+O333</f>
        <v>0</v>
      </c>
    </row>
    <row r="334" s="153" customFormat="true" ht="15" hidden="false" customHeight="false" outlineLevel="0" collapsed="false">
      <c r="AN334" s="153" t="e">
        <v>#NAME?</v>
      </c>
      <c r="AO334" s="153" t="e">
        <f aca="false">_xlfn.xlookup(AN334,A:A,F:F)</f>
        <v>#NAME?</v>
      </c>
      <c r="AP334" s="153" t="e">
        <f aca="false">_xlfn.xlookup(AN334,A:A,J:J)</f>
        <v>#NAME?</v>
      </c>
      <c r="AQ334" s="153" t="e">
        <f aca="false">_xlfn.xlookup(AN334,A:A,N:N)+_xlfn.xlookup(AN334,A:A,O:O)</f>
        <v>#NAME?</v>
      </c>
      <c r="AR334" s="150" t="e">
        <f aca="false">_xlfn.xlookup(AN334,A:A,AH:AH)</f>
        <v>#NAME?</v>
      </c>
      <c r="AS334" s="150" t="e">
        <f aca="false">_xlfn.xlookup(AN334,A:A,S:S)</f>
        <v>#NAME?</v>
      </c>
      <c r="AT334" s="150" t="e">
        <f aca="false">_xlfn.xlookup(AN334,A:A,AE:AE)</f>
        <v>#NAME?</v>
      </c>
      <c r="AU334" s="150" t="e">
        <f aca="false">_xlfn.xlookup(AN334,A:A,AF:AF)</f>
        <v>#NAME?</v>
      </c>
      <c r="AX334" s="146"/>
      <c r="AY334" s="150"/>
      <c r="AZ334" s="150"/>
      <c r="BA334" s="150"/>
      <c r="BB334" s="146"/>
      <c r="BC334" s="146"/>
      <c r="BD334" s="151"/>
      <c r="BE334" s="146"/>
      <c r="BF334" s="146"/>
      <c r="BH334" s="152" t="e">
        <f aca="false">_xlfn.xlookup(BG334,A:A,F:F)</f>
        <v>#NAME?</v>
      </c>
      <c r="BI334" s="153" t="e">
        <f aca="false">_xlfn.xlookup(BG334,A:A,J:J)</f>
        <v>#NAME?</v>
      </c>
      <c r="BJ334" s="153" t="e">
        <f aca="false">_xlfn.xlookup(BG334,A:A,N:N)+_xlfn.xlookup(BG334,A:A,O:O)</f>
        <v>#NAME?</v>
      </c>
      <c r="BK334" s="153" t="e">
        <f aca="false">_xlfn.xlookup(BG334,A283:A1277,AB283:AB1277)</f>
        <v>#NAME?</v>
      </c>
      <c r="BN334" s="146"/>
      <c r="BO334" s="150"/>
      <c r="BQ334" s="153" t="str">
        <f aca="false">IF(VALUE(MONTH(C334))&lt;10,YEAR(C334)&amp;"-0"&amp;MONTH(C334),YEAR(C334)&amp;"-"&amp;MONTH(C334))</f>
        <v>1900-01</v>
      </c>
      <c r="BR334" s="153" t="n">
        <f aca="false">J334</f>
        <v>0</v>
      </c>
      <c r="BS334" s="153" t="n">
        <f aca="false">IF(ISNUMBER(FIND("-", BR334)), LEFT(BR334, FIND("-", BR334) - 1), BR334)</f>
        <v>0</v>
      </c>
      <c r="BT334" s="189" t="n">
        <f aca="false">L334-M334+O334</f>
        <v>0</v>
      </c>
    </row>
    <row r="335" s="153" customFormat="true" ht="15" hidden="false" customHeight="false" outlineLevel="0" collapsed="false">
      <c r="AN335" s="153" t="e">
        <v>#NAME?</v>
      </c>
      <c r="AO335" s="153" t="e">
        <f aca="false">_xlfn.xlookup(AN335,A:A,F:F)</f>
        <v>#NAME?</v>
      </c>
      <c r="AP335" s="153" t="e">
        <f aca="false">_xlfn.xlookup(AN335,A:A,J:J)</f>
        <v>#NAME?</v>
      </c>
      <c r="AQ335" s="153" t="e">
        <f aca="false">_xlfn.xlookup(AN335,A:A,N:N)+_xlfn.xlookup(AN335,A:A,O:O)</f>
        <v>#NAME?</v>
      </c>
      <c r="AR335" s="150" t="e">
        <f aca="false">_xlfn.xlookup(AN335,A:A,AH:AH)</f>
        <v>#NAME?</v>
      </c>
      <c r="AS335" s="150" t="e">
        <f aca="false">_xlfn.xlookup(AN335,A:A,S:S)</f>
        <v>#NAME?</v>
      </c>
      <c r="AT335" s="150" t="e">
        <f aca="false">_xlfn.xlookup(AN335,A:A,AE:AE)</f>
        <v>#NAME?</v>
      </c>
      <c r="AU335" s="150" t="e">
        <f aca="false">_xlfn.xlookup(AN335,A:A,AF:AF)</f>
        <v>#NAME?</v>
      </c>
      <c r="AX335" s="146"/>
      <c r="AY335" s="150"/>
      <c r="AZ335" s="150"/>
      <c r="BA335" s="150"/>
      <c r="BB335" s="146"/>
      <c r="BC335" s="146"/>
      <c r="BD335" s="151"/>
      <c r="BE335" s="146"/>
      <c r="BF335" s="146"/>
      <c r="BH335" s="152" t="e">
        <f aca="false">_xlfn.xlookup(BG335,A:A,F:F)</f>
        <v>#NAME?</v>
      </c>
      <c r="BI335" s="153" t="e">
        <f aca="false">_xlfn.xlookup(BG335,A:A,J:J)</f>
        <v>#NAME?</v>
      </c>
      <c r="BJ335" s="153" t="e">
        <f aca="false">_xlfn.xlookup(BG335,A:A,N:N)+_xlfn.xlookup(BG335,A:A,O:O)</f>
        <v>#NAME?</v>
      </c>
      <c r="BK335" s="153" t="e">
        <f aca="false">_xlfn.xlookup(BG335,A284:A1278,AB284:AB1278)</f>
        <v>#NAME?</v>
      </c>
      <c r="BN335" s="146"/>
      <c r="BO335" s="150"/>
      <c r="BQ335" s="153" t="str">
        <f aca="false">IF(VALUE(MONTH(C335))&lt;10,YEAR(C335)&amp;"-0"&amp;MONTH(C335),YEAR(C335)&amp;"-"&amp;MONTH(C335))</f>
        <v>1900-01</v>
      </c>
      <c r="BR335" s="153" t="n">
        <f aca="false">J335</f>
        <v>0</v>
      </c>
      <c r="BS335" s="153" t="n">
        <f aca="false">IF(ISNUMBER(FIND("-", BR335)), LEFT(BR335, FIND("-", BR335) - 1), BR335)</f>
        <v>0</v>
      </c>
      <c r="BT335" s="189" t="n">
        <f aca="false">L335-M335+O335</f>
        <v>0</v>
      </c>
    </row>
    <row r="336" s="153" customFormat="true" ht="15" hidden="false" customHeight="false" outlineLevel="0" collapsed="false">
      <c r="AN336" s="153" t="e">
        <v>#NAME?</v>
      </c>
      <c r="AO336" s="153" t="e">
        <f aca="false">_xlfn.xlookup(AN336,A:A,F:F)</f>
        <v>#NAME?</v>
      </c>
      <c r="AP336" s="153" t="e">
        <f aca="false">_xlfn.xlookup(AN336,A:A,J:J)</f>
        <v>#NAME?</v>
      </c>
      <c r="AQ336" s="153" t="e">
        <f aca="false">_xlfn.xlookup(AN336,A:A,N:N)+_xlfn.xlookup(AN336,A:A,O:O)</f>
        <v>#NAME?</v>
      </c>
      <c r="AR336" s="150" t="e">
        <f aca="false">_xlfn.xlookup(AN336,A:A,AH:AH)</f>
        <v>#NAME?</v>
      </c>
      <c r="AS336" s="150" t="e">
        <f aca="false">_xlfn.xlookup(AN336,A:A,S:S)</f>
        <v>#NAME?</v>
      </c>
      <c r="AT336" s="150" t="e">
        <f aca="false">_xlfn.xlookup(AN336,A:A,AE:AE)</f>
        <v>#NAME?</v>
      </c>
      <c r="AU336" s="150" t="e">
        <f aca="false">_xlfn.xlookup(AN336,A:A,AF:AF)</f>
        <v>#NAME?</v>
      </c>
      <c r="AX336" s="146"/>
      <c r="AY336" s="150"/>
      <c r="AZ336" s="150"/>
      <c r="BA336" s="150"/>
      <c r="BB336" s="146"/>
      <c r="BC336" s="146"/>
      <c r="BD336" s="151"/>
      <c r="BE336" s="146"/>
      <c r="BF336" s="146"/>
      <c r="BH336" s="152" t="e">
        <f aca="false">_xlfn.xlookup(BG336,A:A,F:F)</f>
        <v>#NAME?</v>
      </c>
      <c r="BI336" s="153" t="e">
        <f aca="false">_xlfn.xlookup(BG336,A:A,J:J)</f>
        <v>#NAME?</v>
      </c>
      <c r="BJ336" s="153" t="e">
        <f aca="false">_xlfn.xlookup(BG336,A:A,N:N)+_xlfn.xlookup(BG336,A:A,O:O)</f>
        <v>#NAME?</v>
      </c>
      <c r="BK336" s="153" t="e">
        <f aca="false">_xlfn.xlookup(BG336,A285:A1279,AB285:AB1279)</f>
        <v>#NAME?</v>
      </c>
      <c r="BN336" s="146"/>
      <c r="BO336" s="150"/>
      <c r="BQ336" s="153" t="str">
        <f aca="false">IF(VALUE(MONTH(C336))&lt;10,YEAR(C336)&amp;"-0"&amp;MONTH(C336),YEAR(C336)&amp;"-"&amp;MONTH(C336))</f>
        <v>1900-01</v>
      </c>
      <c r="BR336" s="153" t="n">
        <f aca="false">J336</f>
        <v>0</v>
      </c>
      <c r="BS336" s="153" t="n">
        <f aca="false">IF(ISNUMBER(FIND("-", BR336)), LEFT(BR336, FIND("-", BR336) - 1), BR336)</f>
        <v>0</v>
      </c>
      <c r="BT336" s="189" t="n">
        <f aca="false">L336-M336+O336</f>
        <v>0</v>
      </c>
    </row>
    <row r="337" s="153" customFormat="true" ht="15" hidden="false" customHeight="false" outlineLevel="0" collapsed="false">
      <c r="AN337" s="153" t="e">
        <v>#NAME?</v>
      </c>
      <c r="AO337" s="153" t="e">
        <f aca="false">_xlfn.xlookup(AN337,A:A,F:F)</f>
        <v>#NAME?</v>
      </c>
      <c r="AP337" s="153" t="e">
        <f aca="false">_xlfn.xlookup(AN337,A:A,J:J)</f>
        <v>#NAME?</v>
      </c>
      <c r="AQ337" s="153" t="e">
        <f aca="false">_xlfn.xlookup(AN337,A:A,N:N)+_xlfn.xlookup(AN337,A:A,O:O)</f>
        <v>#NAME?</v>
      </c>
      <c r="AR337" s="150" t="e">
        <f aca="false">_xlfn.xlookup(AN337,A:A,AH:AH)</f>
        <v>#NAME?</v>
      </c>
      <c r="AS337" s="150" t="e">
        <f aca="false">_xlfn.xlookup(AN337,A:A,S:S)</f>
        <v>#NAME?</v>
      </c>
      <c r="AT337" s="150" t="e">
        <f aca="false">_xlfn.xlookup(AN337,A:A,AE:AE)</f>
        <v>#NAME?</v>
      </c>
      <c r="AU337" s="150" t="e">
        <f aca="false">_xlfn.xlookup(AN337,A:A,AF:AF)</f>
        <v>#NAME?</v>
      </c>
      <c r="AX337" s="146"/>
      <c r="AY337" s="150"/>
      <c r="AZ337" s="150"/>
      <c r="BA337" s="150"/>
      <c r="BB337" s="146"/>
      <c r="BC337" s="146"/>
      <c r="BD337" s="151"/>
      <c r="BE337" s="146"/>
      <c r="BF337" s="146"/>
      <c r="BH337" s="152" t="e">
        <f aca="false">_xlfn.xlookup(BG337,A:A,F:F)</f>
        <v>#NAME?</v>
      </c>
      <c r="BI337" s="153" t="e">
        <f aca="false">_xlfn.xlookup(BG337,A:A,J:J)</f>
        <v>#NAME?</v>
      </c>
      <c r="BJ337" s="153" t="e">
        <f aca="false">_xlfn.xlookup(BG337,A:A,N:N)+_xlfn.xlookup(BG337,A:A,O:O)</f>
        <v>#NAME?</v>
      </c>
      <c r="BK337" s="153" t="e">
        <f aca="false">_xlfn.xlookup(BG337,A286:A1280,AB286:AB1280)</f>
        <v>#NAME?</v>
      </c>
      <c r="BN337" s="146"/>
      <c r="BO337" s="150"/>
      <c r="BQ337" s="153" t="str">
        <f aca="false">IF(VALUE(MONTH(C337))&lt;10,YEAR(C337)&amp;"-0"&amp;MONTH(C337),YEAR(C337)&amp;"-"&amp;MONTH(C337))</f>
        <v>1900-01</v>
      </c>
      <c r="BR337" s="153" t="n">
        <f aca="false">J337</f>
        <v>0</v>
      </c>
      <c r="BS337" s="153" t="n">
        <f aca="false">IF(ISNUMBER(FIND("-", BR337)), LEFT(BR337, FIND("-", BR337) - 1), BR337)</f>
        <v>0</v>
      </c>
      <c r="BT337" s="189" t="n">
        <f aca="false">L337-M337+O337</f>
        <v>0</v>
      </c>
    </row>
    <row r="338" s="153" customFormat="true" ht="15" hidden="false" customHeight="false" outlineLevel="0" collapsed="false">
      <c r="AN338" s="153" t="e">
        <v>#NAME?</v>
      </c>
      <c r="AO338" s="153" t="e">
        <f aca="false">_xlfn.xlookup(AN338,A:A,F:F)</f>
        <v>#NAME?</v>
      </c>
      <c r="AP338" s="153" t="e">
        <f aca="false">_xlfn.xlookup(AN338,A:A,J:J)</f>
        <v>#NAME?</v>
      </c>
      <c r="AQ338" s="153" t="e">
        <f aca="false">_xlfn.xlookup(AN338,A:A,N:N)+_xlfn.xlookup(AN338,A:A,O:O)</f>
        <v>#NAME?</v>
      </c>
      <c r="AR338" s="150" t="e">
        <f aca="false">_xlfn.xlookup(AN338,A:A,AH:AH)</f>
        <v>#NAME?</v>
      </c>
      <c r="AS338" s="150" t="e">
        <f aca="false">_xlfn.xlookup(AN338,A:A,S:S)</f>
        <v>#NAME?</v>
      </c>
      <c r="AT338" s="150" t="e">
        <f aca="false">_xlfn.xlookup(AN338,A:A,AE:AE)</f>
        <v>#NAME?</v>
      </c>
      <c r="AU338" s="150" t="e">
        <f aca="false">_xlfn.xlookup(AN338,A:A,AF:AF)</f>
        <v>#NAME?</v>
      </c>
      <c r="AX338" s="146"/>
      <c r="AY338" s="150"/>
      <c r="AZ338" s="150"/>
      <c r="BA338" s="150"/>
      <c r="BB338" s="146"/>
      <c r="BC338" s="146"/>
      <c r="BD338" s="151"/>
      <c r="BE338" s="146"/>
      <c r="BF338" s="146"/>
      <c r="BH338" s="152" t="e">
        <f aca="false">_xlfn.xlookup(BG338,A:A,F:F)</f>
        <v>#NAME?</v>
      </c>
      <c r="BI338" s="153" t="e">
        <f aca="false">_xlfn.xlookup(BG338,A:A,J:J)</f>
        <v>#NAME?</v>
      </c>
      <c r="BJ338" s="153" t="e">
        <f aca="false">_xlfn.xlookup(BG338,A:A,N:N)+_xlfn.xlookup(BG338,A:A,O:O)</f>
        <v>#NAME?</v>
      </c>
      <c r="BK338" s="153" t="e">
        <f aca="false">_xlfn.xlookup(BG338,A287:A1281,AB287:AB1281)</f>
        <v>#NAME?</v>
      </c>
      <c r="BN338" s="146"/>
      <c r="BO338" s="150"/>
      <c r="BQ338" s="153" t="str">
        <f aca="false">IF(VALUE(MONTH(C338))&lt;10,YEAR(C338)&amp;"-0"&amp;MONTH(C338),YEAR(C338)&amp;"-"&amp;MONTH(C338))</f>
        <v>1900-01</v>
      </c>
      <c r="BR338" s="153" t="n">
        <f aca="false">J338</f>
        <v>0</v>
      </c>
      <c r="BS338" s="153" t="n">
        <f aca="false">IF(ISNUMBER(FIND("-", BR338)), LEFT(BR338, FIND("-", BR338) - 1), BR338)</f>
        <v>0</v>
      </c>
      <c r="BT338" s="189" t="n">
        <f aca="false">L338-M338+O338</f>
        <v>0</v>
      </c>
    </row>
    <row r="339" s="153" customFormat="true" ht="15" hidden="false" customHeight="false" outlineLevel="0" collapsed="false">
      <c r="AN339" s="153" t="e">
        <v>#NAME?</v>
      </c>
      <c r="AO339" s="153" t="e">
        <f aca="false">_xlfn.xlookup(AN339,A:A,F:F)</f>
        <v>#NAME?</v>
      </c>
      <c r="AP339" s="153" t="e">
        <f aca="false">_xlfn.xlookup(AN339,A:A,J:J)</f>
        <v>#NAME?</v>
      </c>
      <c r="AQ339" s="153" t="e">
        <f aca="false">_xlfn.xlookup(AN339,A:A,N:N)+_xlfn.xlookup(AN339,A:A,O:O)</f>
        <v>#NAME?</v>
      </c>
      <c r="AR339" s="150" t="e">
        <f aca="false">_xlfn.xlookup(AN339,A:A,AH:AH)</f>
        <v>#NAME?</v>
      </c>
      <c r="AS339" s="150" t="e">
        <f aca="false">_xlfn.xlookup(AN339,A:A,S:S)</f>
        <v>#NAME?</v>
      </c>
      <c r="AT339" s="150" t="e">
        <f aca="false">_xlfn.xlookup(AN339,A:A,AE:AE)</f>
        <v>#NAME?</v>
      </c>
      <c r="AU339" s="150" t="e">
        <f aca="false">_xlfn.xlookup(AN339,A:A,AF:AF)</f>
        <v>#NAME?</v>
      </c>
      <c r="AX339" s="146"/>
      <c r="AY339" s="150"/>
      <c r="AZ339" s="150"/>
      <c r="BA339" s="150"/>
      <c r="BB339" s="146"/>
      <c r="BC339" s="146"/>
      <c r="BD339" s="151"/>
      <c r="BE339" s="146"/>
      <c r="BF339" s="146"/>
      <c r="BH339" s="152" t="e">
        <f aca="false">_xlfn.xlookup(BG339,A:A,F:F)</f>
        <v>#NAME?</v>
      </c>
      <c r="BI339" s="153" t="e">
        <f aca="false">_xlfn.xlookup(BG339,A:A,J:J)</f>
        <v>#NAME?</v>
      </c>
      <c r="BJ339" s="153" t="e">
        <f aca="false">_xlfn.xlookup(BG339,A:A,N:N)+_xlfn.xlookup(BG339,A:A,O:O)</f>
        <v>#NAME?</v>
      </c>
      <c r="BK339" s="153" t="e">
        <f aca="false">_xlfn.xlookup(BG339,A288:A1282,AB288:AB1282)</f>
        <v>#NAME?</v>
      </c>
      <c r="BN339" s="146"/>
      <c r="BO339" s="150"/>
      <c r="BQ339" s="153" t="str">
        <f aca="false">IF(VALUE(MONTH(C339))&lt;10,YEAR(C339)&amp;"-0"&amp;MONTH(C339),YEAR(C339)&amp;"-"&amp;MONTH(C339))</f>
        <v>1900-01</v>
      </c>
      <c r="BR339" s="153" t="n">
        <f aca="false">J339</f>
        <v>0</v>
      </c>
      <c r="BS339" s="153" t="n">
        <f aca="false">IF(ISNUMBER(FIND("-", BR339)), LEFT(BR339, FIND("-", BR339) - 1), BR339)</f>
        <v>0</v>
      </c>
      <c r="BT339" s="189" t="n">
        <f aca="false">L339-M339+O339</f>
        <v>0</v>
      </c>
    </row>
    <row r="340" s="153" customFormat="true" ht="15" hidden="false" customHeight="false" outlineLevel="0" collapsed="false">
      <c r="AN340" s="153" t="e">
        <v>#NAME?</v>
      </c>
      <c r="AO340" s="153" t="e">
        <f aca="false">_xlfn.xlookup(AN340,A:A,F:F)</f>
        <v>#NAME?</v>
      </c>
      <c r="AP340" s="153" t="e">
        <f aca="false">_xlfn.xlookup(AN340,A:A,J:J)</f>
        <v>#NAME?</v>
      </c>
      <c r="AQ340" s="153" t="e">
        <f aca="false">_xlfn.xlookup(AN340,A:A,N:N)+_xlfn.xlookup(AN340,A:A,O:O)</f>
        <v>#NAME?</v>
      </c>
      <c r="AR340" s="150" t="e">
        <f aca="false">_xlfn.xlookup(AN340,A:A,AH:AH)</f>
        <v>#NAME?</v>
      </c>
      <c r="AS340" s="150" t="e">
        <f aca="false">_xlfn.xlookup(AN340,A:A,S:S)</f>
        <v>#NAME?</v>
      </c>
      <c r="AT340" s="150" t="e">
        <f aca="false">_xlfn.xlookup(AN340,A:A,AE:AE)</f>
        <v>#NAME?</v>
      </c>
      <c r="AU340" s="150" t="e">
        <f aca="false">_xlfn.xlookup(AN340,A:A,AF:AF)</f>
        <v>#NAME?</v>
      </c>
      <c r="AX340" s="146"/>
      <c r="AY340" s="150"/>
      <c r="AZ340" s="150"/>
      <c r="BA340" s="150"/>
      <c r="BB340" s="146"/>
      <c r="BC340" s="146"/>
      <c r="BD340" s="151"/>
      <c r="BE340" s="146"/>
      <c r="BF340" s="146"/>
      <c r="BH340" s="152" t="e">
        <f aca="false">_xlfn.xlookup(BG340,A:A,F:F)</f>
        <v>#NAME?</v>
      </c>
      <c r="BI340" s="153" t="e">
        <f aca="false">_xlfn.xlookup(BG340,A:A,J:J)</f>
        <v>#NAME?</v>
      </c>
      <c r="BJ340" s="153" t="e">
        <f aca="false">_xlfn.xlookup(BG340,A:A,N:N)+_xlfn.xlookup(BG340,A:A,O:O)</f>
        <v>#NAME?</v>
      </c>
      <c r="BK340" s="153" t="e">
        <f aca="false">_xlfn.xlookup(BG340,A289:A1283,AB289:AB1283)</f>
        <v>#NAME?</v>
      </c>
      <c r="BN340" s="146"/>
      <c r="BO340" s="150"/>
      <c r="BQ340" s="153" t="str">
        <f aca="false">IF(VALUE(MONTH(C340))&lt;10,YEAR(C340)&amp;"-0"&amp;MONTH(C340),YEAR(C340)&amp;"-"&amp;MONTH(C340))</f>
        <v>1900-01</v>
      </c>
      <c r="BR340" s="153" t="n">
        <f aca="false">J340</f>
        <v>0</v>
      </c>
      <c r="BS340" s="153" t="n">
        <f aca="false">IF(ISNUMBER(FIND("-", BR340)), LEFT(BR340, FIND("-", BR340) - 1), BR340)</f>
        <v>0</v>
      </c>
      <c r="BT340" s="189" t="n">
        <f aca="false">L340-M340+O340</f>
        <v>0</v>
      </c>
    </row>
    <row r="341" s="153" customFormat="true" ht="15" hidden="false" customHeight="false" outlineLevel="0" collapsed="false">
      <c r="AN341" s="153" t="e">
        <v>#NAME?</v>
      </c>
      <c r="AO341" s="153" t="e">
        <f aca="false">_xlfn.xlookup(AN341,A:A,F:F)</f>
        <v>#NAME?</v>
      </c>
      <c r="AP341" s="153" t="e">
        <f aca="false">_xlfn.xlookup(AN341,A:A,J:J)</f>
        <v>#NAME?</v>
      </c>
      <c r="AQ341" s="153" t="e">
        <f aca="false">_xlfn.xlookup(AN341,A:A,N:N)+_xlfn.xlookup(AN341,A:A,O:O)</f>
        <v>#NAME?</v>
      </c>
      <c r="AR341" s="150" t="e">
        <f aca="false">_xlfn.xlookup(AN341,A:A,AH:AH)</f>
        <v>#NAME?</v>
      </c>
      <c r="AS341" s="150" t="e">
        <f aca="false">_xlfn.xlookup(AN341,A:A,S:S)</f>
        <v>#NAME?</v>
      </c>
      <c r="AT341" s="150" t="e">
        <f aca="false">_xlfn.xlookup(AN341,A:A,AE:AE)</f>
        <v>#NAME?</v>
      </c>
      <c r="AU341" s="150" t="e">
        <f aca="false">_xlfn.xlookup(AN341,A:A,AF:AF)</f>
        <v>#NAME?</v>
      </c>
      <c r="AX341" s="146"/>
      <c r="AY341" s="150"/>
      <c r="AZ341" s="150"/>
      <c r="BA341" s="150"/>
      <c r="BB341" s="146"/>
      <c r="BC341" s="146"/>
      <c r="BD341" s="151"/>
      <c r="BE341" s="146"/>
      <c r="BF341" s="146"/>
      <c r="BH341" s="152" t="e">
        <f aca="false">_xlfn.xlookup(BG341,A:A,F:F)</f>
        <v>#NAME?</v>
      </c>
      <c r="BI341" s="153" t="e">
        <f aca="false">_xlfn.xlookup(BG341,A:A,J:J)</f>
        <v>#NAME?</v>
      </c>
      <c r="BJ341" s="153" t="e">
        <f aca="false">_xlfn.xlookup(BG341,A:A,N:N)+_xlfn.xlookup(BG341,A:A,O:O)</f>
        <v>#NAME?</v>
      </c>
      <c r="BK341" s="153" t="e">
        <f aca="false">_xlfn.xlookup(BG341,A290:A1284,AB290:AB1284)</f>
        <v>#NAME?</v>
      </c>
      <c r="BN341" s="146"/>
      <c r="BO341" s="150"/>
      <c r="BQ341" s="153" t="str">
        <f aca="false">IF(VALUE(MONTH(C341))&lt;10,YEAR(C341)&amp;"-0"&amp;MONTH(C341),YEAR(C341)&amp;"-"&amp;MONTH(C341))</f>
        <v>1900-01</v>
      </c>
      <c r="BR341" s="153" t="n">
        <f aca="false">J341</f>
        <v>0</v>
      </c>
      <c r="BS341" s="153" t="n">
        <f aca="false">IF(ISNUMBER(FIND("-", BR341)), LEFT(BR341, FIND("-", BR341) - 1), BR341)</f>
        <v>0</v>
      </c>
      <c r="BT341" s="189" t="n">
        <f aca="false">L341-M341+O341</f>
        <v>0</v>
      </c>
    </row>
    <row r="342" s="153" customFormat="true" ht="15" hidden="false" customHeight="false" outlineLevel="0" collapsed="false">
      <c r="AN342" s="153" t="e">
        <v>#NAME?</v>
      </c>
      <c r="AO342" s="153" t="e">
        <f aca="false">_xlfn.xlookup(AN342,A:A,F:F)</f>
        <v>#NAME?</v>
      </c>
      <c r="AP342" s="153" t="e">
        <f aca="false">_xlfn.xlookup(AN342,A:A,J:J)</f>
        <v>#NAME?</v>
      </c>
      <c r="AQ342" s="153" t="e">
        <f aca="false">_xlfn.xlookup(AN342,A:A,N:N)+_xlfn.xlookup(AN342,A:A,O:O)</f>
        <v>#NAME?</v>
      </c>
      <c r="AR342" s="150" t="e">
        <f aca="false">_xlfn.xlookup(AN342,A:A,AH:AH)</f>
        <v>#NAME?</v>
      </c>
      <c r="AS342" s="150" t="e">
        <f aca="false">_xlfn.xlookup(AN342,A:A,S:S)</f>
        <v>#NAME?</v>
      </c>
      <c r="AT342" s="150" t="e">
        <f aca="false">_xlfn.xlookup(AN342,A:A,AE:AE)</f>
        <v>#NAME?</v>
      </c>
      <c r="AU342" s="150" t="e">
        <f aca="false">_xlfn.xlookup(AN342,A:A,AF:AF)</f>
        <v>#NAME?</v>
      </c>
      <c r="AX342" s="146"/>
      <c r="AY342" s="150"/>
      <c r="AZ342" s="150"/>
      <c r="BA342" s="150"/>
      <c r="BB342" s="146"/>
      <c r="BC342" s="146"/>
      <c r="BD342" s="151"/>
      <c r="BE342" s="146"/>
      <c r="BF342" s="146"/>
      <c r="BH342" s="152" t="e">
        <f aca="false">_xlfn.xlookup(BG342,A:A,F:F)</f>
        <v>#NAME?</v>
      </c>
      <c r="BI342" s="153" t="e">
        <f aca="false">_xlfn.xlookup(BG342,A:A,J:J)</f>
        <v>#NAME?</v>
      </c>
      <c r="BJ342" s="153" t="e">
        <f aca="false">_xlfn.xlookup(BG342,A:A,N:N)+_xlfn.xlookup(BG342,A:A,O:O)</f>
        <v>#NAME?</v>
      </c>
      <c r="BK342" s="153" t="e">
        <f aca="false">_xlfn.xlookup(BG342,A291:A1285,AB291:AB1285)</f>
        <v>#NAME?</v>
      </c>
      <c r="BN342" s="146"/>
      <c r="BO342" s="150"/>
      <c r="BQ342" s="153" t="str">
        <f aca="false">IF(VALUE(MONTH(C342))&lt;10,YEAR(C342)&amp;"-0"&amp;MONTH(C342),YEAR(C342)&amp;"-"&amp;MONTH(C342))</f>
        <v>1900-01</v>
      </c>
      <c r="BR342" s="153" t="n">
        <f aca="false">J342</f>
        <v>0</v>
      </c>
      <c r="BS342" s="153" t="n">
        <f aca="false">IF(ISNUMBER(FIND("-", BR342)), LEFT(BR342, FIND("-", BR342) - 1), BR342)</f>
        <v>0</v>
      </c>
      <c r="BT342" s="189" t="n">
        <f aca="false">L342-M342+O342</f>
        <v>0</v>
      </c>
    </row>
    <row r="343" s="153" customFormat="true" ht="15" hidden="false" customHeight="false" outlineLevel="0" collapsed="false">
      <c r="AN343" s="153" t="e">
        <v>#NAME?</v>
      </c>
      <c r="AO343" s="153" t="e">
        <f aca="false">_xlfn.xlookup(AN343,A:A,F:F)</f>
        <v>#NAME?</v>
      </c>
      <c r="AP343" s="153" t="e">
        <f aca="false">_xlfn.xlookup(AN343,A:A,J:J)</f>
        <v>#NAME?</v>
      </c>
      <c r="AQ343" s="153" t="e">
        <f aca="false">_xlfn.xlookup(AN343,A:A,N:N)+_xlfn.xlookup(AN343,A:A,O:O)</f>
        <v>#NAME?</v>
      </c>
      <c r="AR343" s="150" t="e">
        <f aca="false">_xlfn.xlookup(AN343,A:A,AH:AH)</f>
        <v>#NAME?</v>
      </c>
      <c r="AS343" s="150" t="e">
        <f aca="false">_xlfn.xlookup(AN343,A:A,S:S)</f>
        <v>#NAME?</v>
      </c>
      <c r="AT343" s="150" t="e">
        <f aca="false">_xlfn.xlookup(AN343,A:A,AE:AE)</f>
        <v>#NAME?</v>
      </c>
      <c r="AU343" s="150" t="e">
        <f aca="false">_xlfn.xlookup(AN343,A:A,AF:AF)</f>
        <v>#NAME?</v>
      </c>
      <c r="AX343" s="146"/>
      <c r="AY343" s="150"/>
      <c r="AZ343" s="150"/>
      <c r="BA343" s="150"/>
      <c r="BB343" s="146"/>
      <c r="BC343" s="146"/>
      <c r="BD343" s="151"/>
      <c r="BE343" s="146"/>
      <c r="BF343" s="146"/>
      <c r="BH343" s="152" t="e">
        <f aca="false">_xlfn.xlookup(BG343,A:A,F:F)</f>
        <v>#NAME?</v>
      </c>
      <c r="BI343" s="153" t="e">
        <f aca="false">_xlfn.xlookup(BG343,A:A,J:J)</f>
        <v>#NAME?</v>
      </c>
      <c r="BJ343" s="153" t="e">
        <f aca="false">_xlfn.xlookup(BG343,A:A,N:N)+_xlfn.xlookup(BG343,A:A,O:O)</f>
        <v>#NAME?</v>
      </c>
      <c r="BK343" s="153" t="e">
        <f aca="false">_xlfn.xlookup(BG343,A292:A1286,AB292:AB1286)</f>
        <v>#NAME?</v>
      </c>
      <c r="BN343" s="146"/>
      <c r="BO343" s="150"/>
      <c r="BQ343" s="153" t="str">
        <f aca="false">IF(VALUE(MONTH(C343))&lt;10,YEAR(C343)&amp;"-0"&amp;MONTH(C343),YEAR(C343)&amp;"-"&amp;MONTH(C343))</f>
        <v>1900-01</v>
      </c>
      <c r="BR343" s="153" t="n">
        <f aca="false">J343</f>
        <v>0</v>
      </c>
      <c r="BS343" s="153" t="n">
        <f aca="false">IF(ISNUMBER(FIND("-", BR343)), LEFT(BR343, FIND("-", BR343) - 1), BR343)</f>
        <v>0</v>
      </c>
      <c r="BT343" s="189" t="n">
        <f aca="false">L343-M343+O343</f>
        <v>0</v>
      </c>
    </row>
    <row r="344" s="153" customFormat="true" ht="15" hidden="false" customHeight="false" outlineLevel="0" collapsed="false">
      <c r="AN344" s="153" t="e">
        <v>#NAME?</v>
      </c>
      <c r="AO344" s="153" t="e">
        <f aca="false">_xlfn.xlookup(AN344,A:A,F:F)</f>
        <v>#NAME?</v>
      </c>
      <c r="AP344" s="153" t="e">
        <f aca="false">_xlfn.xlookup(AN344,A:A,J:J)</f>
        <v>#NAME?</v>
      </c>
      <c r="AQ344" s="153" t="e">
        <f aca="false">_xlfn.xlookup(AN344,A:A,N:N)+_xlfn.xlookup(AN344,A:A,O:O)</f>
        <v>#NAME?</v>
      </c>
      <c r="AR344" s="150" t="e">
        <f aca="false">_xlfn.xlookup(AN344,A:A,AH:AH)</f>
        <v>#NAME?</v>
      </c>
      <c r="AS344" s="150" t="e">
        <f aca="false">_xlfn.xlookup(AN344,A:A,S:S)</f>
        <v>#NAME?</v>
      </c>
      <c r="AT344" s="150" t="e">
        <f aca="false">_xlfn.xlookup(AN344,A:A,AE:AE)</f>
        <v>#NAME?</v>
      </c>
      <c r="AU344" s="150" t="e">
        <f aca="false">_xlfn.xlookup(AN344,A:A,AF:AF)</f>
        <v>#NAME?</v>
      </c>
      <c r="AX344" s="146"/>
      <c r="AY344" s="150"/>
      <c r="AZ344" s="150"/>
      <c r="BA344" s="150"/>
      <c r="BB344" s="146"/>
      <c r="BC344" s="146"/>
      <c r="BD344" s="151"/>
      <c r="BE344" s="146"/>
      <c r="BF344" s="146"/>
      <c r="BH344" s="152" t="e">
        <f aca="false">_xlfn.xlookup(BG344,A:A,F:F)</f>
        <v>#NAME?</v>
      </c>
      <c r="BI344" s="153" t="e">
        <f aca="false">_xlfn.xlookup(BG344,A:A,J:J)</f>
        <v>#NAME?</v>
      </c>
      <c r="BJ344" s="153" t="e">
        <f aca="false">_xlfn.xlookup(BG344,A:A,N:N)+_xlfn.xlookup(BG344,A:A,O:O)</f>
        <v>#NAME?</v>
      </c>
      <c r="BK344" s="153" t="e">
        <f aca="false">_xlfn.xlookup(BG344,A293:A1287,AB293:AB1287)</f>
        <v>#NAME?</v>
      </c>
      <c r="BN344" s="146"/>
      <c r="BO344" s="150"/>
      <c r="BQ344" s="153" t="str">
        <f aca="false">IF(VALUE(MONTH(C344))&lt;10,YEAR(C344)&amp;"-0"&amp;MONTH(C344),YEAR(C344)&amp;"-"&amp;MONTH(C344))</f>
        <v>1900-01</v>
      </c>
      <c r="BR344" s="153" t="n">
        <f aca="false">J344</f>
        <v>0</v>
      </c>
      <c r="BS344" s="153" t="n">
        <f aca="false">IF(ISNUMBER(FIND("-", BR344)), LEFT(BR344, FIND("-", BR344) - 1), BR344)</f>
        <v>0</v>
      </c>
      <c r="BT344" s="189" t="n">
        <f aca="false">L344-M344+O344</f>
        <v>0</v>
      </c>
    </row>
    <row r="345" s="153" customFormat="true" ht="15" hidden="false" customHeight="false" outlineLevel="0" collapsed="false">
      <c r="AN345" s="153" t="e">
        <v>#NAME?</v>
      </c>
      <c r="AO345" s="153" t="e">
        <f aca="false">_xlfn.xlookup(AN345,A:A,F:F)</f>
        <v>#NAME?</v>
      </c>
      <c r="AP345" s="153" t="e">
        <f aca="false">_xlfn.xlookup(AN345,A:A,J:J)</f>
        <v>#NAME?</v>
      </c>
      <c r="AQ345" s="153" t="e">
        <f aca="false">_xlfn.xlookup(AN345,A:A,N:N)+_xlfn.xlookup(AN345,A:A,O:O)</f>
        <v>#NAME?</v>
      </c>
      <c r="AR345" s="150" t="e">
        <f aca="false">_xlfn.xlookup(AN345,A:A,AH:AH)</f>
        <v>#NAME?</v>
      </c>
      <c r="AS345" s="150" t="e">
        <f aca="false">_xlfn.xlookup(AN345,A:A,S:S)</f>
        <v>#NAME?</v>
      </c>
      <c r="AT345" s="150" t="e">
        <f aca="false">_xlfn.xlookup(AN345,A:A,AE:AE)</f>
        <v>#NAME?</v>
      </c>
      <c r="AU345" s="150" t="e">
        <f aca="false">_xlfn.xlookup(AN345,A:A,AF:AF)</f>
        <v>#NAME?</v>
      </c>
      <c r="AX345" s="146"/>
      <c r="AY345" s="150"/>
      <c r="AZ345" s="150"/>
      <c r="BA345" s="150"/>
      <c r="BB345" s="146"/>
      <c r="BC345" s="146"/>
      <c r="BD345" s="151"/>
      <c r="BE345" s="146"/>
      <c r="BF345" s="146"/>
      <c r="BH345" s="152" t="e">
        <f aca="false">_xlfn.xlookup(BG345,A:A,F:F)</f>
        <v>#NAME?</v>
      </c>
      <c r="BI345" s="153" t="e">
        <f aca="false">_xlfn.xlookup(BG345,A:A,J:J)</f>
        <v>#NAME?</v>
      </c>
      <c r="BJ345" s="153" t="e">
        <f aca="false">_xlfn.xlookup(BG345,A:A,N:N)+_xlfn.xlookup(BG345,A:A,O:O)</f>
        <v>#NAME?</v>
      </c>
      <c r="BK345" s="153" t="e">
        <f aca="false">_xlfn.xlookup(BG345,A294:A1288,AB294:AB1288)</f>
        <v>#NAME?</v>
      </c>
      <c r="BN345" s="146"/>
      <c r="BO345" s="150"/>
      <c r="BQ345" s="153" t="str">
        <f aca="false">IF(VALUE(MONTH(C345))&lt;10,YEAR(C345)&amp;"-0"&amp;MONTH(C345),YEAR(C345)&amp;"-"&amp;MONTH(C345))</f>
        <v>1900-01</v>
      </c>
      <c r="BR345" s="153" t="n">
        <f aca="false">J345</f>
        <v>0</v>
      </c>
      <c r="BS345" s="153" t="n">
        <f aca="false">IF(ISNUMBER(FIND("-", BR345)), LEFT(BR345, FIND("-", BR345) - 1), BR345)</f>
        <v>0</v>
      </c>
      <c r="BT345" s="189" t="n">
        <f aca="false">L345-M345+O345</f>
        <v>0</v>
      </c>
    </row>
    <row r="346" s="153" customFormat="true" ht="15" hidden="false" customHeight="false" outlineLevel="0" collapsed="false">
      <c r="AN346" s="153" t="e">
        <v>#NAME?</v>
      </c>
      <c r="AO346" s="153" t="e">
        <f aca="false">_xlfn.xlookup(AN346,A:A,F:F)</f>
        <v>#NAME?</v>
      </c>
      <c r="AP346" s="153" t="e">
        <f aca="false">_xlfn.xlookup(AN346,A:A,J:J)</f>
        <v>#NAME?</v>
      </c>
      <c r="AQ346" s="153" t="e">
        <f aca="false">_xlfn.xlookup(AN346,A:A,N:N)+_xlfn.xlookup(AN346,A:A,O:O)</f>
        <v>#NAME?</v>
      </c>
      <c r="AR346" s="150" t="e">
        <f aca="false">_xlfn.xlookup(AN346,A:A,AH:AH)</f>
        <v>#NAME?</v>
      </c>
      <c r="AS346" s="150" t="e">
        <f aca="false">_xlfn.xlookup(AN346,A:A,S:S)</f>
        <v>#NAME?</v>
      </c>
      <c r="AT346" s="150" t="e">
        <f aca="false">_xlfn.xlookup(AN346,A:A,AE:AE)</f>
        <v>#NAME?</v>
      </c>
      <c r="AU346" s="150" t="e">
        <f aca="false">_xlfn.xlookup(AN346,A:A,AF:AF)</f>
        <v>#NAME?</v>
      </c>
      <c r="AX346" s="146"/>
      <c r="AY346" s="150"/>
      <c r="AZ346" s="150"/>
      <c r="BA346" s="150"/>
      <c r="BB346" s="146"/>
      <c r="BC346" s="146"/>
      <c r="BD346" s="151"/>
      <c r="BE346" s="146"/>
      <c r="BF346" s="146"/>
      <c r="BH346" s="152" t="e">
        <f aca="false">_xlfn.xlookup(BG346,A:A,F:F)</f>
        <v>#NAME?</v>
      </c>
      <c r="BI346" s="153" t="e">
        <f aca="false">_xlfn.xlookup(BG346,A:A,J:J)</f>
        <v>#NAME?</v>
      </c>
      <c r="BJ346" s="153" t="e">
        <f aca="false">_xlfn.xlookup(BG346,A:A,N:N)+_xlfn.xlookup(BG346,A:A,O:O)</f>
        <v>#NAME?</v>
      </c>
      <c r="BK346" s="153" t="e">
        <f aca="false">_xlfn.xlookup(BG346,A295:A1289,AB295:AB1289)</f>
        <v>#NAME?</v>
      </c>
      <c r="BN346" s="146"/>
      <c r="BO346" s="150"/>
      <c r="BQ346" s="153" t="str">
        <f aca="false">IF(VALUE(MONTH(C346))&lt;10,YEAR(C346)&amp;"-0"&amp;MONTH(C346),YEAR(C346)&amp;"-"&amp;MONTH(C346))</f>
        <v>1900-01</v>
      </c>
      <c r="BR346" s="153" t="n">
        <f aca="false">J346</f>
        <v>0</v>
      </c>
      <c r="BS346" s="153" t="n">
        <f aca="false">IF(ISNUMBER(FIND("-", BR346)), LEFT(BR346, FIND("-", BR346) - 1), BR346)</f>
        <v>0</v>
      </c>
      <c r="BT346" s="189" t="n">
        <f aca="false">L346-M346+O346</f>
        <v>0</v>
      </c>
    </row>
    <row r="347" s="153" customFormat="true" ht="15" hidden="false" customHeight="false" outlineLevel="0" collapsed="false">
      <c r="AN347" s="153" t="e">
        <v>#NAME?</v>
      </c>
      <c r="AO347" s="153" t="e">
        <f aca="false">_xlfn.xlookup(AN347,A:A,F:F)</f>
        <v>#NAME?</v>
      </c>
      <c r="AP347" s="153" t="e">
        <f aca="false">_xlfn.xlookup(AN347,A:A,J:J)</f>
        <v>#NAME?</v>
      </c>
      <c r="AQ347" s="153" t="e">
        <f aca="false">_xlfn.xlookup(AN347,A:A,N:N)+_xlfn.xlookup(AN347,A:A,O:O)</f>
        <v>#NAME?</v>
      </c>
      <c r="AR347" s="150" t="e">
        <f aca="false">_xlfn.xlookup(AN347,A:A,AH:AH)</f>
        <v>#NAME?</v>
      </c>
      <c r="AS347" s="150" t="e">
        <f aca="false">_xlfn.xlookup(AN347,A:A,S:S)</f>
        <v>#NAME?</v>
      </c>
      <c r="AT347" s="150" t="e">
        <f aca="false">_xlfn.xlookup(AN347,A:A,AE:AE)</f>
        <v>#NAME?</v>
      </c>
      <c r="AU347" s="150" t="e">
        <f aca="false">_xlfn.xlookup(AN347,A:A,AF:AF)</f>
        <v>#NAME?</v>
      </c>
      <c r="AX347" s="146"/>
      <c r="AY347" s="150"/>
      <c r="AZ347" s="150"/>
      <c r="BA347" s="150"/>
      <c r="BB347" s="146"/>
      <c r="BC347" s="146"/>
      <c r="BD347" s="151"/>
      <c r="BE347" s="146"/>
      <c r="BF347" s="146"/>
      <c r="BH347" s="152" t="e">
        <f aca="false">_xlfn.xlookup(BG347,A:A,F:F)</f>
        <v>#NAME?</v>
      </c>
      <c r="BI347" s="153" t="e">
        <f aca="false">_xlfn.xlookup(BG347,A:A,J:J)</f>
        <v>#NAME?</v>
      </c>
      <c r="BJ347" s="153" t="e">
        <f aca="false">_xlfn.xlookup(BG347,A:A,N:N)+_xlfn.xlookup(BG347,A:A,O:O)</f>
        <v>#NAME?</v>
      </c>
      <c r="BK347" s="153" t="e">
        <f aca="false">_xlfn.xlookup(BG347,A296:A1290,AB296:AB1290)</f>
        <v>#NAME?</v>
      </c>
      <c r="BN347" s="146"/>
      <c r="BO347" s="150"/>
      <c r="BQ347" s="153" t="str">
        <f aca="false">IF(VALUE(MONTH(C347))&lt;10,YEAR(C347)&amp;"-0"&amp;MONTH(C347),YEAR(C347)&amp;"-"&amp;MONTH(C347))</f>
        <v>1900-01</v>
      </c>
      <c r="BR347" s="153" t="n">
        <f aca="false">J347</f>
        <v>0</v>
      </c>
      <c r="BS347" s="153" t="n">
        <f aca="false">IF(ISNUMBER(FIND("-", BR347)), LEFT(BR347, FIND("-", BR347) - 1), BR347)</f>
        <v>0</v>
      </c>
      <c r="BT347" s="189" t="n">
        <f aca="false">L347-M347+O347</f>
        <v>0</v>
      </c>
    </row>
    <row r="348" s="153" customFormat="true" ht="15" hidden="false" customHeight="false" outlineLevel="0" collapsed="false">
      <c r="AN348" s="153" t="e">
        <v>#NAME?</v>
      </c>
      <c r="AO348" s="153" t="e">
        <f aca="false">_xlfn.xlookup(AN348,A:A,F:F)</f>
        <v>#NAME?</v>
      </c>
      <c r="AP348" s="153" t="e">
        <f aca="false">_xlfn.xlookup(AN348,A:A,J:J)</f>
        <v>#NAME?</v>
      </c>
      <c r="AQ348" s="153" t="e">
        <f aca="false">_xlfn.xlookup(AN348,A:A,N:N)+_xlfn.xlookup(AN348,A:A,O:O)</f>
        <v>#NAME?</v>
      </c>
      <c r="AR348" s="150" t="e">
        <f aca="false">_xlfn.xlookup(AN348,A:A,AH:AH)</f>
        <v>#NAME?</v>
      </c>
      <c r="AS348" s="150" t="e">
        <f aca="false">_xlfn.xlookup(AN348,A:A,S:S)</f>
        <v>#NAME?</v>
      </c>
      <c r="AT348" s="150" t="e">
        <f aca="false">_xlfn.xlookup(AN348,A:A,AE:AE)</f>
        <v>#NAME?</v>
      </c>
      <c r="AU348" s="150" t="e">
        <f aca="false">_xlfn.xlookup(AN348,A:A,AF:AF)</f>
        <v>#NAME?</v>
      </c>
      <c r="AX348" s="146"/>
      <c r="AY348" s="150"/>
      <c r="AZ348" s="150"/>
      <c r="BA348" s="150"/>
      <c r="BB348" s="146"/>
      <c r="BC348" s="146"/>
      <c r="BD348" s="151"/>
      <c r="BE348" s="146"/>
      <c r="BF348" s="146"/>
      <c r="BH348" s="152" t="e">
        <f aca="false">_xlfn.xlookup(BG348,A:A,F:F)</f>
        <v>#NAME?</v>
      </c>
      <c r="BI348" s="153" t="e">
        <f aca="false">_xlfn.xlookup(BG348,A:A,J:J)</f>
        <v>#NAME?</v>
      </c>
      <c r="BJ348" s="153" t="e">
        <f aca="false">_xlfn.xlookup(BG348,A:A,N:N)+_xlfn.xlookup(BG348,A:A,O:O)</f>
        <v>#NAME?</v>
      </c>
      <c r="BK348" s="153" t="e">
        <f aca="false">_xlfn.xlookup(BG348,A297:A1291,AB297:AB1291)</f>
        <v>#NAME?</v>
      </c>
      <c r="BN348" s="146"/>
      <c r="BO348" s="150"/>
      <c r="BQ348" s="153" t="str">
        <f aca="false">IF(VALUE(MONTH(C348))&lt;10,YEAR(C348)&amp;"-0"&amp;MONTH(C348),YEAR(C348)&amp;"-"&amp;MONTH(C348))</f>
        <v>1900-01</v>
      </c>
      <c r="BR348" s="153" t="n">
        <f aca="false">J348</f>
        <v>0</v>
      </c>
      <c r="BS348" s="153" t="n">
        <f aca="false">IF(ISNUMBER(FIND("-", BR348)), LEFT(BR348, FIND("-", BR348) - 1), BR348)</f>
        <v>0</v>
      </c>
      <c r="BT348" s="189" t="n">
        <f aca="false">L348-M348+O348</f>
        <v>0</v>
      </c>
    </row>
    <row r="349" s="153" customFormat="true" ht="15" hidden="false" customHeight="false" outlineLevel="0" collapsed="false">
      <c r="AN349" s="153" t="e">
        <v>#NAME?</v>
      </c>
      <c r="AO349" s="153" t="e">
        <f aca="false">_xlfn.xlookup(AN349,A:A,F:F)</f>
        <v>#NAME?</v>
      </c>
      <c r="AP349" s="153" t="e">
        <f aca="false">_xlfn.xlookup(AN349,A:A,J:J)</f>
        <v>#NAME?</v>
      </c>
      <c r="AQ349" s="153" t="e">
        <f aca="false">_xlfn.xlookup(AN349,A:A,N:N)+_xlfn.xlookup(AN349,A:A,O:O)</f>
        <v>#NAME?</v>
      </c>
      <c r="AR349" s="150" t="e">
        <f aca="false">_xlfn.xlookup(AN349,A:A,AH:AH)</f>
        <v>#NAME?</v>
      </c>
      <c r="AS349" s="150" t="e">
        <f aca="false">_xlfn.xlookup(AN349,A:A,S:S)</f>
        <v>#NAME?</v>
      </c>
      <c r="AT349" s="150" t="e">
        <f aca="false">_xlfn.xlookup(AN349,A:A,AE:AE)</f>
        <v>#NAME?</v>
      </c>
      <c r="AU349" s="150" t="e">
        <f aca="false">_xlfn.xlookup(AN349,A:A,AF:AF)</f>
        <v>#NAME?</v>
      </c>
      <c r="AX349" s="146"/>
      <c r="AY349" s="150"/>
      <c r="AZ349" s="150"/>
      <c r="BA349" s="150"/>
      <c r="BB349" s="146"/>
      <c r="BC349" s="146"/>
      <c r="BD349" s="151"/>
      <c r="BE349" s="146"/>
      <c r="BF349" s="146"/>
      <c r="BH349" s="152" t="e">
        <f aca="false">_xlfn.xlookup(BG349,A:A,F:F)</f>
        <v>#NAME?</v>
      </c>
      <c r="BI349" s="153" t="e">
        <f aca="false">_xlfn.xlookup(BG349,A:A,J:J)</f>
        <v>#NAME?</v>
      </c>
      <c r="BJ349" s="153" t="e">
        <f aca="false">_xlfn.xlookup(BG349,A:A,N:N)+_xlfn.xlookup(BG349,A:A,O:O)</f>
        <v>#NAME?</v>
      </c>
      <c r="BK349" s="153" t="e">
        <f aca="false">_xlfn.xlookup(BG349,A298:A1292,AB298:AB1292)</f>
        <v>#NAME?</v>
      </c>
      <c r="BN349" s="146"/>
      <c r="BO349" s="150"/>
      <c r="BQ349" s="153" t="str">
        <f aca="false">IF(VALUE(MONTH(C349))&lt;10,YEAR(C349)&amp;"-0"&amp;MONTH(C349),YEAR(C349)&amp;"-"&amp;MONTH(C349))</f>
        <v>1900-01</v>
      </c>
      <c r="BR349" s="153" t="n">
        <f aca="false">J349</f>
        <v>0</v>
      </c>
      <c r="BS349" s="153" t="n">
        <f aca="false">IF(ISNUMBER(FIND("-", BR349)), LEFT(BR349, FIND("-", BR349) - 1), BR349)</f>
        <v>0</v>
      </c>
      <c r="BT349" s="189" t="n">
        <f aca="false">L349-M349+O349</f>
        <v>0</v>
      </c>
    </row>
    <row r="350" s="153" customFormat="true" ht="15" hidden="false" customHeight="false" outlineLevel="0" collapsed="false">
      <c r="AN350" s="153" t="e">
        <v>#NAME?</v>
      </c>
      <c r="AO350" s="153" t="e">
        <f aca="false">_xlfn.xlookup(AN350,A:A,F:F)</f>
        <v>#NAME?</v>
      </c>
      <c r="AP350" s="153" t="e">
        <f aca="false">_xlfn.xlookup(AN350,A:A,J:J)</f>
        <v>#NAME?</v>
      </c>
      <c r="AQ350" s="153" t="e">
        <f aca="false">_xlfn.xlookup(AN350,A:A,N:N)+_xlfn.xlookup(AN350,A:A,O:O)</f>
        <v>#NAME?</v>
      </c>
      <c r="AR350" s="150" t="e">
        <f aca="false">_xlfn.xlookup(AN350,A:A,AH:AH)</f>
        <v>#NAME?</v>
      </c>
      <c r="AS350" s="150" t="e">
        <f aca="false">_xlfn.xlookup(AN350,A:A,S:S)</f>
        <v>#NAME?</v>
      </c>
      <c r="AT350" s="150" t="e">
        <f aca="false">_xlfn.xlookup(AN350,A:A,AE:AE)</f>
        <v>#NAME?</v>
      </c>
      <c r="AU350" s="150" t="e">
        <f aca="false">_xlfn.xlookup(AN350,A:A,AF:AF)</f>
        <v>#NAME?</v>
      </c>
      <c r="AX350" s="146"/>
      <c r="AY350" s="150"/>
      <c r="AZ350" s="150"/>
      <c r="BA350" s="150"/>
      <c r="BB350" s="146"/>
      <c r="BC350" s="146"/>
      <c r="BD350" s="151"/>
      <c r="BE350" s="146"/>
      <c r="BF350" s="146"/>
      <c r="BH350" s="152" t="e">
        <f aca="false">_xlfn.xlookup(BG350,A:A,F:F)</f>
        <v>#NAME?</v>
      </c>
      <c r="BI350" s="153" t="e">
        <f aca="false">_xlfn.xlookup(BG350,A:A,J:J)</f>
        <v>#NAME?</v>
      </c>
      <c r="BJ350" s="153" t="e">
        <f aca="false">_xlfn.xlookup(BG350,A:A,N:N)+_xlfn.xlookup(BG350,A:A,O:O)</f>
        <v>#NAME?</v>
      </c>
      <c r="BK350" s="153" t="e">
        <f aca="false">_xlfn.xlookup(BG350,A299:A1293,AB299:AB1293)</f>
        <v>#NAME?</v>
      </c>
      <c r="BN350" s="146"/>
      <c r="BO350" s="150"/>
      <c r="BQ350" s="153" t="str">
        <f aca="false">IF(VALUE(MONTH(C350))&lt;10,YEAR(C350)&amp;"-0"&amp;MONTH(C350),YEAR(C350)&amp;"-"&amp;MONTH(C350))</f>
        <v>1900-01</v>
      </c>
      <c r="BR350" s="153" t="n">
        <f aca="false">J350</f>
        <v>0</v>
      </c>
      <c r="BS350" s="153" t="n">
        <f aca="false">IF(ISNUMBER(FIND("-", BR350)), LEFT(BR350, FIND("-", BR350) - 1), BR350)</f>
        <v>0</v>
      </c>
      <c r="BT350" s="189" t="n">
        <f aca="false">L350-M350+O350</f>
        <v>0</v>
      </c>
    </row>
    <row r="351" s="153" customFormat="true" ht="15" hidden="false" customHeight="false" outlineLevel="0" collapsed="false">
      <c r="AN351" s="153" t="e">
        <v>#NAME?</v>
      </c>
      <c r="AO351" s="153" t="e">
        <f aca="false">_xlfn.xlookup(AN351,A:A,F:F)</f>
        <v>#NAME?</v>
      </c>
      <c r="AP351" s="153" t="e">
        <f aca="false">_xlfn.xlookup(AN351,A:A,J:J)</f>
        <v>#NAME?</v>
      </c>
      <c r="AQ351" s="153" t="e">
        <f aca="false">_xlfn.xlookup(AN351,A:A,N:N)+_xlfn.xlookup(AN351,A:A,O:O)</f>
        <v>#NAME?</v>
      </c>
      <c r="AR351" s="150" t="e">
        <f aca="false">_xlfn.xlookup(AN351,A:A,AH:AH)</f>
        <v>#NAME?</v>
      </c>
      <c r="AS351" s="150" t="e">
        <f aca="false">_xlfn.xlookup(AN351,A:A,S:S)</f>
        <v>#NAME?</v>
      </c>
      <c r="AT351" s="150" t="e">
        <f aca="false">_xlfn.xlookup(AN351,A:A,AE:AE)</f>
        <v>#NAME?</v>
      </c>
      <c r="AU351" s="150" t="e">
        <f aca="false">_xlfn.xlookup(AN351,A:A,AF:AF)</f>
        <v>#NAME?</v>
      </c>
      <c r="AX351" s="146"/>
      <c r="AY351" s="150"/>
      <c r="AZ351" s="150"/>
      <c r="BA351" s="150"/>
      <c r="BB351" s="146"/>
      <c r="BC351" s="146"/>
      <c r="BD351" s="151"/>
      <c r="BE351" s="146"/>
      <c r="BF351" s="146"/>
      <c r="BH351" s="152" t="e">
        <f aca="false">_xlfn.xlookup(BG351,A:A,F:F)</f>
        <v>#NAME?</v>
      </c>
      <c r="BI351" s="153" t="e">
        <f aca="false">_xlfn.xlookup(BG351,A:A,J:J)</f>
        <v>#NAME?</v>
      </c>
      <c r="BJ351" s="153" t="e">
        <f aca="false">_xlfn.xlookup(BG351,A:A,N:N)+_xlfn.xlookup(BG351,A:A,O:O)</f>
        <v>#NAME?</v>
      </c>
      <c r="BK351" s="153" t="e">
        <f aca="false">_xlfn.xlookup(BG351,A300:A1294,AB300:AB1294)</f>
        <v>#NAME?</v>
      </c>
      <c r="BN351" s="146"/>
      <c r="BO351" s="150"/>
      <c r="BQ351" s="153" t="str">
        <f aca="false">IF(VALUE(MONTH(C351))&lt;10,YEAR(C351)&amp;"-0"&amp;MONTH(C351),YEAR(C351)&amp;"-"&amp;MONTH(C351))</f>
        <v>1900-01</v>
      </c>
      <c r="BR351" s="153" t="n">
        <f aca="false">J351</f>
        <v>0</v>
      </c>
      <c r="BS351" s="153" t="n">
        <f aca="false">IF(ISNUMBER(FIND("-", BR351)), LEFT(BR351, FIND("-", BR351) - 1), BR351)</f>
        <v>0</v>
      </c>
      <c r="BT351" s="189" t="n">
        <f aca="false">L351-M351+O351</f>
        <v>0</v>
      </c>
    </row>
    <row r="352" s="153" customFormat="true" ht="15" hidden="false" customHeight="false" outlineLevel="0" collapsed="false">
      <c r="AN352" s="153" t="e">
        <v>#NAME?</v>
      </c>
      <c r="AO352" s="153" t="e">
        <f aca="false">_xlfn.xlookup(AN352,A:A,F:F)</f>
        <v>#NAME?</v>
      </c>
      <c r="AP352" s="153" t="e">
        <f aca="false">_xlfn.xlookup(AN352,A:A,J:J)</f>
        <v>#NAME?</v>
      </c>
      <c r="AQ352" s="153" t="e">
        <f aca="false">_xlfn.xlookup(AN352,A:A,N:N)+_xlfn.xlookup(AN352,A:A,O:O)</f>
        <v>#NAME?</v>
      </c>
      <c r="AR352" s="150" t="e">
        <f aca="false">_xlfn.xlookup(AN352,A:A,AH:AH)</f>
        <v>#NAME?</v>
      </c>
      <c r="AS352" s="150" t="e">
        <f aca="false">_xlfn.xlookup(AN352,A:A,S:S)</f>
        <v>#NAME?</v>
      </c>
      <c r="AT352" s="150" t="e">
        <f aca="false">_xlfn.xlookup(AN352,A:A,AE:AE)</f>
        <v>#NAME?</v>
      </c>
      <c r="AU352" s="150" t="e">
        <f aca="false">_xlfn.xlookup(AN352,A:A,AF:AF)</f>
        <v>#NAME?</v>
      </c>
      <c r="AX352" s="146"/>
      <c r="AY352" s="150"/>
      <c r="AZ352" s="150"/>
      <c r="BA352" s="150"/>
      <c r="BB352" s="146"/>
      <c r="BC352" s="146"/>
      <c r="BD352" s="151"/>
      <c r="BE352" s="146"/>
      <c r="BF352" s="146"/>
      <c r="BH352" s="152" t="e">
        <f aca="false">_xlfn.xlookup(BG352,A:A,F:F)</f>
        <v>#NAME?</v>
      </c>
      <c r="BI352" s="153" t="e">
        <f aca="false">_xlfn.xlookup(BG352,A:A,J:J)</f>
        <v>#NAME?</v>
      </c>
      <c r="BJ352" s="153" t="e">
        <f aca="false">_xlfn.xlookup(BG352,A:A,N:N)+_xlfn.xlookup(BG352,A:A,O:O)</f>
        <v>#NAME?</v>
      </c>
      <c r="BK352" s="153" t="e">
        <f aca="false">_xlfn.xlookup(BG352,A301:A1295,AB301:AB1295)</f>
        <v>#NAME?</v>
      </c>
      <c r="BN352" s="146"/>
      <c r="BO352" s="150"/>
      <c r="BQ352" s="153" t="str">
        <f aca="false">IF(VALUE(MONTH(C352))&lt;10,YEAR(C352)&amp;"-0"&amp;MONTH(C352),YEAR(C352)&amp;"-"&amp;MONTH(C352))</f>
        <v>1900-01</v>
      </c>
      <c r="BR352" s="153" t="n">
        <f aca="false">J352</f>
        <v>0</v>
      </c>
      <c r="BS352" s="153" t="n">
        <f aca="false">IF(ISNUMBER(FIND("-", BR352)), LEFT(BR352, FIND("-", BR352) - 1), BR352)</f>
        <v>0</v>
      </c>
      <c r="BT352" s="189" t="n">
        <f aca="false">L352-M352+O352</f>
        <v>0</v>
      </c>
    </row>
    <row r="353" s="153" customFormat="true" ht="15" hidden="false" customHeight="false" outlineLevel="0" collapsed="false">
      <c r="AN353" s="153" t="e">
        <v>#NAME?</v>
      </c>
      <c r="AO353" s="153" t="e">
        <f aca="false">_xlfn.xlookup(AN353,A:A,F:F)</f>
        <v>#NAME?</v>
      </c>
      <c r="AP353" s="153" t="e">
        <f aca="false">_xlfn.xlookup(AN353,A:A,J:J)</f>
        <v>#NAME?</v>
      </c>
      <c r="AQ353" s="153" t="e">
        <f aca="false">_xlfn.xlookup(AN353,A:A,N:N)+_xlfn.xlookup(AN353,A:A,O:O)</f>
        <v>#NAME?</v>
      </c>
      <c r="AR353" s="150" t="e">
        <f aca="false">_xlfn.xlookup(AN353,A:A,AH:AH)</f>
        <v>#NAME?</v>
      </c>
      <c r="AS353" s="150" t="e">
        <f aca="false">_xlfn.xlookup(AN353,A:A,S:S)</f>
        <v>#NAME?</v>
      </c>
      <c r="AT353" s="150" t="e">
        <f aca="false">_xlfn.xlookup(AN353,A:A,AE:AE)</f>
        <v>#NAME?</v>
      </c>
      <c r="AU353" s="150" t="e">
        <f aca="false">_xlfn.xlookup(AN353,A:A,AF:AF)</f>
        <v>#NAME?</v>
      </c>
      <c r="AX353" s="146"/>
      <c r="AY353" s="150"/>
      <c r="AZ353" s="150"/>
      <c r="BA353" s="150"/>
      <c r="BB353" s="146"/>
      <c r="BC353" s="146"/>
      <c r="BD353" s="151"/>
      <c r="BE353" s="146"/>
      <c r="BF353" s="146"/>
      <c r="BH353" s="152" t="e">
        <f aca="false">_xlfn.xlookup(BG353,A:A,F:F)</f>
        <v>#NAME?</v>
      </c>
      <c r="BI353" s="153" t="e">
        <f aca="false">_xlfn.xlookup(BG353,A:A,J:J)</f>
        <v>#NAME?</v>
      </c>
      <c r="BJ353" s="153" t="e">
        <f aca="false">_xlfn.xlookup(BG353,A:A,N:N)+_xlfn.xlookup(BG353,A:A,O:O)</f>
        <v>#NAME?</v>
      </c>
      <c r="BK353" s="153" t="e">
        <f aca="false">_xlfn.xlookup(BG353,A302:A1296,AB302:AB1296)</f>
        <v>#NAME?</v>
      </c>
      <c r="BN353" s="146"/>
      <c r="BO353" s="150"/>
      <c r="BQ353" s="153" t="str">
        <f aca="false">IF(VALUE(MONTH(C353))&lt;10,YEAR(C353)&amp;"-0"&amp;MONTH(C353),YEAR(C353)&amp;"-"&amp;MONTH(C353))</f>
        <v>1900-01</v>
      </c>
      <c r="BR353" s="153" t="n">
        <f aca="false">J353</f>
        <v>0</v>
      </c>
      <c r="BS353" s="153" t="n">
        <f aca="false">IF(ISNUMBER(FIND("-", BR353)), LEFT(BR353, FIND("-", BR353) - 1), BR353)</f>
        <v>0</v>
      </c>
      <c r="BT353" s="189" t="n">
        <f aca="false">L353-M353+O353</f>
        <v>0</v>
      </c>
    </row>
    <row r="354" s="153" customFormat="true" ht="15" hidden="false" customHeight="false" outlineLevel="0" collapsed="false">
      <c r="AN354" s="153" t="e">
        <v>#NAME?</v>
      </c>
      <c r="AO354" s="153" t="e">
        <f aca="false">_xlfn.xlookup(AN354,A:A,F:F)</f>
        <v>#NAME?</v>
      </c>
      <c r="AP354" s="153" t="e">
        <f aca="false">_xlfn.xlookup(AN354,A:A,J:J)</f>
        <v>#NAME?</v>
      </c>
      <c r="AQ354" s="153" t="e">
        <f aca="false">_xlfn.xlookup(AN354,A:A,N:N)+_xlfn.xlookup(AN354,A:A,O:O)</f>
        <v>#NAME?</v>
      </c>
      <c r="AR354" s="150" t="e">
        <f aca="false">_xlfn.xlookup(AN354,A:A,AH:AH)</f>
        <v>#NAME?</v>
      </c>
      <c r="AS354" s="150" t="e">
        <f aca="false">_xlfn.xlookup(AN354,A:A,S:S)</f>
        <v>#NAME?</v>
      </c>
      <c r="AT354" s="150" t="e">
        <f aca="false">_xlfn.xlookup(AN354,A:A,AE:AE)</f>
        <v>#NAME?</v>
      </c>
      <c r="AU354" s="150" t="e">
        <f aca="false">_xlfn.xlookup(AN354,A:A,AF:AF)</f>
        <v>#NAME?</v>
      </c>
      <c r="AX354" s="146"/>
      <c r="AY354" s="150"/>
      <c r="AZ354" s="150"/>
      <c r="BA354" s="150"/>
      <c r="BB354" s="146"/>
      <c r="BC354" s="146"/>
      <c r="BD354" s="151"/>
      <c r="BE354" s="146"/>
      <c r="BF354" s="146"/>
      <c r="BH354" s="152" t="e">
        <f aca="false">_xlfn.xlookup(BG354,A:A,F:F)</f>
        <v>#NAME?</v>
      </c>
      <c r="BI354" s="153" t="e">
        <f aca="false">_xlfn.xlookup(BG354,A:A,J:J)</f>
        <v>#NAME?</v>
      </c>
      <c r="BJ354" s="153" t="e">
        <f aca="false">_xlfn.xlookup(BG354,A:A,N:N)+_xlfn.xlookup(BG354,A:A,O:O)</f>
        <v>#NAME?</v>
      </c>
      <c r="BK354" s="153" t="e">
        <f aca="false">_xlfn.xlookup(BG354,A303:A1297,AB303:AB1297)</f>
        <v>#NAME?</v>
      </c>
      <c r="BN354" s="146"/>
      <c r="BO354" s="150"/>
      <c r="BQ354" s="153" t="str">
        <f aca="false">IF(VALUE(MONTH(C354))&lt;10,YEAR(C354)&amp;"-0"&amp;MONTH(C354),YEAR(C354)&amp;"-"&amp;MONTH(C354))</f>
        <v>1900-01</v>
      </c>
      <c r="BR354" s="153" t="n">
        <f aca="false">J354</f>
        <v>0</v>
      </c>
      <c r="BS354" s="153" t="n">
        <f aca="false">IF(ISNUMBER(FIND("-", BR354)), LEFT(BR354, FIND("-", BR354) - 1), BR354)</f>
        <v>0</v>
      </c>
      <c r="BT354" s="189" t="n">
        <f aca="false">L354-M354+O354</f>
        <v>0</v>
      </c>
    </row>
    <row r="355" s="153" customFormat="true" ht="15" hidden="false" customHeight="false" outlineLevel="0" collapsed="false">
      <c r="AN355" s="153" t="e">
        <v>#NAME?</v>
      </c>
      <c r="AO355" s="153" t="e">
        <f aca="false">_xlfn.xlookup(AN355,A:A,F:F)</f>
        <v>#NAME?</v>
      </c>
      <c r="AP355" s="153" t="e">
        <f aca="false">_xlfn.xlookup(AN355,A:A,J:J)</f>
        <v>#NAME?</v>
      </c>
      <c r="AQ355" s="153" t="e">
        <f aca="false">_xlfn.xlookup(AN355,A:A,N:N)+_xlfn.xlookup(AN355,A:A,O:O)</f>
        <v>#NAME?</v>
      </c>
      <c r="AR355" s="150" t="e">
        <f aca="false">_xlfn.xlookup(AN355,A:A,AH:AH)</f>
        <v>#NAME?</v>
      </c>
      <c r="AS355" s="150" t="e">
        <f aca="false">_xlfn.xlookup(AN355,A:A,S:S)</f>
        <v>#NAME?</v>
      </c>
      <c r="AT355" s="150" t="e">
        <f aca="false">_xlfn.xlookup(AN355,A:A,AE:AE)</f>
        <v>#NAME?</v>
      </c>
      <c r="AU355" s="150" t="e">
        <f aca="false">_xlfn.xlookup(AN355,A:A,AF:AF)</f>
        <v>#NAME?</v>
      </c>
      <c r="AX355" s="146"/>
      <c r="AY355" s="150"/>
      <c r="AZ355" s="150"/>
      <c r="BA355" s="150"/>
      <c r="BB355" s="146"/>
      <c r="BC355" s="146"/>
      <c r="BD355" s="151"/>
      <c r="BE355" s="146"/>
      <c r="BF355" s="146"/>
      <c r="BH355" s="152" t="e">
        <f aca="false">_xlfn.xlookup(BG355,A:A,F:F)</f>
        <v>#NAME?</v>
      </c>
      <c r="BI355" s="153" t="e">
        <f aca="false">_xlfn.xlookup(BG355,A:A,J:J)</f>
        <v>#NAME?</v>
      </c>
      <c r="BJ355" s="153" t="e">
        <f aca="false">_xlfn.xlookup(BG355,A:A,N:N)+_xlfn.xlookup(BG355,A:A,O:O)</f>
        <v>#NAME?</v>
      </c>
      <c r="BK355" s="153" t="e">
        <f aca="false">_xlfn.xlookup(BG355,A304:A1298,AB304:AB1298)</f>
        <v>#NAME?</v>
      </c>
      <c r="BN355" s="146"/>
      <c r="BO355" s="150"/>
      <c r="BQ355" s="153" t="str">
        <f aca="false">IF(VALUE(MONTH(C355))&lt;10,YEAR(C355)&amp;"-0"&amp;MONTH(C355),YEAR(C355)&amp;"-"&amp;MONTH(C355))</f>
        <v>1900-01</v>
      </c>
      <c r="BR355" s="153" t="n">
        <f aca="false">J355</f>
        <v>0</v>
      </c>
      <c r="BS355" s="153" t="n">
        <f aca="false">IF(ISNUMBER(FIND("-", BR355)), LEFT(BR355, FIND("-", BR355) - 1), BR355)</f>
        <v>0</v>
      </c>
      <c r="BT355" s="189" t="n">
        <f aca="false">L355-M355+O355</f>
        <v>0</v>
      </c>
    </row>
    <row r="356" s="153" customFormat="true" ht="15" hidden="false" customHeight="false" outlineLevel="0" collapsed="false">
      <c r="AN356" s="153" t="e">
        <v>#NAME?</v>
      </c>
      <c r="AO356" s="153" t="e">
        <f aca="false">_xlfn.xlookup(AN356,A:A,F:F)</f>
        <v>#NAME?</v>
      </c>
      <c r="AP356" s="153" t="e">
        <f aca="false">_xlfn.xlookup(AN356,A:A,J:J)</f>
        <v>#NAME?</v>
      </c>
      <c r="AQ356" s="153" t="e">
        <f aca="false">_xlfn.xlookup(AN356,A:A,N:N)+_xlfn.xlookup(AN356,A:A,O:O)</f>
        <v>#NAME?</v>
      </c>
      <c r="AR356" s="150" t="e">
        <f aca="false">_xlfn.xlookup(AN356,A:A,AH:AH)</f>
        <v>#NAME?</v>
      </c>
      <c r="AS356" s="150" t="e">
        <f aca="false">_xlfn.xlookup(AN356,A:A,S:S)</f>
        <v>#NAME?</v>
      </c>
      <c r="AT356" s="150" t="e">
        <f aca="false">_xlfn.xlookup(AN356,A:A,AE:AE)</f>
        <v>#NAME?</v>
      </c>
      <c r="AU356" s="150" t="e">
        <f aca="false">_xlfn.xlookup(AN356,A:A,AF:AF)</f>
        <v>#NAME?</v>
      </c>
      <c r="AX356" s="146"/>
      <c r="AY356" s="150"/>
      <c r="AZ356" s="150"/>
      <c r="BA356" s="150"/>
      <c r="BB356" s="146"/>
      <c r="BC356" s="146"/>
      <c r="BD356" s="151"/>
      <c r="BE356" s="146"/>
      <c r="BF356" s="146"/>
      <c r="BH356" s="152" t="e">
        <f aca="false">_xlfn.xlookup(BG356,A:A,F:F)</f>
        <v>#NAME?</v>
      </c>
      <c r="BI356" s="153" t="e">
        <f aca="false">_xlfn.xlookup(BG356,A:A,J:J)</f>
        <v>#NAME?</v>
      </c>
      <c r="BJ356" s="153" t="e">
        <f aca="false">_xlfn.xlookup(BG356,A:A,N:N)+_xlfn.xlookup(BG356,A:A,O:O)</f>
        <v>#NAME?</v>
      </c>
      <c r="BK356" s="153" t="e">
        <f aca="false">_xlfn.xlookup(BG356,A305:A1299,AB305:AB1299)</f>
        <v>#NAME?</v>
      </c>
      <c r="BN356" s="146"/>
      <c r="BO356" s="150"/>
      <c r="BQ356" s="153" t="str">
        <f aca="false">IF(VALUE(MONTH(C356))&lt;10,YEAR(C356)&amp;"-0"&amp;MONTH(C356),YEAR(C356)&amp;"-"&amp;MONTH(C356))</f>
        <v>1900-01</v>
      </c>
      <c r="BR356" s="153" t="n">
        <f aca="false">J356</f>
        <v>0</v>
      </c>
      <c r="BS356" s="153" t="n">
        <f aca="false">IF(ISNUMBER(FIND("-", BR356)), LEFT(BR356, FIND("-", BR356) - 1), BR356)</f>
        <v>0</v>
      </c>
      <c r="BT356" s="189" t="n">
        <f aca="false">L356-M356+O356</f>
        <v>0</v>
      </c>
    </row>
    <row r="357" s="153" customFormat="true" ht="15" hidden="false" customHeight="false" outlineLevel="0" collapsed="false">
      <c r="AN357" s="153" t="e">
        <v>#NAME?</v>
      </c>
      <c r="AO357" s="153" t="e">
        <f aca="false">_xlfn.xlookup(AN357,A:A,F:F)</f>
        <v>#NAME?</v>
      </c>
      <c r="AP357" s="153" t="e">
        <f aca="false">_xlfn.xlookup(AN357,A:A,J:J)</f>
        <v>#NAME?</v>
      </c>
      <c r="AQ357" s="153" t="e">
        <f aca="false">_xlfn.xlookup(AN357,A:A,N:N)+_xlfn.xlookup(AN357,A:A,O:O)</f>
        <v>#NAME?</v>
      </c>
      <c r="AR357" s="150" t="e">
        <f aca="false">_xlfn.xlookup(AN357,A:A,AH:AH)</f>
        <v>#NAME?</v>
      </c>
      <c r="AS357" s="150" t="e">
        <f aca="false">_xlfn.xlookup(AN357,A:A,S:S)</f>
        <v>#NAME?</v>
      </c>
      <c r="AT357" s="150" t="e">
        <f aca="false">_xlfn.xlookup(AN357,A:A,AE:AE)</f>
        <v>#NAME?</v>
      </c>
      <c r="AU357" s="150" t="e">
        <f aca="false">_xlfn.xlookup(AN357,A:A,AF:AF)</f>
        <v>#NAME?</v>
      </c>
      <c r="AX357" s="146"/>
      <c r="AY357" s="150"/>
      <c r="AZ357" s="150"/>
      <c r="BA357" s="150"/>
      <c r="BB357" s="146"/>
      <c r="BC357" s="146"/>
      <c r="BD357" s="151"/>
      <c r="BE357" s="146"/>
      <c r="BF357" s="146"/>
      <c r="BH357" s="152" t="e">
        <f aca="false">_xlfn.xlookup(BG357,A:A,F:F)</f>
        <v>#NAME?</v>
      </c>
      <c r="BI357" s="153" t="e">
        <f aca="false">_xlfn.xlookup(BG357,A:A,J:J)</f>
        <v>#NAME?</v>
      </c>
      <c r="BJ357" s="153" t="e">
        <f aca="false">_xlfn.xlookup(BG357,A:A,N:N)+_xlfn.xlookup(BG357,A:A,O:O)</f>
        <v>#NAME?</v>
      </c>
      <c r="BK357" s="153" t="e">
        <f aca="false">_xlfn.xlookup(BG357,A306:A1300,AB306:AB1300)</f>
        <v>#NAME?</v>
      </c>
      <c r="BN357" s="146"/>
      <c r="BO357" s="150"/>
      <c r="BQ357" s="153" t="str">
        <f aca="false">IF(VALUE(MONTH(C357))&lt;10,YEAR(C357)&amp;"-0"&amp;MONTH(C357),YEAR(C357)&amp;"-"&amp;MONTH(C357))</f>
        <v>1900-01</v>
      </c>
      <c r="BR357" s="153" t="n">
        <f aca="false">J357</f>
        <v>0</v>
      </c>
      <c r="BS357" s="153" t="n">
        <f aca="false">IF(ISNUMBER(FIND("-", BR357)), LEFT(BR357, FIND("-", BR357) - 1), BR357)</f>
        <v>0</v>
      </c>
      <c r="BT357" s="189" t="n">
        <f aca="false">L357-M357+O357</f>
        <v>0</v>
      </c>
    </row>
    <row r="358" s="153" customFormat="true" ht="15" hidden="false" customHeight="false" outlineLevel="0" collapsed="false">
      <c r="AN358" s="153" t="e">
        <v>#NAME?</v>
      </c>
      <c r="AO358" s="153" t="e">
        <f aca="false">_xlfn.xlookup(AN358,A:A,F:F)</f>
        <v>#NAME?</v>
      </c>
      <c r="AP358" s="153" t="e">
        <f aca="false">_xlfn.xlookup(AN358,A:A,J:J)</f>
        <v>#NAME?</v>
      </c>
      <c r="AQ358" s="153" t="e">
        <f aca="false">_xlfn.xlookup(AN358,A:A,N:N)+_xlfn.xlookup(AN358,A:A,O:O)</f>
        <v>#NAME?</v>
      </c>
      <c r="AR358" s="150" t="e">
        <f aca="false">_xlfn.xlookup(AN358,A:A,AH:AH)</f>
        <v>#NAME?</v>
      </c>
      <c r="AS358" s="150" t="e">
        <f aca="false">_xlfn.xlookup(AN358,A:A,S:S)</f>
        <v>#NAME?</v>
      </c>
      <c r="AT358" s="150" t="e">
        <f aca="false">_xlfn.xlookup(AN358,A:A,AE:AE)</f>
        <v>#NAME?</v>
      </c>
      <c r="AU358" s="150" t="e">
        <f aca="false">_xlfn.xlookup(AN358,A:A,AF:AF)</f>
        <v>#NAME?</v>
      </c>
      <c r="AX358" s="146"/>
      <c r="AY358" s="150"/>
      <c r="AZ358" s="150"/>
      <c r="BA358" s="150"/>
      <c r="BB358" s="146"/>
      <c r="BC358" s="146"/>
      <c r="BD358" s="151"/>
      <c r="BE358" s="146"/>
      <c r="BF358" s="146"/>
      <c r="BH358" s="152" t="e">
        <f aca="false">_xlfn.xlookup(BG358,A:A,F:F)</f>
        <v>#NAME?</v>
      </c>
      <c r="BI358" s="153" t="e">
        <f aca="false">_xlfn.xlookup(BG358,A:A,J:J)</f>
        <v>#NAME?</v>
      </c>
      <c r="BJ358" s="153" t="e">
        <f aca="false">_xlfn.xlookup(BG358,A:A,N:N)+_xlfn.xlookup(BG358,A:A,O:O)</f>
        <v>#NAME?</v>
      </c>
      <c r="BK358" s="153" t="e">
        <f aca="false">_xlfn.xlookup(BG358,A307:A1301,AB307:AB1301)</f>
        <v>#NAME?</v>
      </c>
      <c r="BN358" s="146"/>
      <c r="BO358" s="150"/>
      <c r="BQ358" s="153" t="str">
        <f aca="false">IF(VALUE(MONTH(C358))&lt;10,YEAR(C358)&amp;"-0"&amp;MONTH(C358),YEAR(C358)&amp;"-"&amp;MONTH(C358))</f>
        <v>1900-01</v>
      </c>
      <c r="BR358" s="153" t="n">
        <f aca="false">J358</f>
        <v>0</v>
      </c>
      <c r="BS358" s="153" t="n">
        <f aca="false">IF(ISNUMBER(FIND("-", BR358)), LEFT(BR358, FIND("-", BR358) - 1), BR358)</f>
        <v>0</v>
      </c>
      <c r="BT358" s="189" t="n">
        <f aca="false">L358-M358+O358</f>
        <v>0</v>
      </c>
    </row>
    <row r="359" s="153" customFormat="true" ht="15" hidden="false" customHeight="false" outlineLevel="0" collapsed="false">
      <c r="AN359" s="153" t="e">
        <v>#NAME?</v>
      </c>
      <c r="AO359" s="153" t="e">
        <f aca="false">_xlfn.xlookup(AN359,A:A,F:F)</f>
        <v>#NAME?</v>
      </c>
      <c r="AP359" s="153" t="e">
        <f aca="false">_xlfn.xlookup(AN359,A:A,J:J)</f>
        <v>#NAME?</v>
      </c>
      <c r="AQ359" s="153" t="e">
        <f aca="false">_xlfn.xlookup(AN359,A:A,N:N)+_xlfn.xlookup(AN359,A:A,O:O)</f>
        <v>#NAME?</v>
      </c>
      <c r="AR359" s="150" t="e">
        <f aca="false">_xlfn.xlookup(AN359,A:A,AH:AH)</f>
        <v>#NAME?</v>
      </c>
      <c r="AS359" s="150" t="e">
        <f aca="false">_xlfn.xlookup(AN359,A:A,S:S)</f>
        <v>#NAME?</v>
      </c>
      <c r="AT359" s="150" t="e">
        <f aca="false">_xlfn.xlookup(AN359,A:A,AE:AE)</f>
        <v>#NAME?</v>
      </c>
      <c r="AU359" s="150" t="e">
        <f aca="false">_xlfn.xlookup(AN359,A:A,AF:AF)</f>
        <v>#NAME?</v>
      </c>
      <c r="AX359" s="146"/>
      <c r="AY359" s="150"/>
      <c r="AZ359" s="150"/>
      <c r="BA359" s="150"/>
      <c r="BB359" s="146"/>
      <c r="BC359" s="146"/>
      <c r="BD359" s="151"/>
      <c r="BE359" s="146"/>
      <c r="BF359" s="146"/>
      <c r="BH359" s="152" t="e">
        <f aca="false">_xlfn.xlookup(BG359,A:A,F:F)</f>
        <v>#NAME?</v>
      </c>
      <c r="BI359" s="153" t="e">
        <f aca="false">_xlfn.xlookup(BG359,A:A,J:J)</f>
        <v>#NAME?</v>
      </c>
      <c r="BJ359" s="153" t="e">
        <f aca="false">_xlfn.xlookup(BG359,A:A,N:N)+_xlfn.xlookup(BG359,A:A,O:O)</f>
        <v>#NAME?</v>
      </c>
      <c r="BK359" s="153" t="e">
        <f aca="false">_xlfn.xlookup(BG359,A308:A1302,AB308:AB1302)</f>
        <v>#NAME?</v>
      </c>
      <c r="BN359" s="146"/>
      <c r="BO359" s="150"/>
      <c r="BQ359" s="153" t="str">
        <f aca="false">IF(VALUE(MONTH(C359))&lt;10,YEAR(C359)&amp;"-0"&amp;MONTH(C359),YEAR(C359)&amp;"-"&amp;MONTH(C359))</f>
        <v>1900-01</v>
      </c>
      <c r="BR359" s="153" t="n">
        <f aca="false">J359</f>
        <v>0</v>
      </c>
      <c r="BS359" s="153" t="n">
        <f aca="false">IF(ISNUMBER(FIND("-", BR359)), LEFT(BR359, FIND("-", BR359) - 1), BR359)</f>
        <v>0</v>
      </c>
      <c r="BT359" s="189" t="n">
        <f aca="false">L359-M359+O359</f>
        <v>0</v>
      </c>
    </row>
    <row r="360" s="153" customFormat="true" ht="15" hidden="false" customHeight="false" outlineLevel="0" collapsed="false">
      <c r="AN360" s="153" t="e">
        <v>#NAME?</v>
      </c>
      <c r="AO360" s="153" t="e">
        <f aca="false">_xlfn.xlookup(AN360,A:A,F:F)</f>
        <v>#NAME?</v>
      </c>
      <c r="AP360" s="153" t="e">
        <f aca="false">_xlfn.xlookup(AN360,A:A,J:J)</f>
        <v>#NAME?</v>
      </c>
      <c r="AQ360" s="153" t="e">
        <f aca="false">_xlfn.xlookup(AN360,A:A,N:N)+_xlfn.xlookup(AN360,A:A,O:O)</f>
        <v>#NAME?</v>
      </c>
      <c r="AR360" s="150" t="e">
        <f aca="false">_xlfn.xlookup(AN360,A:A,AH:AH)</f>
        <v>#NAME?</v>
      </c>
      <c r="AS360" s="150" t="e">
        <f aca="false">_xlfn.xlookup(AN360,A:A,S:S)</f>
        <v>#NAME?</v>
      </c>
      <c r="AT360" s="150" t="e">
        <f aca="false">_xlfn.xlookup(AN360,A:A,AE:AE)</f>
        <v>#NAME?</v>
      </c>
      <c r="AU360" s="150" t="e">
        <f aca="false">_xlfn.xlookup(AN360,A:A,AF:AF)</f>
        <v>#NAME?</v>
      </c>
      <c r="AX360" s="146"/>
      <c r="AY360" s="150"/>
      <c r="AZ360" s="150"/>
      <c r="BA360" s="150"/>
      <c r="BB360" s="146"/>
      <c r="BC360" s="146"/>
      <c r="BD360" s="151"/>
      <c r="BE360" s="146"/>
      <c r="BF360" s="146"/>
      <c r="BH360" s="152" t="e">
        <f aca="false">_xlfn.xlookup(BG360,A:A,F:F)</f>
        <v>#NAME?</v>
      </c>
      <c r="BI360" s="153" t="e">
        <f aca="false">_xlfn.xlookup(BG360,A:A,J:J)</f>
        <v>#NAME?</v>
      </c>
      <c r="BJ360" s="153" t="e">
        <f aca="false">_xlfn.xlookup(BG360,A:A,N:N)+_xlfn.xlookup(BG360,A:A,O:O)</f>
        <v>#NAME?</v>
      </c>
      <c r="BK360" s="153" t="e">
        <f aca="false">_xlfn.xlookup(BG360,A309:A1303,AB309:AB1303)</f>
        <v>#NAME?</v>
      </c>
      <c r="BN360" s="146"/>
      <c r="BO360" s="150"/>
      <c r="BQ360" s="153" t="str">
        <f aca="false">IF(VALUE(MONTH(C360))&lt;10,YEAR(C360)&amp;"-0"&amp;MONTH(C360),YEAR(C360)&amp;"-"&amp;MONTH(C360))</f>
        <v>1900-01</v>
      </c>
      <c r="BR360" s="153" t="n">
        <f aca="false">J360</f>
        <v>0</v>
      </c>
      <c r="BS360" s="153" t="n">
        <f aca="false">IF(ISNUMBER(FIND("-", BR360)), LEFT(BR360, FIND("-", BR360) - 1), BR360)</f>
        <v>0</v>
      </c>
      <c r="BT360" s="189" t="n">
        <f aca="false">L360-M360+O360</f>
        <v>0</v>
      </c>
    </row>
    <row r="361" s="153" customFormat="true" ht="15" hidden="false" customHeight="false" outlineLevel="0" collapsed="false">
      <c r="AN361" s="153" t="e">
        <v>#NAME?</v>
      </c>
      <c r="AO361" s="153" t="e">
        <f aca="false">_xlfn.xlookup(AN361,A:A,F:F)</f>
        <v>#NAME?</v>
      </c>
      <c r="AP361" s="153" t="e">
        <f aca="false">_xlfn.xlookup(AN361,A:A,J:J)</f>
        <v>#NAME?</v>
      </c>
      <c r="AQ361" s="153" t="e">
        <f aca="false">_xlfn.xlookup(AN361,A:A,N:N)+_xlfn.xlookup(AN361,A:A,O:O)</f>
        <v>#NAME?</v>
      </c>
      <c r="AR361" s="150" t="e">
        <f aca="false">_xlfn.xlookup(AN361,A:A,AH:AH)</f>
        <v>#NAME?</v>
      </c>
      <c r="AS361" s="150" t="e">
        <f aca="false">_xlfn.xlookup(AN361,A:A,S:S)</f>
        <v>#NAME?</v>
      </c>
      <c r="AT361" s="150" t="e">
        <f aca="false">_xlfn.xlookup(AN361,A:A,AE:AE)</f>
        <v>#NAME?</v>
      </c>
      <c r="AU361" s="150" t="e">
        <f aca="false">_xlfn.xlookup(AN361,A:A,AF:AF)</f>
        <v>#NAME?</v>
      </c>
      <c r="AX361" s="146"/>
      <c r="AY361" s="150"/>
      <c r="AZ361" s="150"/>
      <c r="BA361" s="150"/>
      <c r="BB361" s="146"/>
      <c r="BC361" s="146"/>
      <c r="BD361" s="151"/>
      <c r="BE361" s="146"/>
      <c r="BF361" s="146"/>
      <c r="BH361" s="152" t="e">
        <f aca="false">_xlfn.xlookup(BG361,A:A,F:F)</f>
        <v>#NAME?</v>
      </c>
      <c r="BI361" s="153" t="e">
        <f aca="false">_xlfn.xlookup(BG361,A:A,J:J)</f>
        <v>#NAME?</v>
      </c>
      <c r="BJ361" s="153" t="e">
        <f aca="false">_xlfn.xlookup(BG361,A:A,N:N)+_xlfn.xlookup(BG361,A:A,O:O)</f>
        <v>#NAME?</v>
      </c>
      <c r="BK361" s="153" t="e">
        <f aca="false">_xlfn.xlookup(BG361,A310:A1304,AB310:AB1304)</f>
        <v>#NAME?</v>
      </c>
      <c r="BN361" s="146"/>
      <c r="BO361" s="150"/>
      <c r="BQ361" s="153" t="str">
        <f aca="false">IF(VALUE(MONTH(C361))&lt;10,YEAR(C361)&amp;"-0"&amp;MONTH(C361),YEAR(C361)&amp;"-"&amp;MONTH(C361))</f>
        <v>1900-01</v>
      </c>
      <c r="BR361" s="153" t="n">
        <f aca="false">J361</f>
        <v>0</v>
      </c>
      <c r="BS361" s="153" t="n">
        <f aca="false">IF(ISNUMBER(FIND("-", BR361)), LEFT(BR361, FIND("-", BR361) - 1), BR361)</f>
        <v>0</v>
      </c>
      <c r="BT361" s="189" t="n">
        <f aca="false">L361-M361+O361</f>
        <v>0</v>
      </c>
    </row>
    <row r="362" s="153" customFormat="true" ht="15" hidden="false" customHeight="false" outlineLevel="0" collapsed="false">
      <c r="AN362" s="153" t="e">
        <v>#NAME?</v>
      </c>
      <c r="AO362" s="153" t="e">
        <f aca="false">_xlfn.xlookup(AN362,A:A,F:F)</f>
        <v>#NAME?</v>
      </c>
      <c r="AP362" s="153" t="e">
        <f aca="false">_xlfn.xlookup(AN362,A:A,J:J)</f>
        <v>#NAME?</v>
      </c>
      <c r="AQ362" s="153" t="e">
        <f aca="false">_xlfn.xlookup(AN362,A:A,N:N)+_xlfn.xlookup(AN362,A:A,O:O)</f>
        <v>#NAME?</v>
      </c>
      <c r="AR362" s="150" t="e">
        <f aca="false">_xlfn.xlookup(AN362,A:A,AH:AH)</f>
        <v>#NAME?</v>
      </c>
      <c r="AS362" s="150" t="e">
        <f aca="false">_xlfn.xlookup(AN362,A:A,S:S)</f>
        <v>#NAME?</v>
      </c>
      <c r="AT362" s="150" t="e">
        <f aca="false">_xlfn.xlookup(AN362,A:A,AE:AE)</f>
        <v>#NAME?</v>
      </c>
      <c r="AU362" s="150" t="e">
        <f aca="false">_xlfn.xlookup(AN362,A:A,AF:AF)</f>
        <v>#NAME?</v>
      </c>
      <c r="AX362" s="146"/>
      <c r="AY362" s="150"/>
      <c r="AZ362" s="150"/>
      <c r="BA362" s="150"/>
      <c r="BB362" s="146"/>
      <c r="BC362" s="146"/>
      <c r="BD362" s="151"/>
      <c r="BE362" s="146"/>
      <c r="BF362" s="146"/>
      <c r="BH362" s="152" t="e">
        <f aca="false">_xlfn.xlookup(BG362,A:A,F:F)</f>
        <v>#NAME?</v>
      </c>
      <c r="BI362" s="153" t="e">
        <f aca="false">_xlfn.xlookup(BG362,A:A,J:J)</f>
        <v>#NAME?</v>
      </c>
      <c r="BJ362" s="153" t="e">
        <f aca="false">_xlfn.xlookup(BG362,A:A,N:N)+_xlfn.xlookup(BG362,A:A,O:O)</f>
        <v>#NAME?</v>
      </c>
      <c r="BK362" s="153" t="e">
        <f aca="false">_xlfn.xlookup(BG362,A311:A1305,AB311:AB1305)</f>
        <v>#NAME?</v>
      </c>
      <c r="BN362" s="146"/>
      <c r="BO362" s="150"/>
      <c r="BQ362" s="153" t="str">
        <f aca="false">IF(VALUE(MONTH(C362))&lt;10,YEAR(C362)&amp;"-0"&amp;MONTH(C362),YEAR(C362)&amp;"-"&amp;MONTH(C362))</f>
        <v>1900-01</v>
      </c>
      <c r="BR362" s="153" t="n">
        <f aca="false">J362</f>
        <v>0</v>
      </c>
      <c r="BS362" s="153" t="n">
        <f aca="false">IF(ISNUMBER(FIND("-", BR362)), LEFT(BR362, FIND("-", BR362) - 1), BR362)</f>
        <v>0</v>
      </c>
      <c r="BT362" s="189" t="n">
        <f aca="false">L362-M362+O362</f>
        <v>0</v>
      </c>
    </row>
    <row r="363" s="153" customFormat="true" ht="15" hidden="false" customHeight="false" outlineLevel="0" collapsed="false">
      <c r="AN363" s="153" t="e">
        <v>#NAME?</v>
      </c>
      <c r="AO363" s="153" t="e">
        <f aca="false">_xlfn.xlookup(AN363,A:A,F:F)</f>
        <v>#NAME?</v>
      </c>
      <c r="AP363" s="153" t="e">
        <f aca="false">_xlfn.xlookup(AN363,A:A,J:J)</f>
        <v>#NAME?</v>
      </c>
      <c r="AQ363" s="153" t="e">
        <f aca="false">_xlfn.xlookup(AN363,A:A,N:N)+_xlfn.xlookup(AN363,A:A,O:O)</f>
        <v>#NAME?</v>
      </c>
      <c r="AR363" s="150" t="e">
        <f aca="false">_xlfn.xlookup(AN363,A:A,AH:AH)</f>
        <v>#NAME?</v>
      </c>
      <c r="AS363" s="150" t="e">
        <f aca="false">_xlfn.xlookup(AN363,A:A,S:S)</f>
        <v>#NAME?</v>
      </c>
      <c r="AT363" s="150" t="e">
        <f aca="false">_xlfn.xlookup(AN363,A:A,AE:AE)</f>
        <v>#NAME?</v>
      </c>
      <c r="AU363" s="150" t="e">
        <f aca="false">_xlfn.xlookup(AN363,A:A,AF:AF)</f>
        <v>#NAME?</v>
      </c>
      <c r="AX363" s="146"/>
      <c r="AY363" s="150"/>
      <c r="AZ363" s="150"/>
      <c r="BA363" s="150"/>
      <c r="BB363" s="146"/>
      <c r="BC363" s="146"/>
      <c r="BD363" s="151"/>
      <c r="BE363" s="146"/>
      <c r="BF363" s="146"/>
      <c r="BH363" s="152" t="e">
        <f aca="false">_xlfn.xlookup(BG363,A:A,F:F)</f>
        <v>#NAME?</v>
      </c>
      <c r="BI363" s="153" t="e">
        <f aca="false">_xlfn.xlookup(BG363,A:A,J:J)</f>
        <v>#NAME?</v>
      </c>
      <c r="BJ363" s="153" t="e">
        <f aca="false">_xlfn.xlookup(BG363,A:A,N:N)+_xlfn.xlookup(BG363,A:A,O:O)</f>
        <v>#NAME?</v>
      </c>
      <c r="BK363" s="153" t="e">
        <f aca="false">_xlfn.xlookup(BG363,A312:A1306,AB312:AB1306)</f>
        <v>#NAME?</v>
      </c>
      <c r="BN363" s="146"/>
      <c r="BO363" s="150"/>
      <c r="BQ363" s="153" t="str">
        <f aca="false">IF(VALUE(MONTH(C363))&lt;10,YEAR(C363)&amp;"-0"&amp;MONTH(C363),YEAR(C363)&amp;"-"&amp;MONTH(C363))</f>
        <v>1900-01</v>
      </c>
      <c r="BR363" s="153" t="n">
        <f aca="false">J363</f>
        <v>0</v>
      </c>
      <c r="BS363" s="153" t="n">
        <f aca="false">IF(ISNUMBER(FIND("-", BR363)), LEFT(BR363, FIND("-", BR363) - 1), BR363)</f>
        <v>0</v>
      </c>
      <c r="BT363" s="189" t="n">
        <f aca="false">L363-M363+O363</f>
        <v>0</v>
      </c>
    </row>
    <row r="364" s="153" customFormat="true" ht="15" hidden="false" customHeight="false" outlineLevel="0" collapsed="false">
      <c r="AN364" s="153" t="e">
        <v>#NAME?</v>
      </c>
      <c r="AO364" s="153" t="e">
        <f aca="false">_xlfn.xlookup(AN364,A:A,F:F)</f>
        <v>#NAME?</v>
      </c>
      <c r="AP364" s="153" t="e">
        <f aca="false">_xlfn.xlookup(AN364,A:A,J:J)</f>
        <v>#NAME?</v>
      </c>
      <c r="AQ364" s="153" t="e">
        <f aca="false">_xlfn.xlookup(AN364,A:A,N:N)+_xlfn.xlookup(AN364,A:A,O:O)</f>
        <v>#NAME?</v>
      </c>
      <c r="AR364" s="150" t="e">
        <f aca="false">_xlfn.xlookup(AN364,A:A,AH:AH)</f>
        <v>#NAME?</v>
      </c>
      <c r="AS364" s="150" t="e">
        <f aca="false">_xlfn.xlookup(AN364,A:A,S:S)</f>
        <v>#NAME?</v>
      </c>
      <c r="AT364" s="150" t="e">
        <f aca="false">_xlfn.xlookup(AN364,A:A,AE:AE)</f>
        <v>#NAME?</v>
      </c>
      <c r="AU364" s="150" t="e">
        <f aca="false">_xlfn.xlookup(AN364,A:A,AF:AF)</f>
        <v>#NAME?</v>
      </c>
      <c r="AX364" s="146"/>
      <c r="AY364" s="150"/>
      <c r="AZ364" s="150"/>
      <c r="BA364" s="150"/>
      <c r="BB364" s="146"/>
      <c r="BC364" s="146"/>
      <c r="BD364" s="151"/>
      <c r="BE364" s="146"/>
      <c r="BF364" s="146"/>
      <c r="BH364" s="152" t="e">
        <f aca="false">_xlfn.xlookup(BG364,A:A,F:F)</f>
        <v>#NAME?</v>
      </c>
      <c r="BI364" s="153" t="e">
        <f aca="false">_xlfn.xlookup(BG364,A:A,J:J)</f>
        <v>#NAME?</v>
      </c>
      <c r="BJ364" s="153" t="e">
        <f aca="false">_xlfn.xlookup(BG364,A:A,N:N)+_xlfn.xlookup(BG364,A:A,O:O)</f>
        <v>#NAME?</v>
      </c>
      <c r="BK364" s="153" t="e">
        <f aca="false">_xlfn.xlookup(BG364,A313:A1307,AB313:AB1307)</f>
        <v>#NAME?</v>
      </c>
      <c r="BN364" s="146"/>
      <c r="BO364" s="150"/>
      <c r="BQ364" s="153" t="str">
        <f aca="false">IF(VALUE(MONTH(C364))&lt;10,YEAR(C364)&amp;"-0"&amp;MONTH(C364),YEAR(C364)&amp;"-"&amp;MONTH(C364))</f>
        <v>1900-01</v>
      </c>
      <c r="BR364" s="153" t="n">
        <f aca="false">J364</f>
        <v>0</v>
      </c>
      <c r="BS364" s="153" t="n">
        <f aca="false">IF(ISNUMBER(FIND("-", BR364)), LEFT(BR364, FIND("-", BR364) - 1), BR364)</f>
        <v>0</v>
      </c>
      <c r="BT364" s="189" t="n">
        <f aca="false">L364-M364+O364</f>
        <v>0</v>
      </c>
    </row>
    <row r="365" s="153" customFormat="true" ht="15" hidden="false" customHeight="false" outlineLevel="0" collapsed="false">
      <c r="AN365" s="153" t="e">
        <v>#NAME?</v>
      </c>
      <c r="AO365" s="153" t="e">
        <f aca="false">_xlfn.xlookup(AN365,A:A,F:F)</f>
        <v>#NAME?</v>
      </c>
      <c r="AP365" s="153" t="e">
        <f aca="false">_xlfn.xlookup(AN365,A:A,J:J)</f>
        <v>#NAME?</v>
      </c>
      <c r="AQ365" s="153" t="e">
        <f aca="false">_xlfn.xlookup(AN365,A:A,N:N)+_xlfn.xlookup(AN365,A:A,O:O)</f>
        <v>#NAME?</v>
      </c>
      <c r="AR365" s="150" t="e">
        <f aca="false">_xlfn.xlookup(AN365,A:A,AH:AH)</f>
        <v>#NAME?</v>
      </c>
      <c r="AS365" s="150" t="e">
        <f aca="false">_xlfn.xlookup(AN365,A:A,S:S)</f>
        <v>#NAME?</v>
      </c>
      <c r="AT365" s="150" t="e">
        <f aca="false">_xlfn.xlookup(AN365,A:A,AE:AE)</f>
        <v>#NAME?</v>
      </c>
      <c r="AU365" s="150" t="e">
        <f aca="false">_xlfn.xlookup(AN365,A:A,AF:AF)</f>
        <v>#NAME?</v>
      </c>
      <c r="AX365" s="146"/>
      <c r="AY365" s="150"/>
      <c r="AZ365" s="150"/>
      <c r="BA365" s="150"/>
      <c r="BB365" s="146"/>
      <c r="BC365" s="146"/>
      <c r="BD365" s="151"/>
      <c r="BE365" s="146"/>
      <c r="BF365" s="146"/>
      <c r="BH365" s="152" t="e">
        <f aca="false">_xlfn.xlookup(BG365,A:A,F:F)</f>
        <v>#NAME?</v>
      </c>
      <c r="BI365" s="153" t="e">
        <f aca="false">_xlfn.xlookup(BG365,A:A,J:J)</f>
        <v>#NAME?</v>
      </c>
      <c r="BJ365" s="153" t="e">
        <f aca="false">_xlfn.xlookup(BG365,A:A,N:N)+_xlfn.xlookup(BG365,A:A,O:O)</f>
        <v>#NAME?</v>
      </c>
      <c r="BK365" s="153" t="e">
        <f aca="false">_xlfn.xlookup(BG365,A314:A1308,AB314:AB1308)</f>
        <v>#NAME?</v>
      </c>
      <c r="BN365" s="146"/>
      <c r="BO365" s="150"/>
      <c r="BQ365" s="153" t="str">
        <f aca="false">IF(VALUE(MONTH(C365))&lt;10,YEAR(C365)&amp;"-0"&amp;MONTH(C365),YEAR(C365)&amp;"-"&amp;MONTH(C365))</f>
        <v>1900-01</v>
      </c>
      <c r="BR365" s="153" t="n">
        <f aca="false">J365</f>
        <v>0</v>
      </c>
      <c r="BS365" s="153" t="n">
        <f aca="false">IF(ISNUMBER(FIND("-", BR365)), LEFT(BR365, FIND("-", BR365) - 1), BR365)</f>
        <v>0</v>
      </c>
      <c r="BT365" s="189" t="n">
        <f aca="false">L365-M365+O365</f>
        <v>0</v>
      </c>
    </row>
    <row r="366" s="153" customFormat="true" ht="15" hidden="false" customHeight="false" outlineLevel="0" collapsed="false">
      <c r="AN366" s="153" t="e">
        <v>#NAME?</v>
      </c>
      <c r="AO366" s="153" t="e">
        <f aca="false">_xlfn.xlookup(AN366,A:A,F:F)</f>
        <v>#NAME?</v>
      </c>
      <c r="AP366" s="153" t="e">
        <f aca="false">_xlfn.xlookup(AN366,A:A,J:J)</f>
        <v>#NAME?</v>
      </c>
      <c r="AQ366" s="153" t="e">
        <f aca="false">_xlfn.xlookup(AN366,A:A,N:N)+_xlfn.xlookup(AN366,A:A,O:O)</f>
        <v>#NAME?</v>
      </c>
      <c r="AR366" s="150" t="e">
        <f aca="false">_xlfn.xlookup(AN366,A:A,AH:AH)</f>
        <v>#NAME?</v>
      </c>
      <c r="AS366" s="150" t="e">
        <f aca="false">_xlfn.xlookup(AN366,A:A,S:S)</f>
        <v>#NAME?</v>
      </c>
      <c r="AT366" s="150" t="e">
        <f aca="false">_xlfn.xlookup(AN366,A:A,AE:AE)</f>
        <v>#NAME?</v>
      </c>
      <c r="AU366" s="150" t="e">
        <f aca="false">_xlfn.xlookup(AN366,A:A,AF:AF)</f>
        <v>#NAME?</v>
      </c>
      <c r="AX366" s="146"/>
      <c r="AY366" s="150"/>
      <c r="AZ366" s="150"/>
      <c r="BA366" s="150"/>
      <c r="BB366" s="146"/>
      <c r="BC366" s="146"/>
      <c r="BD366" s="151"/>
      <c r="BE366" s="146"/>
      <c r="BF366" s="146"/>
      <c r="BH366" s="152" t="e">
        <f aca="false">_xlfn.xlookup(BG366,A:A,F:F)</f>
        <v>#NAME?</v>
      </c>
      <c r="BI366" s="153" t="e">
        <f aca="false">_xlfn.xlookup(BG366,A:A,J:J)</f>
        <v>#NAME?</v>
      </c>
      <c r="BJ366" s="153" t="e">
        <f aca="false">_xlfn.xlookup(BG366,A:A,N:N)+_xlfn.xlookup(BG366,A:A,O:O)</f>
        <v>#NAME?</v>
      </c>
      <c r="BK366" s="153" t="e">
        <f aca="false">_xlfn.xlookup(BG366,A315:A1309,AB315:AB1309)</f>
        <v>#NAME?</v>
      </c>
      <c r="BN366" s="146"/>
      <c r="BO366" s="150"/>
      <c r="BQ366" s="153" t="str">
        <f aca="false">IF(VALUE(MONTH(C366))&lt;10,YEAR(C366)&amp;"-0"&amp;MONTH(C366),YEAR(C366)&amp;"-"&amp;MONTH(C366))</f>
        <v>1900-01</v>
      </c>
      <c r="BR366" s="153" t="n">
        <f aca="false">J366</f>
        <v>0</v>
      </c>
      <c r="BS366" s="153" t="n">
        <f aca="false">IF(ISNUMBER(FIND("-", BR366)), LEFT(BR366, FIND("-", BR366) - 1), BR366)</f>
        <v>0</v>
      </c>
      <c r="BT366" s="189" t="n">
        <f aca="false">L366-M366+O366</f>
        <v>0</v>
      </c>
    </row>
    <row r="367" s="153" customFormat="true" ht="15" hidden="false" customHeight="false" outlineLevel="0" collapsed="false">
      <c r="AN367" s="153" t="e">
        <v>#NAME?</v>
      </c>
      <c r="AO367" s="153" t="e">
        <f aca="false">_xlfn.xlookup(AN367,A:A,F:F)</f>
        <v>#NAME?</v>
      </c>
      <c r="AP367" s="153" t="e">
        <f aca="false">_xlfn.xlookup(AN367,A:A,J:J)</f>
        <v>#NAME?</v>
      </c>
      <c r="AQ367" s="153" t="e">
        <f aca="false">_xlfn.xlookup(AN367,A:A,N:N)+_xlfn.xlookup(AN367,A:A,O:O)</f>
        <v>#NAME?</v>
      </c>
      <c r="AR367" s="150" t="e">
        <f aca="false">_xlfn.xlookup(AN367,A:A,AH:AH)</f>
        <v>#NAME?</v>
      </c>
      <c r="AS367" s="150" t="e">
        <f aca="false">_xlfn.xlookup(AN367,A:A,S:S)</f>
        <v>#NAME?</v>
      </c>
      <c r="AT367" s="150" t="e">
        <f aca="false">_xlfn.xlookup(AN367,A:A,AE:AE)</f>
        <v>#NAME?</v>
      </c>
      <c r="AU367" s="150" t="e">
        <f aca="false">_xlfn.xlookup(AN367,A:A,AF:AF)</f>
        <v>#NAME?</v>
      </c>
      <c r="AX367" s="146"/>
      <c r="AY367" s="150"/>
      <c r="AZ367" s="150"/>
      <c r="BA367" s="150"/>
      <c r="BB367" s="146"/>
      <c r="BC367" s="146"/>
      <c r="BD367" s="151"/>
      <c r="BE367" s="146"/>
      <c r="BF367" s="146"/>
      <c r="BH367" s="152" t="e">
        <f aca="false">_xlfn.xlookup(BG367,A:A,F:F)</f>
        <v>#NAME?</v>
      </c>
      <c r="BI367" s="153" t="e">
        <f aca="false">_xlfn.xlookup(BG367,A:A,J:J)</f>
        <v>#NAME?</v>
      </c>
      <c r="BJ367" s="153" t="e">
        <f aca="false">_xlfn.xlookup(BG367,A:A,N:N)+_xlfn.xlookup(BG367,A:A,O:O)</f>
        <v>#NAME?</v>
      </c>
      <c r="BK367" s="153" t="e">
        <f aca="false">_xlfn.xlookup(BG367,A316:A1310,AB316:AB1310)</f>
        <v>#NAME?</v>
      </c>
      <c r="BN367" s="146"/>
      <c r="BO367" s="150"/>
      <c r="BQ367" s="153" t="str">
        <f aca="false">IF(VALUE(MONTH(C367))&lt;10,YEAR(C367)&amp;"-0"&amp;MONTH(C367),YEAR(C367)&amp;"-"&amp;MONTH(C367))</f>
        <v>1900-01</v>
      </c>
      <c r="BR367" s="153" t="n">
        <f aca="false">J367</f>
        <v>0</v>
      </c>
      <c r="BS367" s="153" t="n">
        <f aca="false">IF(ISNUMBER(FIND("-", BR367)), LEFT(BR367, FIND("-", BR367) - 1), BR367)</f>
        <v>0</v>
      </c>
      <c r="BT367" s="189" t="n">
        <f aca="false">L367-M367+O367</f>
        <v>0</v>
      </c>
    </row>
    <row r="368" s="153" customFormat="true" ht="15" hidden="false" customHeight="false" outlineLevel="0" collapsed="false">
      <c r="AN368" s="153" t="e">
        <v>#NAME?</v>
      </c>
      <c r="AO368" s="153" t="e">
        <f aca="false">_xlfn.xlookup(AN368,A:A,F:F)</f>
        <v>#NAME?</v>
      </c>
      <c r="AP368" s="153" t="e">
        <f aca="false">_xlfn.xlookup(AN368,A:A,J:J)</f>
        <v>#NAME?</v>
      </c>
      <c r="AQ368" s="153" t="e">
        <f aca="false">_xlfn.xlookup(AN368,A:A,N:N)+_xlfn.xlookup(AN368,A:A,O:O)</f>
        <v>#NAME?</v>
      </c>
      <c r="AR368" s="150" t="e">
        <f aca="false">_xlfn.xlookup(AN368,A:A,AH:AH)</f>
        <v>#NAME?</v>
      </c>
      <c r="AS368" s="150" t="e">
        <f aca="false">_xlfn.xlookup(AN368,A:A,S:S)</f>
        <v>#NAME?</v>
      </c>
      <c r="AT368" s="150" t="e">
        <f aca="false">_xlfn.xlookup(AN368,A:A,AE:AE)</f>
        <v>#NAME?</v>
      </c>
      <c r="AU368" s="150" t="e">
        <f aca="false">_xlfn.xlookup(AN368,A:A,AF:AF)</f>
        <v>#NAME?</v>
      </c>
      <c r="AX368" s="146"/>
      <c r="AY368" s="150"/>
      <c r="AZ368" s="150"/>
      <c r="BA368" s="150"/>
      <c r="BB368" s="146"/>
      <c r="BC368" s="146"/>
      <c r="BD368" s="151"/>
      <c r="BE368" s="146"/>
      <c r="BF368" s="146"/>
      <c r="BH368" s="152" t="e">
        <f aca="false">_xlfn.xlookup(BG368,A:A,F:F)</f>
        <v>#NAME?</v>
      </c>
      <c r="BI368" s="153" t="e">
        <f aca="false">_xlfn.xlookup(BG368,A:A,J:J)</f>
        <v>#NAME?</v>
      </c>
      <c r="BJ368" s="153" t="e">
        <f aca="false">_xlfn.xlookup(BG368,A:A,N:N)+_xlfn.xlookup(BG368,A:A,O:O)</f>
        <v>#NAME?</v>
      </c>
      <c r="BK368" s="153" t="e">
        <f aca="false">_xlfn.xlookup(BG368,A317:A1311,AB317:AB1311)</f>
        <v>#NAME?</v>
      </c>
      <c r="BN368" s="146"/>
      <c r="BO368" s="150"/>
      <c r="BQ368" s="153" t="str">
        <f aca="false">IF(VALUE(MONTH(C368))&lt;10,YEAR(C368)&amp;"-0"&amp;MONTH(C368),YEAR(C368)&amp;"-"&amp;MONTH(C368))</f>
        <v>1900-01</v>
      </c>
      <c r="BR368" s="153" t="n">
        <f aca="false">J368</f>
        <v>0</v>
      </c>
      <c r="BS368" s="153" t="n">
        <f aca="false">IF(ISNUMBER(FIND("-", BR368)), LEFT(BR368, FIND("-", BR368) - 1), BR368)</f>
        <v>0</v>
      </c>
      <c r="BT368" s="189" t="n">
        <f aca="false">L368-M368+O368</f>
        <v>0</v>
      </c>
    </row>
    <row r="369" s="153" customFormat="true" ht="15" hidden="false" customHeight="false" outlineLevel="0" collapsed="false">
      <c r="AN369" s="153" t="e">
        <v>#NAME?</v>
      </c>
      <c r="AO369" s="153" t="e">
        <f aca="false">_xlfn.xlookup(AN369,A:A,F:F)</f>
        <v>#NAME?</v>
      </c>
      <c r="AP369" s="153" t="e">
        <f aca="false">_xlfn.xlookup(AN369,A:A,J:J)</f>
        <v>#NAME?</v>
      </c>
      <c r="AQ369" s="153" t="e">
        <f aca="false">_xlfn.xlookup(AN369,A:A,N:N)+_xlfn.xlookup(AN369,A:A,O:O)</f>
        <v>#NAME?</v>
      </c>
      <c r="AR369" s="150" t="e">
        <f aca="false">_xlfn.xlookup(AN369,A:A,AH:AH)</f>
        <v>#NAME?</v>
      </c>
      <c r="AS369" s="150" t="e">
        <f aca="false">_xlfn.xlookup(AN369,A:A,S:S)</f>
        <v>#NAME?</v>
      </c>
      <c r="AT369" s="150" t="e">
        <f aca="false">_xlfn.xlookup(AN369,A:A,AE:AE)</f>
        <v>#NAME?</v>
      </c>
      <c r="AU369" s="150" t="e">
        <f aca="false">_xlfn.xlookup(AN369,A:A,AF:AF)</f>
        <v>#NAME?</v>
      </c>
      <c r="AX369" s="146"/>
      <c r="AY369" s="150"/>
      <c r="AZ369" s="150"/>
      <c r="BA369" s="150"/>
      <c r="BB369" s="146"/>
      <c r="BC369" s="146"/>
      <c r="BD369" s="151"/>
      <c r="BE369" s="146"/>
      <c r="BF369" s="146"/>
      <c r="BH369" s="152" t="e">
        <f aca="false">_xlfn.xlookup(BG369,A:A,F:F)</f>
        <v>#NAME?</v>
      </c>
      <c r="BI369" s="153" t="e">
        <f aca="false">_xlfn.xlookup(BG369,A:A,J:J)</f>
        <v>#NAME?</v>
      </c>
      <c r="BJ369" s="153" t="e">
        <f aca="false">_xlfn.xlookup(BG369,A:A,N:N)+_xlfn.xlookup(BG369,A:A,O:O)</f>
        <v>#NAME?</v>
      </c>
      <c r="BK369" s="153" t="e">
        <f aca="false">_xlfn.xlookup(BG369,A318:A1312,AB318:AB1312)</f>
        <v>#NAME?</v>
      </c>
      <c r="BN369" s="146"/>
      <c r="BO369" s="150"/>
      <c r="BQ369" s="153" t="str">
        <f aca="false">IF(VALUE(MONTH(C369))&lt;10,YEAR(C369)&amp;"-0"&amp;MONTH(C369),YEAR(C369)&amp;"-"&amp;MONTH(C369))</f>
        <v>1900-01</v>
      </c>
      <c r="BR369" s="153" t="n">
        <f aca="false">J369</f>
        <v>0</v>
      </c>
      <c r="BS369" s="153" t="n">
        <f aca="false">IF(ISNUMBER(FIND("-", BR369)), LEFT(BR369, FIND("-", BR369) - 1), BR369)</f>
        <v>0</v>
      </c>
      <c r="BT369" s="189" t="n">
        <f aca="false">L369-M369+O369</f>
        <v>0</v>
      </c>
    </row>
    <row r="370" s="153" customFormat="true" ht="15" hidden="false" customHeight="false" outlineLevel="0" collapsed="false">
      <c r="AN370" s="153" t="e">
        <v>#NAME?</v>
      </c>
      <c r="AO370" s="153" t="e">
        <f aca="false">_xlfn.xlookup(AN370,A:A,F:F)</f>
        <v>#NAME?</v>
      </c>
      <c r="AP370" s="153" t="e">
        <f aca="false">_xlfn.xlookup(AN370,A:A,J:J)</f>
        <v>#NAME?</v>
      </c>
      <c r="AQ370" s="153" t="e">
        <f aca="false">_xlfn.xlookup(AN370,A:A,N:N)+_xlfn.xlookup(AN370,A:A,O:O)</f>
        <v>#NAME?</v>
      </c>
      <c r="AR370" s="150" t="e">
        <f aca="false">_xlfn.xlookup(AN370,A:A,AH:AH)</f>
        <v>#NAME?</v>
      </c>
      <c r="AS370" s="150" t="e">
        <f aca="false">_xlfn.xlookup(AN370,A:A,S:S)</f>
        <v>#NAME?</v>
      </c>
      <c r="AT370" s="150" t="e">
        <f aca="false">_xlfn.xlookup(AN370,A:A,AE:AE)</f>
        <v>#NAME?</v>
      </c>
      <c r="AU370" s="150" t="e">
        <f aca="false">_xlfn.xlookup(AN370,A:A,AF:AF)</f>
        <v>#NAME?</v>
      </c>
      <c r="AX370" s="146"/>
      <c r="AY370" s="150"/>
      <c r="AZ370" s="150"/>
      <c r="BA370" s="150"/>
      <c r="BB370" s="146"/>
      <c r="BC370" s="146"/>
      <c r="BD370" s="151"/>
      <c r="BE370" s="146"/>
      <c r="BF370" s="146"/>
      <c r="BH370" s="152" t="e">
        <f aca="false">_xlfn.xlookup(BG370,A:A,F:F)</f>
        <v>#NAME?</v>
      </c>
      <c r="BI370" s="153" t="e">
        <f aca="false">_xlfn.xlookup(BG370,A:A,J:J)</f>
        <v>#NAME?</v>
      </c>
      <c r="BJ370" s="153" t="e">
        <f aca="false">_xlfn.xlookup(BG370,A:A,N:N)+_xlfn.xlookup(BG370,A:A,O:O)</f>
        <v>#NAME?</v>
      </c>
      <c r="BK370" s="153" t="e">
        <f aca="false">_xlfn.xlookup(BG370,A319:A1313,AB319:AB1313)</f>
        <v>#NAME?</v>
      </c>
      <c r="BN370" s="146"/>
      <c r="BO370" s="150"/>
      <c r="BQ370" s="153" t="str">
        <f aca="false">IF(VALUE(MONTH(C370))&lt;10,YEAR(C370)&amp;"-0"&amp;MONTH(C370),YEAR(C370)&amp;"-"&amp;MONTH(C370))</f>
        <v>1900-01</v>
      </c>
      <c r="BR370" s="153" t="n">
        <f aca="false">J370</f>
        <v>0</v>
      </c>
      <c r="BS370" s="153" t="n">
        <f aca="false">IF(ISNUMBER(FIND("-", BR370)), LEFT(BR370, FIND("-", BR370) - 1), BR370)</f>
        <v>0</v>
      </c>
      <c r="BT370" s="189" t="n">
        <f aca="false">L370-M370+O370</f>
        <v>0</v>
      </c>
    </row>
    <row r="371" s="153" customFormat="true" ht="15" hidden="false" customHeight="false" outlineLevel="0" collapsed="false">
      <c r="AN371" s="153" t="e">
        <v>#NAME?</v>
      </c>
      <c r="AO371" s="153" t="e">
        <f aca="false">_xlfn.xlookup(AN371,A:A,F:F)</f>
        <v>#NAME?</v>
      </c>
      <c r="AP371" s="153" t="e">
        <f aca="false">_xlfn.xlookup(AN371,A:A,J:J)</f>
        <v>#NAME?</v>
      </c>
      <c r="AQ371" s="153" t="e">
        <f aca="false">_xlfn.xlookup(AN371,A:A,N:N)+_xlfn.xlookup(AN371,A:A,O:O)</f>
        <v>#NAME?</v>
      </c>
      <c r="AR371" s="150" t="e">
        <f aca="false">_xlfn.xlookup(AN371,A:A,AH:AH)</f>
        <v>#NAME?</v>
      </c>
      <c r="AS371" s="150" t="e">
        <f aca="false">_xlfn.xlookup(AN371,A:A,S:S)</f>
        <v>#NAME?</v>
      </c>
      <c r="AT371" s="150" t="e">
        <f aca="false">_xlfn.xlookup(AN371,A:A,AE:AE)</f>
        <v>#NAME?</v>
      </c>
      <c r="AU371" s="150" t="e">
        <f aca="false">_xlfn.xlookup(AN371,A:A,AF:AF)</f>
        <v>#NAME?</v>
      </c>
      <c r="AX371" s="146"/>
      <c r="AY371" s="150"/>
      <c r="AZ371" s="150"/>
      <c r="BA371" s="150"/>
      <c r="BB371" s="146"/>
      <c r="BC371" s="146"/>
      <c r="BD371" s="151"/>
      <c r="BE371" s="146"/>
      <c r="BF371" s="146"/>
      <c r="BH371" s="152" t="e">
        <f aca="false">_xlfn.xlookup(BG371,A:A,F:F)</f>
        <v>#NAME?</v>
      </c>
      <c r="BI371" s="153" t="e">
        <f aca="false">_xlfn.xlookup(BG371,A:A,J:J)</f>
        <v>#NAME?</v>
      </c>
      <c r="BJ371" s="153" t="e">
        <f aca="false">_xlfn.xlookup(BG371,A:A,N:N)+_xlfn.xlookup(BG371,A:A,O:O)</f>
        <v>#NAME?</v>
      </c>
      <c r="BK371" s="153" t="e">
        <f aca="false">_xlfn.xlookup(BG371,A320:A1314,AB320:AB1314)</f>
        <v>#NAME?</v>
      </c>
      <c r="BN371" s="146"/>
      <c r="BO371" s="150"/>
      <c r="BQ371" s="153" t="str">
        <f aca="false">IF(VALUE(MONTH(C371))&lt;10,YEAR(C371)&amp;"-0"&amp;MONTH(C371),YEAR(C371)&amp;"-"&amp;MONTH(C371))</f>
        <v>1900-01</v>
      </c>
      <c r="BR371" s="153" t="n">
        <f aca="false">J371</f>
        <v>0</v>
      </c>
      <c r="BS371" s="153" t="n">
        <f aca="false">IF(ISNUMBER(FIND("-", BR371)), LEFT(BR371, FIND("-", BR371) - 1), BR371)</f>
        <v>0</v>
      </c>
      <c r="BT371" s="189" t="n">
        <f aca="false">L371-M371+O371</f>
        <v>0</v>
      </c>
    </row>
    <row r="372" s="153" customFormat="true" ht="15" hidden="false" customHeight="false" outlineLevel="0" collapsed="false">
      <c r="AN372" s="153" t="e">
        <v>#NAME?</v>
      </c>
      <c r="AO372" s="153" t="e">
        <f aca="false">_xlfn.xlookup(AN372,A:A,F:F)</f>
        <v>#NAME?</v>
      </c>
      <c r="AP372" s="153" t="e">
        <f aca="false">_xlfn.xlookup(AN372,A:A,J:J)</f>
        <v>#NAME?</v>
      </c>
      <c r="AQ372" s="153" t="e">
        <f aca="false">_xlfn.xlookup(AN372,A:A,N:N)+_xlfn.xlookup(AN372,A:A,O:O)</f>
        <v>#NAME?</v>
      </c>
      <c r="AR372" s="150" t="e">
        <f aca="false">_xlfn.xlookup(AN372,A:A,AH:AH)</f>
        <v>#NAME?</v>
      </c>
      <c r="AS372" s="150" t="e">
        <f aca="false">_xlfn.xlookup(AN372,A:A,S:S)</f>
        <v>#NAME?</v>
      </c>
      <c r="AT372" s="150" t="e">
        <f aca="false">_xlfn.xlookup(AN372,A:A,AE:AE)</f>
        <v>#NAME?</v>
      </c>
      <c r="AU372" s="150" t="e">
        <f aca="false">_xlfn.xlookup(AN372,A:A,AF:AF)</f>
        <v>#NAME?</v>
      </c>
      <c r="AX372" s="146"/>
      <c r="AY372" s="150"/>
      <c r="AZ372" s="150"/>
      <c r="BA372" s="150"/>
      <c r="BB372" s="146"/>
      <c r="BC372" s="146"/>
      <c r="BD372" s="151"/>
      <c r="BE372" s="146"/>
      <c r="BF372" s="146"/>
      <c r="BH372" s="152" t="e">
        <f aca="false">_xlfn.xlookup(BG372,A:A,F:F)</f>
        <v>#NAME?</v>
      </c>
      <c r="BI372" s="153" t="e">
        <f aca="false">_xlfn.xlookup(BG372,A:A,J:J)</f>
        <v>#NAME?</v>
      </c>
      <c r="BJ372" s="153" t="e">
        <f aca="false">_xlfn.xlookup(BG372,A:A,N:N)+_xlfn.xlookup(BG372,A:A,O:O)</f>
        <v>#NAME?</v>
      </c>
      <c r="BK372" s="153" t="e">
        <f aca="false">_xlfn.xlookup(BG372,A321:A1315,AB321:AB1315)</f>
        <v>#NAME?</v>
      </c>
      <c r="BN372" s="146"/>
      <c r="BO372" s="150"/>
      <c r="BQ372" s="153" t="str">
        <f aca="false">IF(VALUE(MONTH(C372))&lt;10,YEAR(C372)&amp;"-0"&amp;MONTH(C372),YEAR(C372)&amp;"-"&amp;MONTH(C372))</f>
        <v>1900-01</v>
      </c>
      <c r="BR372" s="153" t="n">
        <f aca="false">J372</f>
        <v>0</v>
      </c>
      <c r="BS372" s="153" t="n">
        <f aca="false">IF(ISNUMBER(FIND("-", BR372)), LEFT(BR372, FIND("-", BR372) - 1), BR372)</f>
        <v>0</v>
      </c>
      <c r="BT372" s="189" t="n">
        <f aca="false">L372-M372+O372</f>
        <v>0</v>
      </c>
    </row>
    <row r="373" s="153" customFormat="true" ht="15" hidden="false" customHeight="false" outlineLevel="0" collapsed="false">
      <c r="AN373" s="153" t="e">
        <v>#NAME?</v>
      </c>
      <c r="AO373" s="153" t="e">
        <f aca="false">_xlfn.xlookup(AN373,A:A,F:F)</f>
        <v>#NAME?</v>
      </c>
      <c r="AP373" s="153" t="e">
        <f aca="false">_xlfn.xlookup(AN373,A:A,J:J)</f>
        <v>#NAME?</v>
      </c>
      <c r="AQ373" s="153" t="e">
        <f aca="false">_xlfn.xlookup(AN373,A:A,N:N)+_xlfn.xlookup(AN373,A:A,O:O)</f>
        <v>#NAME?</v>
      </c>
      <c r="AR373" s="150" t="e">
        <f aca="false">_xlfn.xlookup(AN373,A:A,AH:AH)</f>
        <v>#NAME?</v>
      </c>
      <c r="AS373" s="150" t="e">
        <f aca="false">_xlfn.xlookup(AN373,A:A,S:S)</f>
        <v>#NAME?</v>
      </c>
      <c r="AT373" s="150" t="e">
        <f aca="false">_xlfn.xlookup(AN373,A:A,AE:AE)</f>
        <v>#NAME?</v>
      </c>
      <c r="AU373" s="150" t="e">
        <f aca="false">_xlfn.xlookup(AN373,A:A,AF:AF)</f>
        <v>#NAME?</v>
      </c>
      <c r="AX373" s="146"/>
      <c r="AY373" s="150"/>
      <c r="AZ373" s="150"/>
      <c r="BA373" s="150"/>
      <c r="BB373" s="146"/>
      <c r="BC373" s="146"/>
      <c r="BD373" s="151"/>
      <c r="BE373" s="146"/>
      <c r="BF373" s="146"/>
      <c r="BH373" s="152" t="e">
        <f aca="false">_xlfn.xlookup(BG373,A:A,F:F)</f>
        <v>#NAME?</v>
      </c>
      <c r="BI373" s="153" t="e">
        <f aca="false">_xlfn.xlookup(BG373,A:A,J:J)</f>
        <v>#NAME?</v>
      </c>
      <c r="BJ373" s="153" t="e">
        <f aca="false">_xlfn.xlookup(BG373,A:A,N:N)+_xlfn.xlookup(BG373,A:A,O:O)</f>
        <v>#NAME?</v>
      </c>
      <c r="BK373" s="153" t="e">
        <f aca="false">_xlfn.xlookup(BG373,A322:A1316,AB322:AB1316)</f>
        <v>#NAME?</v>
      </c>
      <c r="BN373" s="146"/>
      <c r="BO373" s="150"/>
      <c r="BQ373" s="153" t="str">
        <f aca="false">IF(VALUE(MONTH(C373))&lt;10,YEAR(C373)&amp;"-0"&amp;MONTH(C373),YEAR(C373)&amp;"-"&amp;MONTH(C373))</f>
        <v>1900-01</v>
      </c>
      <c r="BR373" s="153" t="n">
        <f aca="false">J373</f>
        <v>0</v>
      </c>
      <c r="BS373" s="153" t="n">
        <f aca="false">IF(ISNUMBER(FIND("-", BR373)), LEFT(BR373, FIND("-", BR373) - 1), BR373)</f>
        <v>0</v>
      </c>
      <c r="BT373" s="189" t="n">
        <f aca="false">L373-M373+O373</f>
        <v>0</v>
      </c>
    </row>
    <row r="374" s="153" customFormat="true" ht="15" hidden="false" customHeight="false" outlineLevel="0" collapsed="false">
      <c r="AN374" s="153" t="e">
        <v>#NAME?</v>
      </c>
      <c r="AO374" s="153" t="e">
        <f aca="false">_xlfn.xlookup(AN374,A:A,F:F)</f>
        <v>#NAME?</v>
      </c>
      <c r="AP374" s="153" t="e">
        <f aca="false">_xlfn.xlookup(AN374,A:A,J:J)</f>
        <v>#NAME?</v>
      </c>
      <c r="AQ374" s="153" t="e">
        <f aca="false">_xlfn.xlookup(AN374,A:A,N:N)+_xlfn.xlookup(AN374,A:A,O:O)</f>
        <v>#NAME?</v>
      </c>
      <c r="AR374" s="150" t="e">
        <f aca="false">_xlfn.xlookup(AN374,A:A,AH:AH)</f>
        <v>#NAME?</v>
      </c>
      <c r="AS374" s="150" t="e">
        <f aca="false">_xlfn.xlookup(AN374,A:A,S:S)</f>
        <v>#NAME?</v>
      </c>
      <c r="AT374" s="150" t="e">
        <f aca="false">_xlfn.xlookup(AN374,A:A,AE:AE)</f>
        <v>#NAME?</v>
      </c>
      <c r="AU374" s="150" t="e">
        <f aca="false">_xlfn.xlookup(AN374,A:A,AF:AF)</f>
        <v>#NAME?</v>
      </c>
      <c r="AX374" s="146"/>
      <c r="AY374" s="150"/>
      <c r="AZ374" s="150"/>
      <c r="BA374" s="150"/>
      <c r="BB374" s="146"/>
      <c r="BC374" s="146"/>
      <c r="BD374" s="151"/>
      <c r="BE374" s="146"/>
      <c r="BF374" s="146"/>
      <c r="BH374" s="152" t="e">
        <f aca="false">_xlfn.xlookup(BG374,A:A,F:F)</f>
        <v>#NAME?</v>
      </c>
      <c r="BI374" s="153" t="e">
        <f aca="false">_xlfn.xlookup(BG374,A:A,J:J)</f>
        <v>#NAME?</v>
      </c>
      <c r="BJ374" s="153" t="e">
        <f aca="false">_xlfn.xlookup(BG374,A:A,N:N)+_xlfn.xlookup(BG374,A:A,O:O)</f>
        <v>#NAME?</v>
      </c>
      <c r="BK374" s="153" t="e">
        <f aca="false">_xlfn.xlookup(BG374,A323:A1317,AB323:AB1317)</f>
        <v>#NAME?</v>
      </c>
      <c r="BN374" s="146"/>
      <c r="BO374" s="150"/>
      <c r="BQ374" s="153" t="str">
        <f aca="false">IF(VALUE(MONTH(C374))&lt;10,YEAR(C374)&amp;"-0"&amp;MONTH(C374),YEAR(C374)&amp;"-"&amp;MONTH(C374))</f>
        <v>1900-01</v>
      </c>
      <c r="BR374" s="153" t="n">
        <f aca="false">J374</f>
        <v>0</v>
      </c>
      <c r="BS374" s="153" t="n">
        <f aca="false">IF(ISNUMBER(FIND("-", BR374)), LEFT(BR374, FIND("-", BR374) - 1), BR374)</f>
        <v>0</v>
      </c>
      <c r="BT374" s="189" t="n">
        <f aca="false">L374-M374+O374</f>
        <v>0</v>
      </c>
    </row>
    <row r="375" s="153" customFormat="true" ht="15" hidden="false" customHeight="false" outlineLevel="0" collapsed="false">
      <c r="AN375" s="153" t="e">
        <v>#NAME?</v>
      </c>
      <c r="AO375" s="153" t="e">
        <f aca="false">_xlfn.xlookup(AN375,A:A,F:F)</f>
        <v>#NAME?</v>
      </c>
      <c r="AP375" s="153" t="e">
        <f aca="false">_xlfn.xlookup(AN375,A:A,J:J)</f>
        <v>#NAME?</v>
      </c>
      <c r="AQ375" s="153" t="e">
        <f aca="false">_xlfn.xlookup(AN375,A:A,N:N)+_xlfn.xlookup(AN375,A:A,O:O)</f>
        <v>#NAME?</v>
      </c>
      <c r="AR375" s="150" t="e">
        <f aca="false">_xlfn.xlookup(AN375,A:A,AH:AH)</f>
        <v>#NAME?</v>
      </c>
      <c r="AS375" s="150" t="e">
        <f aca="false">_xlfn.xlookup(AN375,A:A,S:S)</f>
        <v>#NAME?</v>
      </c>
      <c r="AT375" s="150" t="e">
        <f aca="false">_xlfn.xlookup(AN375,A:A,AE:AE)</f>
        <v>#NAME?</v>
      </c>
      <c r="AU375" s="150" t="e">
        <f aca="false">_xlfn.xlookup(AN375,A:A,AF:AF)</f>
        <v>#NAME?</v>
      </c>
      <c r="AX375" s="146"/>
      <c r="AY375" s="150"/>
      <c r="AZ375" s="150"/>
      <c r="BA375" s="150"/>
      <c r="BB375" s="146"/>
      <c r="BC375" s="146"/>
      <c r="BD375" s="151"/>
      <c r="BE375" s="146"/>
      <c r="BF375" s="146"/>
      <c r="BH375" s="152" t="e">
        <f aca="false">_xlfn.xlookup(BG375,A:A,F:F)</f>
        <v>#NAME?</v>
      </c>
      <c r="BI375" s="153" t="e">
        <f aca="false">_xlfn.xlookup(BG375,A:A,J:J)</f>
        <v>#NAME?</v>
      </c>
      <c r="BJ375" s="153" t="e">
        <f aca="false">_xlfn.xlookup(BG375,A:A,N:N)+_xlfn.xlookup(BG375,A:A,O:O)</f>
        <v>#NAME?</v>
      </c>
      <c r="BK375" s="153" t="e">
        <f aca="false">_xlfn.xlookup(BG375,A324:A1318,AB324:AB1318)</f>
        <v>#NAME?</v>
      </c>
      <c r="BN375" s="146"/>
      <c r="BO375" s="150"/>
      <c r="BQ375" s="153" t="str">
        <f aca="false">IF(VALUE(MONTH(C375))&lt;10,YEAR(C375)&amp;"-0"&amp;MONTH(C375),YEAR(C375)&amp;"-"&amp;MONTH(C375))</f>
        <v>1900-01</v>
      </c>
      <c r="BR375" s="153" t="n">
        <f aca="false">J375</f>
        <v>0</v>
      </c>
      <c r="BS375" s="153" t="n">
        <f aca="false">IF(ISNUMBER(FIND("-", BR375)), LEFT(BR375, FIND("-", BR375) - 1), BR375)</f>
        <v>0</v>
      </c>
      <c r="BT375" s="189" t="n">
        <f aca="false">L375-M375+O375</f>
        <v>0</v>
      </c>
    </row>
    <row r="376" s="153" customFormat="true" ht="15" hidden="false" customHeight="false" outlineLevel="0" collapsed="false">
      <c r="AN376" s="153" t="e">
        <v>#NAME?</v>
      </c>
      <c r="AO376" s="153" t="e">
        <f aca="false">_xlfn.xlookup(AN376,A:A,F:F)</f>
        <v>#NAME?</v>
      </c>
      <c r="AP376" s="153" t="e">
        <f aca="false">_xlfn.xlookup(AN376,A:A,J:J)</f>
        <v>#NAME?</v>
      </c>
      <c r="AQ376" s="153" t="e">
        <f aca="false">_xlfn.xlookup(AN376,A:A,N:N)+_xlfn.xlookup(AN376,A:A,O:O)</f>
        <v>#NAME?</v>
      </c>
      <c r="AR376" s="150" t="e">
        <f aca="false">_xlfn.xlookup(AN376,A:A,AH:AH)</f>
        <v>#NAME?</v>
      </c>
      <c r="AS376" s="150" t="e">
        <f aca="false">_xlfn.xlookup(AN376,A:A,S:S)</f>
        <v>#NAME?</v>
      </c>
      <c r="AT376" s="150" t="e">
        <f aca="false">_xlfn.xlookup(AN376,A:A,AE:AE)</f>
        <v>#NAME?</v>
      </c>
      <c r="AU376" s="150" t="e">
        <f aca="false">_xlfn.xlookup(AN376,A:A,AF:AF)</f>
        <v>#NAME?</v>
      </c>
      <c r="AX376" s="146"/>
      <c r="AY376" s="150"/>
      <c r="AZ376" s="150"/>
      <c r="BA376" s="150"/>
      <c r="BB376" s="146"/>
      <c r="BC376" s="146"/>
      <c r="BD376" s="151"/>
      <c r="BE376" s="146"/>
      <c r="BF376" s="146"/>
      <c r="BH376" s="152" t="e">
        <f aca="false">_xlfn.xlookup(BG376,A:A,F:F)</f>
        <v>#NAME?</v>
      </c>
      <c r="BI376" s="153" t="e">
        <f aca="false">_xlfn.xlookup(BG376,A:A,J:J)</f>
        <v>#NAME?</v>
      </c>
      <c r="BJ376" s="153" t="e">
        <f aca="false">_xlfn.xlookup(BG376,A:A,N:N)+_xlfn.xlookup(BG376,A:A,O:O)</f>
        <v>#NAME?</v>
      </c>
      <c r="BK376" s="153" t="e">
        <f aca="false">_xlfn.xlookup(BG376,A325:A1319,AB325:AB1319)</f>
        <v>#NAME?</v>
      </c>
      <c r="BN376" s="146"/>
      <c r="BO376" s="150"/>
      <c r="BQ376" s="153" t="str">
        <f aca="false">IF(VALUE(MONTH(C376))&lt;10,YEAR(C376)&amp;"-0"&amp;MONTH(C376),YEAR(C376)&amp;"-"&amp;MONTH(C376))</f>
        <v>1900-01</v>
      </c>
      <c r="BR376" s="153" t="n">
        <f aca="false">J376</f>
        <v>0</v>
      </c>
      <c r="BS376" s="153" t="n">
        <f aca="false">IF(ISNUMBER(FIND("-", BR376)), LEFT(BR376, FIND("-", BR376) - 1), BR376)</f>
        <v>0</v>
      </c>
      <c r="BT376" s="189" t="n">
        <f aca="false">L376-M376+O376</f>
        <v>0</v>
      </c>
    </row>
    <row r="377" s="153" customFormat="true" ht="15" hidden="false" customHeight="false" outlineLevel="0" collapsed="false">
      <c r="AN377" s="153" t="e">
        <v>#NAME?</v>
      </c>
      <c r="AO377" s="153" t="e">
        <f aca="false">_xlfn.xlookup(AN377,A:A,F:F)</f>
        <v>#NAME?</v>
      </c>
      <c r="AP377" s="153" t="e">
        <f aca="false">_xlfn.xlookup(AN377,A:A,J:J)</f>
        <v>#NAME?</v>
      </c>
      <c r="AQ377" s="153" t="e">
        <f aca="false">_xlfn.xlookup(AN377,A:A,N:N)+_xlfn.xlookup(AN377,A:A,O:O)</f>
        <v>#NAME?</v>
      </c>
      <c r="AR377" s="150" t="e">
        <f aca="false">_xlfn.xlookup(AN377,A:A,AH:AH)</f>
        <v>#NAME?</v>
      </c>
      <c r="AS377" s="150" t="e">
        <f aca="false">_xlfn.xlookup(AN377,A:A,S:S)</f>
        <v>#NAME?</v>
      </c>
      <c r="AT377" s="150" t="e">
        <f aca="false">_xlfn.xlookup(AN377,A:A,AE:AE)</f>
        <v>#NAME?</v>
      </c>
      <c r="AU377" s="150" t="e">
        <f aca="false">_xlfn.xlookup(AN377,A:A,AF:AF)</f>
        <v>#NAME?</v>
      </c>
      <c r="AX377" s="146"/>
      <c r="AY377" s="150"/>
      <c r="AZ377" s="150"/>
      <c r="BA377" s="150"/>
      <c r="BB377" s="146"/>
      <c r="BC377" s="146"/>
      <c r="BD377" s="151"/>
      <c r="BE377" s="146"/>
      <c r="BF377" s="146"/>
      <c r="BH377" s="152" t="e">
        <f aca="false">_xlfn.xlookup(BG377,A:A,F:F)</f>
        <v>#NAME?</v>
      </c>
      <c r="BI377" s="153" t="e">
        <f aca="false">_xlfn.xlookup(BG377,A:A,J:J)</f>
        <v>#NAME?</v>
      </c>
      <c r="BJ377" s="153" t="e">
        <f aca="false">_xlfn.xlookup(BG377,A:A,N:N)+_xlfn.xlookup(BG377,A:A,O:O)</f>
        <v>#NAME?</v>
      </c>
      <c r="BK377" s="153" t="e">
        <f aca="false">_xlfn.xlookup(BG377,A326:A1320,AB326:AB1320)</f>
        <v>#NAME?</v>
      </c>
      <c r="BN377" s="146"/>
      <c r="BO377" s="150"/>
      <c r="BQ377" s="153" t="str">
        <f aca="false">IF(VALUE(MONTH(C377))&lt;10,YEAR(C377)&amp;"-0"&amp;MONTH(C377),YEAR(C377)&amp;"-"&amp;MONTH(C377))</f>
        <v>1900-01</v>
      </c>
      <c r="BR377" s="153" t="n">
        <f aca="false">J377</f>
        <v>0</v>
      </c>
      <c r="BS377" s="153" t="n">
        <f aca="false">IF(ISNUMBER(FIND("-", BR377)), LEFT(BR377, FIND("-", BR377) - 1), BR377)</f>
        <v>0</v>
      </c>
      <c r="BT377" s="189" t="n">
        <f aca="false">L377-M377+O377</f>
        <v>0</v>
      </c>
    </row>
    <row r="378" s="153" customFormat="true" ht="15" hidden="false" customHeight="false" outlineLevel="0" collapsed="false">
      <c r="AN378" s="153" t="e">
        <v>#NAME?</v>
      </c>
      <c r="AO378" s="153" t="e">
        <f aca="false">_xlfn.xlookup(AN378,A:A,F:F)</f>
        <v>#NAME?</v>
      </c>
      <c r="AP378" s="153" t="e">
        <f aca="false">_xlfn.xlookup(AN378,A:A,J:J)</f>
        <v>#NAME?</v>
      </c>
      <c r="AQ378" s="153" t="e">
        <f aca="false">_xlfn.xlookup(AN378,A:A,N:N)+_xlfn.xlookup(AN378,A:A,O:O)</f>
        <v>#NAME?</v>
      </c>
      <c r="AR378" s="150" t="e">
        <f aca="false">_xlfn.xlookup(AN378,A:A,AH:AH)</f>
        <v>#NAME?</v>
      </c>
      <c r="AS378" s="150" t="e">
        <f aca="false">_xlfn.xlookup(AN378,A:A,S:S)</f>
        <v>#NAME?</v>
      </c>
      <c r="AT378" s="150" t="e">
        <f aca="false">_xlfn.xlookup(AN378,A:A,AE:AE)</f>
        <v>#NAME?</v>
      </c>
      <c r="AU378" s="150" t="e">
        <f aca="false">_xlfn.xlookup(AN378,A:A,AF:AF)</f>
        <v>#NAME?</v>
      </c>
      <c r="AX378" s="146"/>
      <c r="AY378" s="150"/>
      <c r="AZ378" s="150"/>
      <c r="BA378" s="150"/>
      <c r="BB378" s="146"/>
      <c r="BC378" s="146"/>
      <c r="BD378" s="151"/>
      <c r="BE378" s="146"/>
      <c r="BF378" s="146"/>
      <c r="BH378" s="152" t="e">
        <f aca="false">_xlfn.xlookup(BG378,A:A,F:F)</f>
        <v>#NAME?</v>
      </c>
      <c r="BI378" s="153" t="e">
        <f aca="false">_xlfn.xlookup(BG378,A:A,J:J)</f>
        <v>#NAME?</v>
      </c>
      <c r="BJ378" s="153" t="e">
        <f aca="false">_xlfn.xlookup(BG378,A:A,N:N)+_xlfn.xlookup(BG378,A:A,O:O)</f>
        <v>#NAME?</v>
      </c>
      <c r="BK378" s="153" t="e">
        <f aca="false">_xlfn.xlookup(BG378,A327:A1321,AB327:AB1321)</f>
        <v>#NAME?</v>
      </c>
      <c r="BN378" s="146"/>
      <c r="BO378" s="150"/>
      <c r="BQ378" s="153" t="str">
        <f aca="false">IF(VALUE(MONTH(C378))&lt;10,YEAR(C378)&amp;"-0"&amp;MONTH(C378),YEAR(C378)&amp;"-"&amp;MONTH(C378))</f>
        <v>1900-01</v>
      </c>
      <c r="BR378" s="153" t="n">
        <f aca="false">J378</f>
        <v>0</v>
      </c>
      <c r="BS378" s="153" t="n">
        <f aca="false">IF(ISNUMBER(FIND("-", BR378)), LEFT(BR378, FIND("-", BR378) - 1), BR378)</f>
        <v>0</v>
      </c>
      <c r="BT378" s="189" t="n">
        <f aca="false">L378-M378+O378</f>
        <v>0</v>
      </c>
    </row>
    <row r="379" s="153" customFormat="true" ht="15" hidden="false" customHeight="false" outlineLevel="0" collapsed="false">
      <c r="AN379" s="153" t="e">
        <v>#NAME?</v>
      </c>
      <c r="AO379" s="153" t="e">
        <f aca="false">_xlfn.xlookup(AN379,A:A,F:F)</f>
        <v>#NAME?</v>
      </c>
      <c r="AP379" s="153" t="e">
        <f aca="false">_xlfn.xlookup(AN379,A:A,J:J)</f>
        <v>#NAME?</v>
      </c>
      <c r="AQ379" s="153" t="e">
        <f aca="false">_xlfn.xlookup(AN379,A:A,N:N)+_xlfn.xlookup(AN379,A:A,O:O)</f>
        <v>#NAME?</v>
      </c>
      <c r="AR379" s="150" t="e">
        <f aca="false">_xlfn.xlookup(AN379,A:A,AH:AH)</f>
        <v>#NAME?</v>
      </c>
      <c r="AS379" s="150" t="e">
        <f aca="false">_xlfn.xlookup(AN379,A:A,S:S)</f>
        <v>#NAME?</v>
      </c>
      <c r="AT379" s="150" t="e">
        <f aca="false">_xlfn.xlookup(AN379,A:A,AE:AE)</f>
        <v>#NAME?</v>
      </c>
      <c r="AU379" s="150" t="e">
        <f aca="false">_xlfn.xlookup(AN379,A:A,AF:AF)</f>
        <v>#NAME?</v>
      </c>
      <c r="AX379" s="146"/>
      <c r="AY379" s="150"/>
      <c r="AZ379" s="150"/>
      <c r="BA379" s="150"/>
      <c r="BB379" s="146"/>
      <c r="BC379" s="146"/>
      <c r="BD379" s="151"/>
      <c r="BE379" s="146"/>
      <c r="BF379" s="146"/>
      <c r="BH379" s="152" t="e">
        <f aca="false">_xlfn.xlookup(BG379,A:A,F:F)</f>
        <v>#NAME?</v>
      </c>
      <c r="BI379" s="153" t="e">
        <f aca="false">_xlfn.xlookup(BG379,A:A,J:J)</f>
        <v>#NAME?</v>
      </c>
      <c r="BJ379" s="153" t="e">
        <f aca="false">_xlfn.xlookup(BG379,A:A,N:N)+_xlfn.xlookup(BG379,A:A,O:O)</f>
        <v>#NAME?</v>
      </c>
      <c r="BK379" s="153" t="e">
        <f aca="false">_xlfn.xlookup(BG379,A328:A1322,AB328:AB1322)</f>
        <v>#NAME?</v>
      </c>
      <c r="BN379" s="146"/>
      <c r="BO379" s="150"/>
      <c r="BQ379" s="153" t="str">
        <f aca="false">IF(VALUE(MONTH(C379))&lt;10,YEAR(C379)&amp;"-0"&amp;MONTH(C379),YEAR(C379)&amp;"-"&amp;MONTH(C379))</f>
        <v>1900-01</v>
      </c>
      <c r="BR379" s="153" t="n">
        <f aca="false">J379</f>
        <v>0</v>
      </c>
      <c r="BS379" s="153" t="n">
        <f aca="false">IF(ISNUMBER(FIND("-", BR379)), LEFT(BR379, FIND("-", BR379) - 1), BR379)</f>
        <v>0</v>
      </c>
      <c r="BT379" s="189" t="n">
        <f aca="false">L379-M379+O379</f>
        <v>0</v>
      </c>
    </row>
    <row r="380" s="153" customFormat="true" ht="15" hidden="false" customHeight="false" outlineLevel="0" collapsed="false">
      <c r="AN380" s="153" t="e">
        <v>#NAME?</v>
      </c>
      <c r="AO380" s="153" t="e">
        <f aca="false">_xlfn.xlookup(AN380,A:A,F:F)</f>
        <v>#NAME?</v>
      </c>
      <c r="AP380" s="153" t="e">
        <f aca="false">_xlfn.xlookup(AN380,A:A,J:J)</f>
        <v>#NAME?</v>
      </c>
      <c r="AQ380" s="153" t="e">
        <f aca="false">_xlfn.xlookup(AN380,A:A,N:N)+_xlfn.xlookup(AN380,A:A,O:O)</f>
        <v>#NAME?</v>
      </c>
      <c r="AR380" s="150" t="e">
        <f aca="false">_xlfn.xlookup(AN380,A:A,AH:AH)</f>
        <v>#NAME?</v>
      </c>
      <c r="AS380" s="150" t="e">
        <f aca="false">_xlfn.xlookup(AN380,A:A,S:S)</f>
        <v>#NAME?</v>
      </c>
      <c r="AT380" s="150" t="e">
        <f aca="false">_xlfn.xlookup(AN380,A:A,AE:AE)</f>
        <v>#NAME?</v>
      </c>
      <c r="AU380" s="150" t="e">
        <f aca="false">_xlfn.xlookup(AN380,A:A,AF:AF)</f>
        <v>#NAME?</v>
      </c>
      <c r="AX380" s="146"/>
      <c r="AY380" s="150"/>
      <c r="AZ380" s="150"/>
      <c r="BA380" s="150"/>
      <c r="BB380" s="146"/>
      <c r="BC380" s="146"/>
      <c r="BD380" s="151"/>
      <c r="BE380" s="146"/>
      <c r="BF380" s="146"/>
      <c r="BH380" s="152" t="e">
        <f aca="false">_xlfn.xlookup(BG380,A:A,F:F)</f>
        <v>#NAME?</v>
      </c>
      <c r="BI380" s="153" t="e">
        <f aca="false">_xlfn.xlookup(BG380,A:A,J:J)</f>
        <v>#NAME?</v>
      </c>
      <c r="BJ380" s="153" t="e">
        <f aca="false">_xlfn.xlookup(BG380,A:A,N:N)+_xlfn.xlookup(BG380,A:A,O:O)</f>
        <v>#NAME?</v>
      </c>
      <c r="BK380" s="153" t="e">
        <f aca="false">_xlfn.xlookup(BG380,A329:A1323,AB329:AB1323)</f>
        <v>#NAME?</v>
      </c>
      <c r="BN380" s="146"/>
      <c r="BO380" s="150"/>
      <c r="BQ380" s="153" t="str">
        <f aca="false">IF(VALUE(MONTH(C380))&lt;10,YEAR(C380)&amp;"-0"&amp;MONTH(C380),YEAR(C380)&amp;"-"&amp;MONTH(C380))</f>
        <v>1900-01</v>
      </c>
      <c r="BR380" s="153" t="n">
        <f aca="false">J380</f>
        <v>0</v>
      </c>
      <c r="BS380" s="153" t="n">
        <f aca="false">IF(ISNUMBER(FIND("-", BR380)), LEFT(BR380, FIND("-", BR380) - 1), BR380)</f>
        <v>0</v>
      </c>
      <c r="BT380" s="189" t="n">
        <f aca="false">L380-M380+O380</f>
        <v>0</v>
      </c>
    </row>
    <row r="381" s="153" customFormat="true" ht="15" hidden="false" customHeight="false" outlineLevel="0" collapsed="false">
      <c r="AN381" s="153" t="e">
        <v>#NAME?</v>
      </c>
      <c r="AO381" s="153" t="e">
        <f aca="false">_xlfn.xlookup(AN381,A:A,F:F)</f>
        <v>#NAME?</v>
      </c>
      <c r="AP381" s="153" t="e">
        <f aca="false">_xlfn.xlookup(AN381,A:A,J:J)</f>
        <v>#NAME?</v>
      </c>
      <c r="AQ381" s="153" t="e">
        <f aca="false">_xlfn.xlookup(AN381,A:A,N:N)+_xlfn.xlookup(AN381,A:A,O:O)</f>
        <v>#NAME?</v>
      </c>
      <c r="AR381" s="150" t="e">
        <f aca="false">_xlfn.xlookup(AN381,A:A,AH:AH)</f>
        <v>#NAME?</v>
      </c>
      <c r="AS381" s="150" t="e">
        <f aca="false">_xlfn.xlookup(AN381,A:A,S:S)</f>
        <v>#NAME?</v>
      </c>
      <c r="AT381" s="150" t="e">
        <f aca="false">_xlfn.xlookup(AN381,A:A,AE:AE)</f>
        <v>#NAME?</v>
      </c>
      <c r="AU381" s="150" t="e">
        <f aca="false">_xlfn.xlookup(AN381,A:A,AF:AF)</f>
        <v>#NAME?</v>
      </c>
      <c r="AX381" s="146"/>
      <c r="AY381" s="150"/>
      <c r="AZ381" s="150"/>
      <c r="BA381" s="150"/>
      <c r="BB381" s="146"/>
      <c r="BC381" s="146"/>
      <c r="BD381" s="151"/>
      <c r="BE381" s="146"/>
      <c r="BF381" s="146"/>
      <c r="BH381" s="152" t="e">
        <f aca="false">_xlfn.xlookup(BG381,A:A,F:F)</f>
        <v>#NAME?</v>
      </c>
      <c r="BI381" s="153" t="e">
        <f aca="false">_xlfn.xlookup(BG381,A:A,J:J)</f>
        <v>#NAME?</v>
      </c>
      <c r="BJ381" s="153" t="e">
        <f aca="false">_xlfn.xlookup(BG381,A:A,N:N)+_xlfn.xlookup(BG381,A:A,O:O)</f>
        <v>#NAME?</v>
      </c>
      <c r="BK381" s="153" t="e">
        <f aca="false">_xlfn.xlookup(BG381,A330:A1324,AB330:AB1324)</f>
        <v>#NAME?</v>
      </c>
      <c r="BN381" s="146"/>
      <c r="BO381" s="150"/>
      <c r="BQ381" s="153" t="str">
        <f aca="false">IF(VALUE(MONTH(C381))&lt;10,YEAR(C381)&amp;"-0"&amp;MONTH(C381),YEAR(C381)&amp;"-"&amp;MONTH(C381))</f>
        <v>1900-01</v>
      </c>
      <c r="BR381" s="153" t="n">
        <f aca="false">J381</f>
        <v>0</v>
      </c>
      <c r="BS381" s="153" t="n">
        <f aca="false">IF(ISNUMBER(FIND("-", BR381)), LEFT(BR381, FIND("-", BR381) - 1), BR381)</f>
        <v>0</v>
      </c>
      <c r="BT381" s="189" t="n">
        <f aca="false">L381-M381+O381</f>
        <v>0</v>
      </c>
    </row>
    <row r="382" s="153" customFormat="true" ht="15" hidden="false" customHeight="false" outlineLevel="0" collapsed="false">
      <c r="AN382" s="153" t="e">
        <v>#NAME?</v>
      </c>
      <c r="AO382" s="153" t="e">
        <f aca="false">_xlfn.xlookup(AN382,A:A,F:F)</f>
        <v>#NAME?</v>
      </c>
      <c r="AP382" s="153" t="e">
        <f aca="false">_xlfn.xlookup(AN382,A:A,J:J)</f>
        <v>#NAME?</v>
      </c>
      <c r="AQ382" s="153" t="e">
        <f aca="false">_xlfn.xlookup(AN382,A:A,N:N)+_xlfn.xlookup(AN382,A:A,O:O)</f>
        <v>#NAME?</v>
      </c>
      <c r="AR382" s="150" t="e">
        <f aca="false">_xlfn.xlookup(AN382,A:A,AH:AH)</f>
        <v>#NAME?</v>
      </c>
      <c r="AS382" s="150" t="e">
        <f aca="false">_xlfn.xlookup(AN382,A:A,S:S)</f>
        <v>#NAME?</v>
      </c>
      <c r="AT382" s="150" t="e">
        <f aca="false">_xlfn.xlookup(AN382,A:A,AE:AE)</f>
        <v>#NAME?</v>
      </c>
      <c r="AU382" s="150" t="e">
        <f aca="false">_xlfn.xlookup(AN382,A:A,AF:AF)</f>
        <v>#NAME?</v>
      </c>
      <c r="AX382" s="146"/>
      <c r="AY382" s="150"/>
      <c r="AZ382" s="150"/>
      <c r="BA382" s="150"/>
      <c r="BB382" s="146"/>
      <c r="BC382" s="146"/>
      <c r="BD382" s="151"/>
      <c r="BE382" s="146"/>
      <c r="BF382" s="146"/>
      <c r="BH382" s="152" t="e">
        <f aca="false">_xlfn.xlookup(BG382,A:A,F:F)</f>
        <v>#NAME?</v>
      </c>
      <c r="BI382" s="153" t="e">
        <f aca="false">_xlfn.xlookup(BG382,A:A,J:J)</f>
        <v>#NAME?</v>
      </c>
      <c r="BJ382" s="153" t="e">
        <f aca="false">_xlfn.xlookup(BG382,A:A,N:N)+_xlfn.xlookup(BG382,A:A,O:O)</f>
        <v>#NAME?</v>
      </c>
      <c r="BK382" s="153" t="e">
        <f aca="false">_xlfn.xlookup(BG382,A331:A1325,AB331:AB1325)</f>
        <v>#NAME?</v>
      </c>
      <c r="BN382" s="146"/>
      <c r="BO382" s="150"/>
      <c r="BQ382" s="153" t="str">
        <f aca="false">IF(VALUE(MONTH(C382))&lt;10,YEAR(C382)&amp;"-0"&amp;MONTH(C382),YEAR(C382)&amp;"-"&amp;MONTH(C382))</f>
        <v>1900-01</v>
      </c>
      <c r="BR382" s="153" t="n">
        <f aca="false">J382</f>
        <v>0</v>
      </c>
      <c r="BS382" s="153" t="n">
        <f aca="false">IF(ISNUMBER(FIND("-", BR382)), LEFT(BR382, FIND("-", BR382) - 1), BR382)</f>
        <v>0</v>
      </c>
      <c r="BT382" s="189" t="n">
        <f aca="false">L382-M382+O382</f>
        <v>0</v>
      </c>
    </row>
    <row r="383" s="153" customFormat="true" ht="15" hidden="false" customHeight="false" outlineLevel="0" collapsed="false">
      <c r="AN383" s="153" t="e">
        <v>#NAME?</v>
      </c>
      <c r="AO383" s="153" t="e">
        <f aca="false">_xlfn.xlookup(AN383,A:A,F:F)</f>
        <v>#NAME?</v>
      </c>
      <c r="AP383" s="153" t="e">
        <f aca="false">_xlfn.xlookup(AN383,A:A,J:J)</f>
        <v>#NAME?</v>
      </c>
      <c r="AQ383" s="153" t="e">
        <f aca="false">_xlfn.xlookup(AN383,A:A,N:N)+_xlfn.xlookup(AN383,A:A,O:O)</f>
        <v>#NAME?</v>
      </c>
      <c r="AR383" s="150" t="e">
        <f aca="false">_xlfn.xlookup(AN383,A:A,AH:AH)</f>
        <v>#NAME?</v>
      </c>
      <c r="AS383" s="150" t="e">
        <f aca="false">_xlfn.xlookup(AN383,A:A,S:S)</f>
        <v>#NAME?</v>
      </c>
      <c r="AT383" s="150" t="e">
        <f aca="false">_xlfn.xlookup(AN383,A:A,AE:AE)</f>
        <v>#NAME?</v>
      </c>
      <c r="AU383" s="150" t="e">
        <f aca="false">_xlfn.xlookup(AN383,A:A,AF:AF)</f>
        <v>#NAME?</v>
      </c>
      <c r="AX383" s="146"/>
      <c r="AY383" s="150"/>
      <c r="AZ383" s="150"/>
      <c r="BA383" s="150"/>
      <c r="BB383" s="146"/>
      <c r="BC383" s="146"/>
      <c r="BD383" s="151"/>
      <c r="BE383" s="146"/>
      <c r="BF383" s="146"/>
      <c r="BH383" s="152" t="e">
        <f aca="false">_xlfn.xlookup(BG383,A:A,F:F)</f>
        <v>#NAME?</v>
      </c>
      <c r="BI383" s="153" t="e">
        <f aca="false">_xlfn.xlookup(BG383,A:A,J:J)</f>
        <v>#NAME?</v>
      </c>
      <c r="BJ383" s="153" t="e">
        <f aca="false">_xlfn.xlookup(BG383,A:A,N:N)+_xlfn.xlookup(BG383,A:A,O:O)</f>
        <v>#NAME?</v>
      </c>
      <c r="BK383" s="153" t="e">
        <f aca="false">_xlfn.xlookup(BG383,A332:A1326,AB332:AB1326)</f>
        <v>#NAME?</v>
      </c>
      <c r="BN383" s="146"/>
      <c r="BO383" s="150"/>
      <c r="BQ383" s="153" t="str">
        <f aca="false">IF(VALUE(MONTH(C383))&lt;10,YEAR(C383)&amp;"-0"&amp;MONTH(C383),YEAR(C383)&amp;"-"&amp;MONTH(C383))</f>
        <v>1900-01</v>
      </c>
      <c r="BR383" s="153" t="n">
        <f aca="false">J383</f>
        <v>0</v>
      </c>
      <c r="BS383" s="153" t="n">
        <f aca="false">IF(ISNUMBER(FIND("-", BR383)), LEFT(BR383, FIND("-", BR383) - 1), BR383)</f>
        <v>0</v>
      </c>
      <c r="BT383" s="189" t="n">
        <f aca="false">L383-M383+O383</f>
        <v>0</v>
      </c>
    </row>
    <row r="384" s="153" customFormat="true" ht="15" hidden="false" customHeight="false" outlineLevel="0" collapsed="false">
      <c r="AN384" s="153" t="e">
        <v>#NAME?</v>
      </c>
      <c r="AO384" s="153" t="e">
        <f aca="false">_xlfn.xlookup(AN384,A:A,F:F)</f>
        <v>#NAME?</v>
      </c>
      <c r="AP384" s="153" t="e">
        <f aca="false">_xlfn.xlookup(AN384,A:A,J:J)</f>
        <v>#NAME?</v>
      </c>
      <c r="AQ384" s="153" t="e">
        <f aca="false">_xlfn.xlookup(AN384,A:A,N:N)+_xlfn.xlookup(AN384,A:A,O:O)</f>
        <v>#NAME?</v>
      </c>
      <c r="AR384" s="150" t="e">
        <f aca="false">_xlfn.xlookup(AN384,A:A,AH:AH)</f>
        <v>#NAME?</v>
      </c>
      <c r="AS384" s="150" t="e">
        <f aca="false">_xlfn.xlookup(AN384,A:A,S:S)</f>
        <v>#NAME?</v>
      </c>
      <c r="AT384" s="150" t="e">
        <f aca="false">_xlfn.xlookup(AN384,A:A,AE:AE)</f>
        <v>#NAME?</v>
      </c>
      <c r="AU384" s="150" t="e">
        <f aca="false">_xlfn.xlookup(AN384,A:A,AF:AF)</f>
        <v>#NAME?</v>
      </c>
      <c r="AX384" s="146"/>
      <c r="AY384" s="150"/>
      <c r="AZ384" s="150"/>
      <c r="BA384" s="150"/>
      <c r="BB384" s="146"/>
      <c r="BC384" s="146"/>
      <c r="BD384" s="151"/>
      <c r="BE384" s="146"/>
      <c r="BF384" s="146"/>
      <c r="BH384" s="152" t="e">
        <f aca="false">_xlfn.xlookup(BG384,A:A,F:F)</f>
        <v>#NAME?</v>
      </c>
      <c r="BI384" s="153" t="e">
        <f aca="false">_xlfn.xlookup(BG384,A:A,J:J)</f>
        <v>#NAME?</v>
      </c>
      <c r="BJ384" s="153" t="e">
        <f aca="false">_xlfn.xlookup(BG384,A:A,N:N)+_xlfn.xlookup(BG384,A:A,O:O)</f>
        <v>#NAME?</v>
      </c>
      <c r="BK384" s="153" t="e">
        <f aca="false">_xlfn.xlookup(BG384,A333:A1327,AB333:AB1327)</f>
        <v>#NAME?</v>
      </c>
      <c r="BN384" s="146"/>
      <c r="BO384" s="150"/>
      <c r="BQ384" s="153" t="str">
        <f aca="false">IF(VALUE(MONTH(C384))&lt;10,YEAR(C384)&amp;"-0"&amp;MONTH(C384),YEAR(C384)&amp;"-"&amp;MONTH(C384))</f>
        <v>1900-01</v>
      </c>
      <c r="BR384" s="153" t="n">
        <f aca="false">J384</f>
        <v>0</v>
      </c>
      <c r="BS384" s="153" t="n">
        <f aca="false">IF(ISNUMBER(FIND("-", BR384)), LEFT(BR384, FIND("-", BR384) - 1), BR384)</f>
        <v>0</v>
      </c>
      <c r="BT384" s="189" t="n">
        <f aca="false">L384-M384+O384</f>
        <v>0</v>
      </c>
    </row>
    <row r="385" s="153" customFormat="true" ht="15" hidden="false" customHeight="false" outlineLevel="0" collapsed="false">
      <c r="AN385" s="153" t="e">
        <v>#NAME?</v>
      </c>
      <c r="AO385" s="153" t="e">
        <f aca="false">_xlfn.xlookup(AN385,A:A,F:F)</f>
        <v>#NAME?</v>
      </c>
      <c r="AP385" s="153" t="e">
        <f aca="false">_xlfn.xlookup(AN385,A:A,J:J)</f>
        <v>#NAME?</v>
      </c>
      <c r="AQ385" s="153" t="e">
        <f aca="false">_xlfn.xlookup(AN385,A:A,N:N)+_xlfn.xlookup(AN385,A:A,O:O)</f>
        <v>#NAME?</v>
      </c>
      <c r="AR385" s="150" t="e">
        <f aca="false">_xlfn.xlookup(AN385,A:A,AH:AH)</f>
        <v>#NAME?</v>
      </c>
      <c r="AS385" s="150" t="e">
        <f aca="false">_xlfn.xlookup(AN385,A:A,S:S)</f>
        <v>#NAME?</v>
      </c>
      <c r="AT385" s="150" t="e">
        <f aca="false">_xlfn.xlookup(AN385,A:A,AE:AE)</f>
        <v>#NAME?</v>
      </c>
      <c r="AU385" s="150" t="e">
        <f aca="false">_xlfn.xlookup(AN385,A:A,AF:AF)</f>
        <v>#NAME?</v>
      </c>
      <c r="AX385" s="146"/>
      <c r="AY385" s="150"/>
      <c r="AZ385" s="150"/>
      <c r="BA385" s="150"/>
      <c r="BB385" s="146"/>
      <c r="BC385" s="146"/>
      <c r="BD385" s="151"/>
      <c r="BE385" s="146"/>
      <c r="BF385" s="146"/>
      <c r="BH385" s="152" t="e">
        <f aca="false">_xlfn.xlookup(BG385,A:A,F:F)</f>
        <v>#NAME?</v>
      </c>
      <c r="BI385" s="153" t="e">
        <f aca="false">_xlfn.xlookup(BG385,A:A,J:J)</f>
        <v>#NAME?</v>
      </c>
      <c r="BJ385" s="153" t="e">
        <f aca="false">_xlfn.xlookup(BG385,A:A,N:N)+_xlfn.xlookup(BG385,A:A,O:O)</f>
        <v>#NAME?</v>
      </c>
      <c r="BK385" s="153" t="e">
        <f aca="false">_xlfn.xlookup(BG385,A334:A1328,AB334:AB1328)</f>
        <v>#NAME?</v>
      </c>
      <c r="BN385" s="146"/>
      <c r="BO385" s="150"/>
      <c r="BQ385" s="153" t="str">
        <f aca="false">IF(VALUE(MONTH(C385))&lt;10,YEAR(C385)&amp;"-0"&amp;MONTH(C385),YEAR(C385)&amp;"-"&amp;MONTH(C385))</f>
        <v>1900-01</v>
      </c>
      <c r="BR385" s="153" t="n">
        <f aca="false">J385</f>
        <v>0</v>
      </c>
      <c r="BS385" s="153" t="n">
        <f aca="false">IF(ISNUMBER(FIND("-", BR385)), LEFT(BR385, FIND("-", BR385) - 1), BR385)</f>
        <v>0</v>
      </c>
      <c r="BT385" s="189" t="n">
        <f aca="false">L385-M385+O385</f>
        <v>0</v>
      </c>
    </row>
    <row r="386" s="153" customFormat="true" ht="15" hidden="false" customHeight="false" outlineLevel="0" collapsed="false">
      <c r="AN386" s="153" t="e">
        <v>#NAME?</v>
      </c>
      <c r="AO386" s="153" t="e">
        <f aca="false">_xlfn.xlookup(AN386,A:A,F:F)</f>
        <v>#NAME?</v>
      </c>
      <c r="AP386" s="153" t="e">
        <f aca="false">_xlfn.xlookup(AN386,A:A,J:J)</f>
        <v>#NAME?</v>
      </c>
      <c r="AQ386" s="153" t="e">
        <f aca="false">_xlfn.xlookup(AN386,A:A,N:N)+_xlfn.xlookup(AN386,A:A,O:O)</f>
        <v>#NAME?</v>
      </c>
      <c r="AR386" s="150" t="e">
        <f aca="false">_xlfn.xlookup(AN386,A:A,AH:AH)</f>
        <v>#NAME?</v>
      </c>
      <c r="AS386" s="150" t="e">
        <f aca="false">_xlfn.xlookup(AN386,A:A,S:S)</f>
        <v>#NAME?</v>
      </c>
      <c r="AT386" s="150" t="e">
        <f aca="false">_xlfn.xlookup(AN386,A:A,AE:AE)</f>
        <v>#NAME?</v>
      </c>
      <c r="AU386" s="150" t="e">
        <f aca="false">_xlfn.xlookup(AN386,A:A,AF:AF)</f>
        <v>#NAME?</v>
      </c>
      <c r="AX386" s="146"/>
      <c r="AY386" s="150"/>
      <c r="AZ386" s="150"/>
      <c r="BA386" s="150"/>
      <c r="BB386" s="146"/>
      <c r="BC386" s="146"/>
      <c r="BD386" s="151"/>
      <c r="BE386" s="146"/>
      <c r="BF386" s="146"/>
      <c r="BH386" s="152" t="e">
        <f aca="false">_xlfn.xlookup(BG386,A:A,F:F)</f>
        <v>#NAME?</v>
      </c>
      <c r="BI386" s="153" t="e">
        <f aca="false">_xlfn.xlookup(BG386,A:A,J:J)</f>
        <v>#NAME?</v>
      </c>
      <c r="BJ386" s="153" t="e">
        <f aca="false">_xlfn.xlookup(BG386,A:A,N:N)+_xlfn.xlookup(BG386,A:A,O:O)</f>
        <v>#NAME?</v>
      </c>
      <c r="BK386" s="153" t="e">
        <f aca="false">_xlfn.xlookup(BG386,A335:A1329,AB335:AB1329)</f>
        <v>#NAME?</v>
      </c>
      <c r="BN386" s="146"/>
      <c r="BO386" s="150"/>
      <c r="BQ386" s="153" t="str">
        <f aca="false">IF(VALUE(MONTH(C386))&lt;10,YEAR(C386)&amp;"-0"&amp;MONTH(C386),YEAR(C386)&amp;"-"&amp;MONTH(C386))</f>
        <v>1900-01</v>
      </c>
      <c r="BR386" s="153" t="n">
        <f aca="false">J386</f>
        <v>0</v>
      </c>
      <c r="BS386" s="153" t="n">
        <f aca="false">IF(ISNUMBER(FIND("-", BR386)), LEFT(BR386, FIND("-", BR386) - 1), BR386)</f>
        <v>0</v>
      </c>
      <c r="BT386" s="189" t="n">
        <f aca="false">L386-M386+O386</f>
        <v>0</v>
      </c>
    </row>
    <row r="387" s="153" customFormat="true" ht="15" hidden="false" customHeight="false" outlineLevel="0" collapsed="false">
      <c r="AN387" s="153" t="e">
        <v>#NAME?</v>
      </c>
      <c r="AO387" s="153" t="e">
        <f aca="false">_xlfn.xlookup(AN387,A:A,F:F)</f>
        <v>#NAME?</v>
      </c>
      <c r="AP387" s="153" t="e">
        <f aca="false">_xlfn.xlookup(AN387,A:A,J:J)</f>
        <v>#NAME?</v>
      </c>
      <c r="AQ387" s="153" t="e">
        <f aca="false">_xlfn.xlookup(AN387,A:A,N:N)+_xlfn.xlookup(AN387,A:A,O:O)</f>
        <v>#NAME?</v>
      </c>
      <c r="AR387" s="150" t="e">
        <f aca="false">_xlfn.xlookup(AN387,A:A,AH:AH)</f>
        <v>#NAME?</v>
      </c>
      <c r="AS387" s="150" t="e">
        <f aca="false">_xlfn.xlookup(AN387,A:A,S:S)</f>
        <v>#NAME?</v>
      </c>
      <c r="AT387" s="150" t="e">
        <f aca="false">_xlfn.xlookup(AN387,A:A,AE:AE)</f>
        <v>#NAME?</v>
      </c>
      <c r="AU387" s="150" t="e">
        <f aca="false">_xlfn.xlookup(AN387,A:A,AF:AF)</f>
        <v>#NAME?</v>
      </c>
      <c r="AX387" s="146"/>
      <c r="AY387" s="150"/>
      <c r="AZ387" s="150"/>
      <c r="BA387" s="150"/>
      <c r="BB387" s="146"/>
      <c r="BC387" s="146"/>
      <c r="BD387" s="151"/>
      <c r="BE387" s="146"/>
      <c r="BF387" s="146"/>
      <c r="BH387" s="152" t="e">
        <f aca="false">_xlfn.xlookup(BG387,A:A,F:F)</f>
        <v>#NAME?</v>
      </c>
      <c r="BI387" s="153" t="e">
        <f aca="false">_xlfn.xlookup(BG387,A:A,J:J)</f>
        <v>#NAME?</v>
      </c>
      <c r="BJ387" s="153" t="e">
        <f aca="false">_xlfn.xlookup(BG387,A:A,N:N)+_xlfn.xlookup(BG387,A:A,O:O)</f>
        <v>#NAME?</v>
      </c>
      <c r="BK387" s="153" t="e">
        <f aca="false">_xlfn.xlookup(BG387,A336:A1330,AB336:AB1330)</f>
        <v>#NAME?</v>
      </c>
      <c r="BN387" s="146"/>
      <c r="BO387" s="150"/>
      <c r="BQ387" s="153" t="str">
        <f aca="false">IF(VALUE(MONTH(C387))&lt;10,YEAR(C387)&amp;"-0"&amp;MONTH(C387),YEAR(C387)&amp;"-"&amp;MONTH(C387))</f>
        <v>1900-01</v>
      </c>
      <c r="BR387" s="153" t="n">
        <f aca="false">J387</f>
        <v>0</v>
      </c>
      <c r="BS387" s="153" t="n">
        <f aca="false">IF(ISNUMBER(FIND("-", BR387)), LEFT(BR387, FIND("-", BR387) - 1), BR387)</f>
        <v>0</v>
      </c>
      <c r="BT387" s="189" t="n">
        <f aca="false">L387-M387+O387</f>
        <v>0</v>
      </c>
    </row>
    <row r="388" s="153" customFormat="true" ht="15" hidden="false" customHeight="false" outlineLevel="0" collapsed="false">
      <c r="AN388" s="153" t="e">
        <v>#NAME?</v>
      </c>
      <c r="AO388" s="153" t="e">
        <f aca="false">_xlfn.xlookup(AN388,A:A,F:F)</f>
        <v>#NAME?</v>
      </c>
      <c r="AP388" s="153" t="e">
        <f aca="false">_xlfn.xlookup(AN388,A:A,J:J)</f>
        <v>#NAME?</v>
      </c>
      <c r="AQ388" s="153" t="e">
        <f aca="false">_xlfn.xlookup(AN388,A:A,N:N)+_xlfn.xlookup(AN388,A:A,O:O)</f>
        <v>#NAME?</v>
      </c>
      <c r="AR388" s="150" t="e">
        <f aca="false">_xlfn.xlookup(AN388,A:A,AH:AH)</f>
        <v>#NAME?</v>
      </c>
      <c r="AS388" s="150" t="e">
        <f aca="false">_xlfn.xlookup(AN388,A:A,S:S)</f>
        <v>#NAME?</v>
      </c>
      <c r="AT388" s="150" t="e">
        <f aca="false">_xlfn.xlookup(AN388,A:A,AE:AE)</f>
        <v>#NAME?</v>
      </c>
      <c r="AU388" s="150" t="e">
        <f aca="false">_xlfn.xlookup(AN388,A:A,AF:AF)</f>
        <v>#NAME?</v>
      </c>
      <c r="AX388" s="146"/>
      <c r="AY388" s="150"/>
      <c r="AZ388" s="150"/>
      <c r="BA388" s="150"/>
      <c r="BB388" s="146"/>
      <c r="BC388" s="146"/>
      <c r="BD388" s="151"/>
      <c r="BE388" s="146"/>
      <c r="BF388" s="146"/>
      <c r="BH388" s="152" t="e">
        <f aca="false">_xlfn.xlookup(BG388,A:A,F:F)</f>
        <v>#NAME?</v>
      </c>
      <c r="BI388" s="153" t="e">
        <f aca="false">_xlfn.xlookup(BG388,A:A,J:J)</f>
        <v>#NAME?</v>
      </c>
      <c r="BJ388" s="153" t="e">
        <f aca="false">_xlfn.xlookup(BG388,A:A,N:N)+_xlfn.xlookup(BG388,A:A,O:O)</f>
        <v>#NAME?</v>
      </c>
      <c r="BK388" s="153" t="e">
        <f aca="false">_xlfn.xlookup(BG388,A337:A1331,AB337:AB1331)</f>
        <v>#NAME?</v>
      </c>
      <c r="BN388" s="146"/>
      <c r="BO388" s="150"/>
      <c r="BQ388" s="153" t="str">
        <f aca="false">IF(VALUE(MONTH(C388))&lt;10,YEAR(C388)&amp;"-0"&amp;MONTH(C388),YEAR(C388)&amp;"-"&amp;MONTH(C388))</f>
        <v>1900-01</v>
      </c>
      <c r="BR388" s="153" t="n">
        <f aca="false">J388</f>
        <v>0</v>
      </c>
      <c r="BS388" s="153" t="n">
        <f aca="false">IF(ISNUMBER(FIND("-", BR388)), LEFT(BR388, FIND("-", BR388) - 1), BR388)</f>
        <v>0</v>
      </c>
      <c r="BT388" s="189" t="n">
        <f aca="false">L388-M388+O388</f>
        <v>0</v>
      </c>
    </row>
    <row r="389" s="153" customFormat="true" ht="15" hidden="false" customHeight="false" outlineLevel="0" collapsed="false">
      <c r="AN389" s="153" t="e">
        <v>#NAME?</v>
      </c>
      <c r="AO389" s="153" t="e">
        <f aca="false">_xlfn.xlookup(AN389,A:A,F:F)</f>
        <v>#NAME?</v>
      </c>
      <c r="AP389" s="153" t="e">
        <f aca="false">_xlfn.xlookup(AN389,A:A,J:J)</f>
        <v>#NAME?</v>
      </c>
      <c r="AQ389" s="153" t="e">
        <f aca="false">_xlfn.xlookup(AN389,A:A,N:N)+_xlfn.xlookup(AN389,A:A,O:O)</f>
        <v>#NAME?</v>
      </c>
      <c r="AR389" s="150" t="e">
        <f aca="false">_xlfn.xlookup(AN389,A:A,AH:AH)</f>
        <v>#NAME?</v>
      </c>
      <c r="AS389" s="150" t="e">
        <f aca="false">_xlfn.xlookup(AN389,A:A,S:S)</f>
        <v>#NAME?</v>
      </c>
      <c r="AT389" s="150" t="e">
        <f aca="false">_xlfn.xlookup(AN389,A:A,AE:AE)</f>
        <v>#NAME?</v>
      </c>
      <c r="AU389" s="150" t="e">
        <f aca="false">_xlfn.xlookup(AN389,A:A,AF:AF)</f>
        <v>#NAME?</v>
      </c>
      <c r="AX389" s="146"/>
      <c r="AY389" s="150"/>
      <c r="AZ389" s="150"/>
      <c r="BA389" s="150"/>
      <c r="BB389" s="146"/>
      <c r="BC389" s="146"/>
      <c r="BD389" s="151"/>
      <c r="BE389" s="146"/>
      <c r="BF389" s="146"/>
      <c r="BH389" s="152" t="e">
        <f aca="false">_xlfn.xlookup(BG389,A:A,F:F)</f>
        <v>#NAME?</v>
      </c>
      <c r="BI389" s="153" t="e">
        <f aca="false">_xlfn.xlookup(BG389,A:A,J:J)</f>
        <v>#NAME?</v>
      </c>
      <c r="BJ389" s="153" t="e">
        <f aca="false">_xlfn.xlookup(BG389,A:A,N:N)+_xlfn.xlookup(BG389,A:A,O:O)</f>
        <v>#NAME?</v>
      </c>
      <c r="BK389" s="153" t="e">
        <f aca="false">_xlfn.xlookup(BG389,A338:A1332,AB338:AB1332)</f>
        <v>#NAME?</v>
      </c>
      <c r="BN389" s="146"/>
      <c r="BO389" s="150"/>
      <c r="BQ389" s="153" t="str">
        <f aca="false">IF(VALUE(MONTH(C389))&lt;10,YEAR(C389)&amp;"-0"&amp;MONTH(C389),YEAR(C389)&amp;"-"&amp;MONTH(C389))</f>
        <v>1900-01</v>
      </c>
      <c r="BR389" s="153" t="n">
        <f aca="false">J389</f>
        <v>0</v>
      </c>
      <c r="BS389" s="153" t="n">
        <f aca="false">IF(ISNUMBER(FIND("-", BR389)), LEFT(BR389, FIND("-", BR389) - 1), BR389)</f>
        <v>0</v>
      </c>
      <c r="BT389" s="189" t="n">
        <f aca="false">L389-M389+O389</f>
        <v>0</v>
      </c>
    </row>
    <row r="390" s="153" customFormat="true" ht="15" hidden="false" customHeight="false" outlineLevel="0" collapsed="false">
      <c r="AN390" s="153" t="e">
        <v>#NAME?</v>
      </c>
      <c r="AO390" s="153" t="e">
        <f aca="false">_xlfn.xlookup(AN390,A:A,F:F)</f>
        <v>#NAME?</v>
      </c>
      <c r="AP390" s="153" t="e">
        <f aca="false">_xlfn.xlookup(AN390,A:A,J:J)</f>
        <v>#NAME?</v>
      </c>
      <c r="AQ390" s="153" t="e">
        <f aca="false">_xlfn.xlookup(AN390,A:A,N:N)+_xlfn.xlookup(AN390,A:A,O:O)</f>
        <v>#NAME?</v>
      </c>
      <c r="AR390" s="150" t="e">
        <f aca="false">_xlfn.xlookup(AN390,A:A,AH:AH)</f>
        <v>#NAME?</v>
      </c>
      <c r="AS390" s="150" t="e">
        <f aca="false">_xlfn.xlookup(AN390,A:A,S:S)</f>
        <v>#NAME?</v>
      </c>
      <c r="AT390" s="150" t="e">
        <f aca="false">_xlfn.xlookup(AN390,A:A,AE:AE)</f>
        <v>#NAME?</v>
      </c>
      <c r="AU390" s="150" t="e">
        <f aca="false">_xlfn.xlookup(AN390,A:A,AF:AF)</f>
        <v>#NAME?</v>
      </c>
      <c r="AX390" s="146"/>
      <c r="AY390" s="150"/>
      <c r="AZ390" s="150"/>
      <c r="BA390" s="150"/>
      <c r="BB390" s="146"/>
      <c r="BC390" s="146"/>
      <c r="BD390" s="151"/>
      <c r="BE390" s="146"/>
      <c r="BF390" s="146"/>
      <c r="BH390" s="152" t="e">
        <f aca="false">_xlfn.xlookup(BG390,A:A,F:F)</f>
        <v>#NAME?</v>
      </c>
      <c r="BI390" s="153" t="e">
        <f aca="false">_xlfn.xlookup(BG390,A:A,J:J)</f>
        <v>#NAME?</v>
      </c>
      <c r="BJ390" s="153" t="e">
        <f aca="false">_xlfn.xlookup(BG390,A:A,N:N)+_xlfn.xlookup(BG390,A:A,O:O)</f>
        <v>#NAME?</v>
      </c>
      <c r="BK390" s="153" t="e">
        <f aca="false">_xlfn.xlookup(BG390,A339:A1333,AB339:AB1333)</f>
        <v>#NAME?</v>
      </c>
      <c r="BN390" s="146"/>
      <c r="BO390" s="150"/>
      <c r="BQ390" s="153" t="str">
        <f aca="false">IF(VALUE(MONTH(C390))&lt;10,YEAR(C390)&amp;"-0"&amp;MONTH(C390),YEAR(C390)&amp;"-"&amp;MONTH(C390))</f>
        <v>1900-01</v>
      </c>
      <c r="BR390" s="153" t="n">
        <f aca="false">J390</f>
        <v>0</v>
      </c>
      <c r="BS390" s="153" t="n">
        <f aca="false">IF(ISNUMBER(FIND("-", BR390)), LEFT(BR390, FIND("-", BR390) - 1), BR390)</f>
        <v>0</v>
      </c>
      <c r="BT390" s="189" t="n">
        <f aca="false">L390-M390+O390</f>
        <v>0</v>
      </c>
    </row>
    <row r="391" s="153" customFormat="true" ht="15" hidden="false" customHeight="false" outlineLevel="0" collapsed="false">
      <c r="AN391" s="153" t="e">
        <v>#NAME?</v>
      </c>
      <c r="AO391" s="153" t="e">
        <f aca="false">_xlfn.xlookup(AN391,A:A,F:F)</f>
        <v>#NAME?</v>
      </c>
      <c r="AP391" s="153" t="e">
        <f aca="false">_xlfn.xlookup(AN391,A:A,J:J)</f>
        <v>#NAME?</v>
      </c>
      <c r="AQ391" s="153" t="e">
        <f aca="false">_xlfn.xlookup(AN391,A:A,N:N)+_xlfn.xlookup(AN391,A:A,O:O)</f>
        <v>#NAME?</v>
      </c>
      <c r="AR391" s="150" t="e">
        <f aca="false">_xlfn.xlookup(AN391,A:A,AH:AH)</f>
        <v>#NAME?</v>
      </c>
      <c r="AS391" s="150" t="e">
        <f aca="false">_xlfn.xlookup(AN391,A:A,S:S)</f>
        <v>#NAME?</v>
      </c>
      <c r="AT391" s="150" t="e">
        <f aca="false">_xlfn.xlookup(AN391,A:A,AE:AE)</f>
        <v>#NAME?</v>
      </c>
      <c r="AU391" s="150" t="e">
        <f aca="false">_xlfn.xlookup(AN391,A:A,AF:AF)</f>
        <v>#NAME?</v>
      </c>
      <c r="AX391" s="146"/>
      <c r="AY391" s="150"/>
      <c r="AZ391" s="150"/>
      <c r="BA391" s="150"/>
      <c r="BB391" s="146"/>
      <c r="BC391" s="146"/>
      <c r="BD391" s="151"/>
      <c r="BE391" s="146"/>
      <c r="BF391" s="146"/>
      <c r="BH391" s="152" t="e">
        <f aca="false">_xlfn.xlookup(BG391,A:A,F:F)</f>
        <v>#NAME?</v>
      </c>
      <c r="BI391" s="153" t="e">
        <f aca="false">_xlfn.xlookup(BG391,A:A,J:J)</f>
        <v>#NAME?</v>
      </c>
      <c r="BJ391" s="153" t="e">
        <f aca="false">_xlfn.xlookup(BG391,A:A,N:N)+_xlfn.xlookup(BG391,A:A,O:O)</f>
        <v>#NAME?</v>
      </c>
      <c r="BK391" s="153" t="e">
        <f aca="false">_xlfn.xlookup(BG391,A340:A1334,AB340:AB1334)</f>
        <v>#NAME?</v>
      </c>
      <c r="BN391" s="146"/>
      <c r="BO391" s="150"/>
      <c r="BQ391" s="153" t="str">
        <f aca="false">IF(VALUE(MONTH(C391))&lt;10,YEAR(C391)&amp;"-0"&amp;MONTH(C391),YEAR(C391)&amp;"-"&amp;MONTH(C391))</f>
        <v>1900-01</v>
      </c>
      <c r="BR391" s="153" t="n">
        <f aca="false">J391</f>
        <v>0</v>
      </c>
      <c r="BS391" s="153" t="n">
        <f aca="false">IF(ISNUMBER(FIND("-", BR391)), LEFT(BR391, FIND("-", BR391) - 1), BR391)</f>
        <v>0</v>
      </c>
      <c r="BT391" s="189" t="n">
        <f aca="false">L391-M391+O391</f>
        <v>0</v>
      </c>
    </row>
    <row r="392" s="153" customFormat="true" ht="15" hidden="false" customHeight="false" outlineLevel="0" collapsed="false">
      <c r="AN392" s="153" t="e">
        <v>#NAME?</v>
      </c>
      <c r="AO392" s="153" t="e">
        <f aca="false">_xlfn.xlookup(AN392,A:A,F:F)</f>
        <v>#NAME?</v>
      </c>
      <c r="AP392" s="153" t="e">
        <f aca="false">_xlfn.xlookup(AN392,A:A,J:J)</f>
        <v>#NAME?</v>
      </c>
      <c r="AQ392" s="153" t="e">
        <f aca="false">_xlfn.xlookup(AN392,A:A,N:N)+_xlfn.xlookup(AN392,A:A,O:O)</f>
        <v>#NAME?</v>
      </c>
      <c r="AR392" s="150" t="e">
        <f aca="false">_xlfn.xlookup(AN392,A:A,AH:AH)</f>
        <v>#NAME?</v>
      </c>
      <c r="AS392" s="150" t="e">
        <f aca="false">_xlfn.xlookup(AN392,A:A,S:S)</f>
        <v>#NAME?</v>
      </c>
      <c r="AT392" s="150" t="e">
        <f aca="false">_xlfn.xlookup(AN392,A:A,AE:AE)</f>
        <v>#NAME?</v>
      </c>
      <c r="AU392" s="150" t="e">
        <f aca="false">_xlfn.xlookup(AN392,A:A,AF:AF)</f>
        <v>#NAME?</v>
      </c>
      <c r="AX392" s="146"/>
      <c r="AY392" s="150"/>
      <c r="AZ392" s="150"/>
      <c r="BA392" s="150"/>
      <c r="BB392" s="146"/>
      <c r="BC392" s="146"/>
      <c r="BD392" s="151"/>
      <c r="BE392" s="146"/>
      <c r="BF392" s="146"/>
      <c r="BH392" s="152" t="e">
        <f aca="false">_xlfn.xlookup(BG392,A:A,F:F)</f>
        <v>#NAME?</v>
      </c>
      <c r="BI392" s="153" t="e">
        <f aca="false">_xlfn.xlookup(BG392,A:A,J:J)</f>
        <v>#NAME?</v>
      </c>
      <c r="BJ392" s="153" t="e">
        <f aca="false">_xlfn.xlookup(BG392,A:A,N:N)+_xlfn.xlookup(BG392,A:A,O:O)</f>
        <v>#NAME?</v>
      </c>
      <c r="BK392" s="153" t="e">
        <f aca="false">_xlfn.xlookup(BG392,A341:A1335,AB341:AB1335)</f>
        <v>#NAME?</v>
      </c>
      <c r="BN392" s="146"/>
      <c r="BO392" s="150"/>
      <c r="BQ392" s="153" t="str">
        <f aca="false">IF(VALUE(MONTH(C392))&lt;10,YEAR(C392)&amp;"-0"&amp;MONTH(C392),YEAR(C392)&amp;"-"&amp;MONTH(C392))</f>
        <v>1900-01</v>
      </c>
      <c r="BR392" s="153" t="n">
        <f aca="false">J392</f>
        <v>0</v>
      </c>
      <c r="BS392" s="153" t="n">
        <f aca="false">IF(ISNUMBER(FIND("-", BR392)), LEFT(BR392, FIND("-", BR392) - 1), BR392)</f>
        <v>0</v>
      </c>
      <c r="BT392" s="189" t="n">
        <f aca="false">L392-M392+O392</f>
        <v>0</v>
      </c>
    </row>
    <row r="393" s="153" customFormat="true" ht="15" hidden="false" customHeight="false" outlineLevel="0" collapsed="false">
      <c r="AN393" s="153" t="e">
        <v>#NAME?</v>
      </c>
      <c r="AO393" s="153" t="e">
        <f aca="false">_xlfn.xlookup(AN393,A:A,F:F)</f>
        <v>#NAME?</v>
      </c>
      <c r="AP393" s="153" t="e">
        <f aca="false">_xlfn.xlookup(AN393,A:A,J:J)</f>
        <v>#NAME?</v>
      </c>
      <c r="AQ393" s="153" t="e">
        <f aca="false">_xlfn.xlookup(AN393,A:A,N:N)+_xlfn.xlookup(AN393,A:A,O:O)</f>
        <v>#NAME?</v>
      </c>
      <c r="AR393" s="150" t="e">
        <f aca="false">_xlfn.xlookup(AN393,A:A,AH:AH)</f>
        <v>#NAME?</v>
      </c>
      <c r="AS393" s="150" t="e">
        <f aca="false">_xlfn.xlookup(AN393,A:A,S:S)</f>
        <v>#NAME?</v>
      </c>
      <c r="AT393" s="150" t="e">
        <f aca="false">_xlfn.xlookup(AN393,A:A,AE:AE)</f>
        <v>#NAME?</v>
      </c>
      <c r="AU393" s="150" t="e">
        <f aca="false">_xlfn.xlookup(AN393,A:A,AF:AF)</f>
        <v>#NAME?</v>
      </c>
      <c r="AX393" s="146"/>
      <c r="AY393" s="150"/>
      <c r="AZ393" s="150"/>
      <c r="BA393" s="150"/>
      <c r="BB393" s="146"/>
      <c r="BC393" s="146"/>
      <c r="BD393" s="151"/>
      <c r="BE393" s="146"/>
      <c r="BF393" s="146"/>
      <c r="BH393" s="152" t="e">
        <f aca="false">_xlfn.xlookup(BG393,A:A,F:F)</f>
        <v>#NAME?</v>
      </c>
      <c r="BI393" s="153" t="e">
        <f aca="false">_xlfn.xlookup(BG393,A:A,J:J)</f>
        <v>#NAME?</v>
      </c>
      <c r="BJ393" s="153" t="e">
        <f aca="false">_xlfn.xlookup(BG393,A:A,N:N)+_xlfn.xlookup(BG393,A:A,O:O)</f>
        <v>#NAME?</v>
      </c>
      <c r="BK393" s="153" t="e">
        <f aca="false">_xlfn.xlookup(BG393,A342:A1336,AB342:AB1336)</f>
        <v>#NAME?</v>
      </c>
      <c r="BN393" s="146"/>
      <c r="BO393" s="150"/>
      <c r="BQ393" s="153" t="str">
        <f aca="false">IF(VALUE(MONTH(C393))&lt;10,YEAR(C393)&amp;"-0"&amp;MONTH(C393),YEAR(C393)&amp;"-"&amp;MONTH(C393))</f>
        <v>1900-01</v>
      </c>
      <c r="BR393" s="153" t="n">
        <f aca="false">J393</f>
        <v>0</v>
      </c>
      <c r="BS393" s="153" t="n">
        <f aca="false">IF(ISNUMBER(FIND("-", BR393)), LEFT(BR393, FIND("-", BR393) - 1), BR393)</f>
        <v>0</v>
      </c>
      <c r="BT393" s="189" t="n">
        <f aca="false">L393-M393+O393</f>
        <v>0</v>
      </c>
    </row>
    <row r="394" s="153" customFormat="true" ht="15" hidden="false" customHeight="false" outlineLevel="0" collapsed="false">
      <c r="AN394" s="153" t="e">
        <v>#NAME?</v>
      </c>
      <c r="AO394" s="153" t="e">
        <f aca="false">_xlfn.xlookup(AN394,A:A,F:F)</f>
        <v>#NAME?</v>
      </c>
      <c r="AP394" s="153" t="e">
        <f aca="false">_xlfn.xlookup(AN394,A:A,J:J)</f>
        <v>#NAME?</v>
      </c>
      <c r="AQ394" s="153" t="e">
        <f aca="false">_xlfn.xlookup(AN394,A:A,N:N)+_xlfn.xlookup(AN394,A:A,O:O)</f>
        <v>#NAME?</v>
      </c>
      <c r="AR394" s="150" t="e">
        <f aca="false">_xlfn.xlookup(AN394,A:A,AH:AH)</f>
        <v>#NAME?</v>
      </c>
      <c r="AS394" s="150" t="e">
        <f aca="false">_xlfn.xlookup(AN394,A:A,S:S)</f>
        <v>#NAME?</v>
      </c>
      <c r="AT394" s="150" t="e">
        <f aca="false">_xlfn.xlookup(AN394,A:A,AE:AE)</f>
        <v>#NAME?</v>
      </c>
      <c r="AU394" s="150" t="e">
        <f aca="false">_xlfn.xlookup(AN394,A:A,AF:AF)</f>
        <v>#NAME?</v>
      </c>
      <c r="AX394" s="146"/>
      <c r="AY394" s="150"/>
      <c r="AZ394" s="150"/>
      <c r="BA394" s="150"/>
      <c r="BB394" s="146"/>
      <c r="BC394" s="146"/>
      <c r="BD394" s="151"/>
      <c r="BE394" s="146"/>
      <c r="BF394" s="146"/>
      <c r="BH394" s="152" t="e">
        <f aca="false">_xlfn.xlookup(BG394,A:A,F:F)</f>
        <v>#NAME?</v>
      </c>
      <c r="BI394" s="153" t="e">
        <f aca="false">_xlfn.xlookup(BG394,A:A,J:J)</f>
        <v>#NAME?</v>
      </c>
      <c r="BJ394" s="153" t="e">
        <f aca="false">_xlfn.xlookup(BG394,A:A,N:N)+_xlfn.xlookup(BG394,A:A,O:O)</f>
        <v>#NAME?</v>
      </c>
      <c r="BK394" s="153" t="e">
        <f aca="false">_xlfn.xlookup(BG394,A343:A1337,AB343:AB1337)</f>
        <v>#NAME?</v>
      </c>
      <c r="BN394" s="146"/>
      <c r="BO394" s="150"/>
      <c r="BQ394" s="153" t="str">
        <f aca="false">IF(VALUE(MONTH(C394))&lt;10,YEAR(C394)&amp;"-0"&amp;MONTH(C394),YEAR(C394)&amp;"-"&amp;MONTH(C394))</f>
        <v>1900-01</v>
      </c>
      <c r="BR394" s="153" t="n">
        <f aca="false">J394</f>
        <v>0</v>
      </c>
      <c r="BS394" s="153" t="n">
        <f aca="false">IF(ISNUMBER(FIND("-", BR394)), LEFT(BR394, FIND("-", BR394) - 1), BR394)</f>
        <v>0</v>
      </c>
      <c r="BT394" s="189" t="n">
        <f aca="false">L394-M394+O394</f>
        <v>0</v>
      </c>
    </row>
    <row r="395" s="153" customFormat="true" ht="15" hidden="false" customHeight="false" outlineLevel="0" collapsed="false">
      <c r="AN395" s="153" t="e">
        <v>#NAME?</v>
      </c>
      <c r="AO395" s="153" t="e">
        <f aca="false">_xlfn.xlookup(AN395,A:A,F:F)</f>
        <v>#NAME?</v>
      </c>
      <c r="AP395" s="153" t="e">
        <f aca="false">_xlfn.xlookup(AN395,A:A,J:J)</f>
        <v>#NAME?</v>
      </c>
      <c r="AQ395" s="153" t="e">
        <f aca="false">_xlfn.xlookup(AN395,A:A,N:N)+_xlfn.xlookup(AN395,A:A,O:O)</f>
        <v>#NAME?</v>
      </c>
      <c r="AR395" s="150" t="e">
        <f aca="false">_xlfn.xlookup(AN395,A:A,AH:AH)</f>
        <v>#NAME?</v>
      </c>
      <c r="AS395" s="150" t="e">
        <f aca="false">_xlfn.xlookup(AN395,A:A,S:S)</f>
        <v>#NAME?</v>
      </c>
      <c r="AT395" s="150" t="e">
        <f aca="false">_xlfn.xlookup(AN395,A:A,AE:AE)</f>
        <v>#NAME?</v>
      </c>
      <c r="AU395" s="150" t="e">
        <f aca="false">_xlfn.xlookup(AN395,A:A,AF:AF)</f>
        <v>#NAME?</v>
      </c>
      <c r="AX395" s="146"/>
      <c r="AY395" s="150"/>
      <c r="AZ395" s="150"/>
      <c r="BA395" s="150"/>
      <c r="BB395" s="146"/>
      <c r="BC395" s="146"/>
      <c r="BD395" s="151"/>
      <c r="BE395" s="146"/>
      <c r="BF395" s="146"/>
      <c r="BH395" s="152" t="e">
        <f aca="false">_xlfn.xlookup(BG395,A:A,F:F)</f>
        <v>#NAME?</v>
      </c>
      <c r="BI395" s="153" t="e">
        <f aca="false">_xlfn.xlookup(BG395,A:A,J:J)</f>
        <v>#NAME?</v>
      </c>
      <c r="BJ395" s="153" t="e">
        <f aca="false">_xlfn.xlookup(BG395,A:A,N:N)+_xlfn.xlookup(BG395,A:A,O:O)</f>
        <v>#NAME?</v>
      </c>
      <c r="BK395" s="153" t="e">
        <f aca="false">_xlfn.xlookup(BG395,A344:A1338,AB344:AB1338)</f>
        <v>#NAME?</v>
      </c>
      <c r="BN395" s="146"/>
      <c r="BO395" s="150"/>
      <c r="BQ395" s="153" t="str">
        <f aca="false">IF(VALUE(MONTH(C395))&lt;10,YEAR(C395)&amp;"-0"&amp;MONTH(C395),YEAR(C395)&amp;"-"&amp;MONTH(C395))</f>
        <v>1900-01</v>
      </c>
      <c r="BR395" s="153" t="n">
        <f aca="false">J395</f>
        <v>0</v>
      </c>
      <c r="BS395" s="153" t="n">
        <f aca="false">IF(ISNUMBER(FIND("-", BR395)), LEFT(BR395, FIND("-", BR395) - 1), BR395)</f>
        <v>0</v>
      </c>
      <c r="BT395" s="189" t="n">
        <f aca="false">L395-M395+O395</f>
        <v>0</v>
      </c>
    </row>
    <row r="396" s="153" customFormat="true" ht="15" hidden="false" customHeight="false" outlineLevel="0" collapsed="false">
      <c r="AN396" s="153" t="e">
        <v>#NAME?</v>
      </c>
      <c r="AO396" s="153" t="e">
        <f aca="false">_xlfn.xlookup(AN396,A:A,F:F)</f>
        <v>#NAME?</v>
      </c>
      <c r="AP396" s="153" t="e">
        <f aca="false">_xlfn.xlookup(AN396,A:A,J:J)</f>
        <v>#NAME?</v>
      </c>
      <c r="AQ396" s="153" t="e">
        <f aca="false">_xlfn.xlookup(AN396,A:A,N:N)+_xlfn.xlookup(AN396,A:A,O:O)</f>
        <v>#NAME?</v>
      </c>
      <c r="AR396" s="150" t="e">
        <f aca="false">_xlfn.xlookup(AN396,A:A,AH:AH)</f>
        <v>#NAME?</v>
      </c>
      <c r="AS396" s="150" t="e">
        <f aca="false">_xlfn.xlookup(AN396,A:A,S:S)</f>
        <v>#NAME?</v>
      </c>
      <c r="AT396" s="150" t="e">
        <f aca="false">_xlfn.xlookup(AN396,A:A,AE:AE)</f>
        <v>#NAME?</v>
      </c>
      <c r="AU396" s="150" t="e">
        <f aca="false">_xlfn.xlookup(AN396,A:A,AF:AF)</f>
        <v>#NAME?</v>
      </c>
      <c r="AX396" s="146"/>
      <c r="AY396" s="150"/>
      <c r="AZ396" s="150"/>
      <c r="BA396" s="150"/>
      <c r="BB396" s="146"/>
      <c r="BC396" s="146"/>
      <c r="BD396" s="151"/>
      <c r="BE396" s="146"/>
      <c r="BF396" s="146"/>
      <c r="BH396" s="152" t="e">
        <f aca="false">_xlfn.xlookup(BG396,A:A,F:F)</f>
        <v>#NAME?</v>
      </c>
      <c r="BI396" s="153" t="e">
        <f aca="false">_xlfn.xlookup(BG396,A:A,J:J)</f>
        <v>#NAME?</v>
      </c>
      <c r="BJ396" s="153" t="e">
        <f aca="false">_xlfn.xlookup(BG396,A:A,N:N)+_xlfn.xlookup(BG396,A:A,O:O)</f>
        <v>#NAME?</v>
      </c>
      <c r="BK396" s="153" t="e">
        <f aca="false">_xlfn.xlookup(BG396,A345:A1339,AB345:AB1339)</f>
        <v>#NAME?</v>
      </c>
      <c r="BN396" s="146"/>
      <c r="BO396" s="150"/>
      <c r="BQ396" s="153" t="str">
        <f aca="false">IF(VALUE(MONTH(C396))&lt;10,YEAR(C396)&amp;"-0"&amp;MONTH(C396),YEAR(C396)&amp;"-"&amp;MONTH(C396))</f>
        <v>1900-01</v>
      </c>
      <c r="BR396" s="153" t="n">
        <f aca="false">J396</f>
        <v>0</v>
      </c>
      <c r="BS396" s="153" t="n">
        <f aca="false">IF(ISNUMBER(FIND("-", BR396)), LEFT(BR396, FIND("-", BR396) - 1), BR396)</f>
        <v>0</v>
      </c>
      <c r="BT396" s="189" t="n">
        <f aca="false">L396-M396+O396</f>
        <v>0</v>
      </c>
    </row>
    <row r="397" s="153" customFormat="true" ht="15" hidden="false" customHeight="false" outlineLevel="0" collapsed="false">
      <c r="AN397" s="153" t="e">
        <v>#NAME?</v>
      </c>
      <c r="AO397" s="153" t="e">
        <f aca="false">_xlfn.xlookup(AN397,A:A,F:F)</f>
        <v>#NAME?</v>
      </c>
      <c r="AP397" s="153" t="e">
        <f aca="false">_xlfn.xlookup(AN397,A:A,J:J)</f>
        <v>#NAME?</v>
      </c>
      <c r="AQ397" s="153" t="e">
        <f aca="false">_xlfn.xlookup(AN397,A:A,N:N)+_xlfn.xlookup(AN397,A:A,O:O)</f>
        <v>#NAME?</v>
      </c>
      <c r="AR397" s="150" t="e">
        <f aca="false">_xlfn.xlookup(AN397,A:A,AH:AH)</f>
        <v>#NAME?</v>
      </c>
      <c r="AS397" s="150" t="e">
        <f aca="false">_xlfn.xlookup(AN397,A:A,S:S)</f>
        <v>#NAME?</v>
      </c>
      <c r="AT397" s="150" t="e">
        <f aca="false">_xlfn.xlookup(AN397,A:A,AE:AE)</f>
        <v>#NAME?</v>
      </c>
      <c r="AU397" s="150" t="e">
        <f aca="false">_xlfn.xlookup(AN397,A:A,AF:AF)</f>
        <v>#NAME?</v>
      </c>
      <c r="AX397" s="146"/>
      <c r="AY397" s="150"/>
      <c r="AZ397" s="150"/>
      <c r="BA397" s="150"/>
      <c r="BB397" s="146"/>
      <c r="BC397" s="146"/>
      <c r="BD397" s="151"/>
      <c r="BE397" s="146"/>
      <c r="BF397" s="146"/>
      <c r="BH397" s="152" t="e">
        <f aca="false">_xlfn.xlookup(BG397,A:A,F:F)</f>
        <v>#NAME?</v>
      </c>
      <c r="BI397" s="153" t="e">
        <f aca="false">_xlfn.xlookup(BG397,A:A,J:J)</f>
        <v>#NAME?</v>
      </c>
      <c r="BJ397" s="153" t="e">
        <f aca="false">_xlfn.xlookup(BG397,A:A,N:N)+_xlfn.xlookup(BG397,A:A,O:O)</f>
        <v>#NAME?</v>
      </c>
      <c r="BK397" s="153" t="e">
        <f aca="false">_xlfn.xlookup(BG397,A346:A1340,AB346:AB1340)</f>
        <v>#NAME?</v>
      </c>
      <c r="BN397" s="146"/>
      <c r="BO397" s="150"/>
      <c r="BQ397" s="153" t="str">
        <f aca="false">IF(VALUE(MONTH(C397))&lt;10,YEAR(C397)&amp;"-0"&amp;MONTH(C397),YEAR(C397)&amp;"-"&amp;MONTH(C397))</f>
        <v>1900-01</v>
      </c>
      <c r="BR397" s="153" t="n">
        <f aca="false">J397</f>
        <v>0</v>
      </c>
      <c r="BS397" s="153" t="n">
        <f aca="false">IF(ISNUMBER(FIND("-", BR397)), LEFT(BR397, FIND("-", BR397) - 1), BR397)</f>
        <v>0</v>
      </c>
      <c r="BT397" s="189" t="n">
        <f aca="false">L397-M397+O397</f>
        <v>0</v>
      </c>
    </row>
    <row r="398" s="153" customFormat="true" ht="15" hidden="false" customHeight="false" outlineLevel="0" collapsed="false">
      <c r="AN398" s="153" t="e">
        <v>#NAME?</v>
      </c>
      <c r="AO398" s="153" t="e">
        <f aca="false">_xlfn.xlookup(AN398,A:A,F:F)</f>
        <v>#NAME?</v>
      </c>
      <c r="AP398" s="153" t="e">
        <f aca="false">_xlfn.xlookup(AN398,A:A,J:J)</f>
        <v>#NAME?</v>
      </c>
      <c r="AQ398" s="153" t="e">
        <f aca="false">_xlfn.xlookup(AN398,A:A,N:N)+_xlfn.xlookup(AN398,A:A,O:O)</f>
        <v>#NAME?</v>
      </c>
      <c r="AR398" s="150" t="e">
        <f aca="false">_xlfn.xlookup(AN398,A:A,AH:AH)</f>
        <v>#NAME?</v>
      </c>
      <c r="AS398" s="150" t="e">
        <f aca="false">_xlfn.xlookup(AN398,A:A,S:S)</f>
        <v>#NAME?</v>
      </c>
      <c r="AT398" s="150" t="e">
        <f aca="false">_xlfn.xlookup(AN398,A:A,AE:AE)</f>
        <v>#NAME?</v>
      </c>
      <c r="AU398" s="150" t="e">
        <f aca="false">_xlfn.xlookup(AN398,A:A,AF:AF)</f>
        <v>#NAME?</v>
      </c>
      <c r="AX398" s="146"/>
      <c r="AY398" s="150"/>
      <c r="AZ398" s="150"/>
      <c r="BA398" s="150"/>
      <c r="BB398" s="146"/>
      <c r="BC398" s="146"/>
      <c r="BD398" s="151"/>
      <c r="BE398" s="146"/>
      <c r="BF398" s="146"/>
      <c r="BH398" s="152" t="e">
        <f aca="false">_xlfn.xlookup(BG398,A:A,F:F)</f>
        <v>#NAME?</v>
      </c>
      <c r="BI398" s="153" t="e">
        <f aca="false">_xlfn.xlookup(BG398,A:A,J:J)</f>
        <v>#NAME?</v>
      </c>
      <c r="BJ398" s="153" t="e">
        <f aca="false">_xlfn.xlookup(BG398,A:A,N:N)+_xlfn.xlookup(BG398,A:A,O:O)</f>
        <v>#NAME?</v>
      </c>
      <c r="BK398" s="153" t="e">
        <f aca="false">_xlfn.xlookup(BG398,A347:A1341,AB347:AB1341)</f>
        <v>#NAME?</v>
      </c>
      <c r="BN398" s="146"/>
      <c r="BO398" s="150"/>
      <c r="BQ398" s="153" t="str">
        <f aca="false">IF(VALUE(MONTH(C398))&lt;10,YEAR(C398)&amp;"-0"&amp;MONTH(C398),YEAR(C398)&amp;"-"&amp;MONTH(C398))</f>
        <v>1900-01</v>
      </c>
      <c r="BR398" s="153" t="n">
        <f aca="false">J398</f>
        <v>0</v>
      </c>
      <c r="BS398" s="153" t="n">
        <f aca="false">IF(ISNUMBER(FIND("-", BR398)), LEFT(BR398, FIND("-", BR398) - 1), BR398)</f>
        <v>0</v>
      </c>
      <c r="BT398" s="189" t="n">
        <f aca="false">L398-M398+O398</f>
        <v>0</v>
      </c>
    </row>
    <row r="399" s="153" customFormat="true" ht="15" hidden="false" customHeight="false" outlineLevel="0" collapsed="false">
      <c r="AN399" s="153" t="e">
        <v>#NAME?</v>
      </c>
      <c r="AO399" s="153" t="e">
        <f aca="false">_xlfn.xlookup(AN399,A:A,F:F)</f>
        <v>#NAME?</v>
      </c>
      <c r="AP399" s="153" t="e">
        <f aca="false">_xlfn.xlookup(AN399,A:A,J:J)</f>
        <v>#NAME?</v>
      </c>
      <c r="AQ399" s="153" t="e">
        <f aca="false">_xlfn.xlookup(AN399,A:A,N:N)+_xlfn.xlookup(AN399,A:A,O:O)</f>
        <v>#NAME?</v>
      </c>
      <c r="AR399" s="150" t="e">
        <f aca="false">_xlfn.xlookup(AN399,A:A,AH:AH)</f>
        <v>#NAME?</v>
      </c>
      <c r="AS399" s="150" t="e">
        <f aca="false">_xlfn.xlookup(AN399,A:A,S:S)</f>
        <v>#NAME?</v>
      </c>
      <c r="AT399" s="150" t="e">
        <f aca="false">_xlfn.xlookup(AN399,A:A,AE:AE)</f>
        <v>#NAME?</v>
      </c>
      <c r="AU399" s="150" t="e">
        <f aca="false">_xlfn.xlookup(AN399,A:A,AF:AF)</f>
        <v>#NAME?</v>
      </c>
      <c r="AX399" s="146"/>
      <c r="AY399" s="150"/>
      <c r="AZ399" s="150"/>
      <c r="BA399" s="150"/>
      <c r="BB399" s="146"/>
      <c r="BC399" s="146"/>
      <c r="BD399" s="151"/>
      <c r="BE399" s="146"/>
      <c r="BF399" s="146"/>
      <c r="BH399" s="152" t="e">
        <f aca="false">_xlfn.xlookup(BG399,A:A,F:F)</f>
        <v>#NAME?</v>
      </c>
      <c r="BI399" s="153" t="e">
        <f aca="false">_xlfn.xlookup(BG399,A:A,J:J)</f>
        <v>#NAME?</v>
      </c>
      <c r="BJ399" s="153" t="e">
        <f aca="false">_xlfn.xlookup(BG399,A:A,N:N)+_xlfn.xlookup(BG399,A:A,O:O)</f>
        <v>#NAME?</v>
      </c>
      <c r="BK399" s="153" t="e">
        <f aca="false">_xlfn.xlookup(BG399,A348:A1342,AB348:AB1342)</f>
        <v>#NAME?</v>
      </c>
      <c r="BN399" s="146"/>
      <c r="BO399" s="150"/>
      <c r="BQ399" s="153" t="str">
        <f aca="false">IF(VALUE(MONTH(C399))&lt;10,YEAR(C399)&amp;"-0"&amp;MONTH(C399),YEAR(C399)&amp;"-"&amp;MONTH(C399))</f>
        <v>1900-01</v>
      </c>
      <c r="BR399" s="153" t="n">
        <f aca="false">J399</f>
        <v>0</v>
      </c>
      <c r="BS399" s="153" t="n">
        <f aca="false">IF(ISNUMBER(FIND("-", BR399)), LEFT(BR399, FIND("-", BR399) - 1), BR399)</f>
        <v>0</v>
      </c>
      <c r="BT399" s="189" t="n">
        <f aca="false">L399-M399+O399</f>
        <v>0</v>
      </c>
    </row>
    <row r="400" s="153" customFormat="true" ht="15" hidden="false" customHeight="false" outlineLevel="0" collapsed="false">
      <c r="AN400" s="153" t="e">
        <v>#NAME?</v>
      </c>
      <c r="AO400" s="153" t="e">
        <f aca="false">_xlfn.xlookup(AN400,A:A,F:F)</f>
        <v>#NAME?</v>
      </c>
      <c r="AP400" s="153" t="e">
        <f aca="false">_xlfn.xlookup(AN400,A:A,J:J)</f>
        <v>#NAME?</v>
      </c>
      <c r="AQ400" s="153" t="e">
        <f aca="false">_xlfn.xlookup(AN400,A:A,N:N)+_xlfn.xlookup(AN400,A:A,O:O)</f>
        <v>#NAME?</v>
      </c>
      <c r="AR400" s="150" t="e">
        <f aca="false">_xlfn.xlookup(AN400,A:A,AH:AH)</f>
        <v>#NAME?</v>
      </c>
      <c r="AS400" s="150" t="e">
        <f aca="false">_xlfn.xlookup(AN400,A:A,S:S)</f>
        <v>#NAME?</v>
      </c>
      <c r="AT400" s="150" t="e">
        <f aca="false">_xlfn.xlookup(AN400,A:A,AE:AE)</f>
        <v>#NAME?</v>
      </c>
      <c r="AU400" s="150" t="e">
        <f aca="false">_xlfn.xlookup(AN400,A:A,AF:AF)</f>
        <v>#NAME?</v>
      </c>
      <c r="AX400" s="146"/>
      <c r="AY400" s="150"/>
      <c r="AZ400" s="150"/>
      <c r="BA400" s="150"/>
      <c r="BB400" s="146"/>
      <c r="BC400" s="146"/>
      <c r="BD400" s="151"/>
      <c r="BE400" s="146"/>
      <c r="BF400" s="146"/>
      <c r="BH400" s="152" t="e">
        <f aca="false">_xlfn.xlookup(BG400,A:A,F:F)</f>
        <v>#NAME?</v>
      </c>
      <c r="BI400" s="153" t="e">
        <f aca="false">_xlfn.xlookup(BG400,A:A,J:J)</f>
        <v>#NAME?</v>
      </c>
      <c r="BJ400" s="153" t="e">
        <f aca="false">_xlfn.xlookup(BG400,A:A,N:N)+_xlfn.xlookup(BG400,A:A,O:O)</f>
        <v>#NAME?</v>
      </c>
      <c r="BK400" s="153" t="e">
        <f aca="false">_xlfn.xlookup(BG400,A349:A1343,AB349:AB1343)</f>
        <v>#NAME?</v>
      </c>
      <c r="BN400" s="146"/>
      <c r="BO400" s="150"/>
      <c r="BQ400" s="153" t="str">
        <f aca="false">IF(VALUE(MONTH(C400))&lt;10,YEAR(C400)&amp;"-0"&amp;MONTH(C400),YEAR(C400)&amp;"-"&amp;MONTH(C400))</f>
        <v>1900-01</v>
      </c>
      <c r="BR400" s="153" t="n">
        <f aca="false">J400</f>
        <v>0</v>
      </c>
      <c r="BS400" s="153" t="n">
        <f aca="false">IF(ISNUMBER(FIND("-", BR400)), LEFT(BR400, FIND("-", BR400) - 1), BR400)</f>
        <v>0</v>
      </c>
      <c r="BT400" s="189" t="n">
        <f aca="false">L400-M400+O400</f>
        <v>0</v>
      </c>
    </row>
    <row r="401" s="153" customFormat="true" ht="15" hidden="false" customHeight="false" outlineLevel="0" collapsed="false">
      <c r="AN401" s="153" t="e">
        <v>#NAME?</v>
      </c>
      <c r="AO401" s="153" t="e">
        <f aca="false">_xlfn.xlookup(AN401,A:A,F:F)</f>
        <v>#NAME?</v>
      </c>
      <c r="AP401" s="153" t="e">
        <f aca="false">_xlfn.xlookup(AN401,A:A,J:J)</f>
        <v>#NAME?</v>
      </c>
      <c r="AQ401" s="153" t="e">
        <f aca="false">_xlfn.xlookup(AN401,A:A,N:N)+_xlfn.xlookup(AN401,A:A,O:O)</f>
        <v>#NAME?</v>
      </c>
      <c r="AR401" s="150" t="e">
        <f aca="false">_xlfn.xlookup(AN401,A:A,AH:AH)</f>
        <v>#NAME?</v>
      </c>
      <c r="AS401" s="150" t="e">
        <f aca="false">_xlfn.xlookup(AN401,A:A,S:S)</f>
        <v>#NAME?</v>
      </c>
      <c r="AT401" s="150" t="e">
        <f aca="false">_xlfn.xlookup(AN401,A:A,AE:AE)</f>
        <v>#NAME?</v>
      </c>
      <c r="AU401" s="150" t="e">
        <f aca="false">_xlfn.xlookup(AN401,A:A,AF:AF)</f>
        <v>#NAME?</v>
      </c>
      <c r="AX401" s="146"/>
      <c r="AY401" s="150"/>
      <c r="AZ401" s="150"/>
      <c r="BA401" s="150"/>
      <c r="BB401" s="146"/>
      <c r="BC401" s="146"/>
      <c r="BD401" s="151"/>
      <c r="BE401" s="146"/>
      <c r="BF401" s="146"/>
      <c r="BH401" s="152" t="e">
        <f aca="false">_xlfn.xlookup(BG401,A:A,F:F)</f>
        <v>#NAME?</v>
      </c>
      <c r="BI401" s="153" t="e">
        <f aca="false">_xlfn.xlookup(BG401,A:A,J:J)</f>
        <v>#NAME?</v>
      </c>
      <c r="BJ401" s="153" t="e">
        <f aca="false">_xlfn.xlookup(BG401,A:A,N:N)+_xlfn.xlookup(BG401,A:A,O:O)</f>
        <v>#NAME?</v>
      </c>
      <c r="BK401" s="153" t="e">
        <f aca="false">_xlfn.xlookup(BG401,A350:A1344,AB350:AB1344)</f>
        <v>#NAME?</v>
      </c>
      <c r="BN401" s="146"/>
      <c r="BO401" s="150"/>
      <c r="BQ401" s="153" t="str">
        <f aca="false">IF(VALUE(MONTH(C401))&lt;10,YEAR(C401)&amp;"-0"&amp;MONTH(C401),YEAR(C401)&amp;"-"&amp;MONTH(C401))</f>
        <v>1900-01</v>
      </c>
      <c r="BR401" s="153" t="n">
        <f aca="false">J401</f>
        <v>0</v>
      </c>
      <c r="BS401" s="153" t="n">
        <f aca="false">IF(ISNUMBER(FIND("-", BR401)), LEFT(BR401, FIND("-", BR401) - 1), BR401)</f>
        <v>0</v>
      </c>
      <c r="BT401" s="189" t="n">
        <f aca="false">L401-M401+O401</f>
        <v>0</v>
      </c>
    </row>
    <row r="402" s="153" customFormat="true" ht="15" hidden="false" customHeight="false" outlineLevel="0" collapsed="false">
      <c r="AN402" s="153" t="e">
        <v>#NAME?</v>
      </c>
      <c r="AO402" s="153" t="e">
        <f aca="false">_xlfn.xlookup(AN402,A:A,F:F)</f>
        <v>#NAME?</v>
      </c>
      <c r="AP402" s="153" t="e">
        <f aca="false">_xlfn.xlookup(AN402,A:A,J:J)</f>
        <v>#NAME?</v>
      </c>
      <c r="AQ402" s="153" t="e">
        <f aca="false">_xlfn.xlookup(AN402,A:A,N:N)+_xlfn.xlookup(AN402,A:A,O:O)</f>
        <v>#NAME?</v>
      </c>
      <c r="AR402" s="150" t="e">
        <f aca="false">_xlfn.xlookup(AN402,A:A,AH:AH)</f>
        <v>#NAME?</v>
      </c>
      <c r="AS402" s="150" t="e">
        <f aca="false">_xlfn.xlookup(AN402,A:A,S:S)</f>
        <v>#NAME?</v>
      </c>
      <c r="AT402" s="150" t="e">
        <f aca="false">_xlfn.xlookup(AN402,A:A,AE:AE)</f>
        <v>#NAME?</v>
      </c>
      <c r="AU402" s="150" t="e">
        <f aca="false">_xlfn.xlookup(AN402,A:A,AF:AF)</f>
        <v>#NAME?</v>
      </c>
      <c r="AX402" s="146"/>
      <c r="AY402" s="150"/>
      <c r="AZ402" s="150"/>
      <c r="BA402" s="150"/>
      <c r="BB402" s="146"/>
      <c r="BC402" s="146"/>
      <c r="BD402" s="151"/>
      <c r="BE402" s="146"/>
      <c r="BF402" s="146"/>
      <c r="BH402" s="152" t="e">
        <f aca="false">_xlfn.xlookup(BG402,A:A,F:F)</f>
        <v>#NAME?</v>
      </c>
      <c r="BI402" s="153" t="e">
        <f aca="false">_xlfn.xlookup(BG402,A:A,J:J)</f>
        <v>#NAME?</v>
      </c>
      <c r="BJ402" s="153" t="e">
        <f aca="false">_xlfn.xlookup(BG402,A:A,N:N)+_xlfn.xlookup(BG402,A:A,O:O)</f>
        <v>#NAME?</v>
      </c>
      <c r="BK402" s="153" t="e">
        <f aca="false">_xlfn.xlookup(BG402,A351:A1345,AB351:AB1345)</f>
        <v>#NAME?</v>
      </c>
      <c r="BN402" s="146"/>
      <c r="BO402" s="150"/>
      <c r="BQ402" s="153" t="str">
        <f aca="false">IF(VALUE(MONTH(C402))&lt;10,YEAR(C402)&amp;"-0"&amp;MONTH(C402),YEAR(C402)&amp;"-"&amp;MONTH(C402))</f>
        <v>1900-01</v>
      </c>
      <c r="BR402" s="153" t="n">
        <f aca="false">J402</f>
        <v>0</v>
      </c>
      <c r="BS402" s="153" t="n">
        <f aca="false">IF(ISNUMBER(FIND("-", BR402)), LEFT(BR402, FIND("-", BR402) - 1), BR402)</f>
        <v>0</v>
      </c>
      <c r="BT402" s="189" t="n">
        <f aca="false">L402-M402+O402</f>
        <v>0</v>
      </c>
    </row>
    <row r="403" s="153" customFormat="true" ht="15" hidden="false" customHeight="false" outlineLevel="0" collapsed="false">
      <c r="AN403" s="153" t="e">
        <v>#NAME?</v>
      </c>
      <c r="AO403" s="153" t="e">
        <f aca="false">_xlfn.xlookup(AN403,A:A,F:F)</f>
        <v>#NAME?</v>
      </c>
      <c r="AP403" s="153" t="e">
        <f aca="false">_xlfn.xlookup(AN403,A:A,J:J)</f>
        <v>#NAME?</v>
      </c>
      <c r="AQ403" s="153" t="e">
        <f aca="false">_xlfn.xlookup(AN403,A:A,N:N)+_xlfn.xlookup(AN403,A:A,O:O)</f>
        <v>#NAME?</v>
      </c>
      <c r="AR403" s="150" t="e">
        <f aca="false">_xlfn.xlookup(AN403,A:A,AH:AH)</f>
        <v>#NAME?</v>
      </c>
      <c r="AS403" s="150" t="e">
        <f aca="false">_xlfn.xlookup(AN403,A:A,S:S)</f>
        <v>#NAME?</v>
      </c>
      <c r="AT403" s="150" t="e">
        <f aca="false">_xlfn.xlookup(AN403,A:A,AE:AE)</f>
        <v>#NAME?</v>
      </c>
      <c r="AU403" s="150" t="e">
        <f aca="false">_xlfn.xlookup(AN403,A:A,AF:AF)</f>
        <v>#NAME?</v>
      </c>
      <c r="AX403" s="146"/>
      <c r="AY403" s="150"/>
      <c r="AZ403" s="150"/>
      <c r="BA403" s="150"/>
      <c r="BB403" s="146"/>
      <c r="BC403" s="146"/>
      <c r="BD403" s="151"/>
      <c r="BE403" s="146"/>
      <c r="BF403" s="146"/>
      <c r="BH403" s="152" t="e">
        <f aca="false">_xlfn.xlookup(BG403,A:A,F:F)</f>
        <v>#NAME?</v>
      </c>
      <c r="BI403" s="153" t="e">
        <f aca="false">_xlfn.xlookup(BG403,A:A,J:J)</f>
        <v>#NAME?</v>
      </c>
      <c r="BJ403" s="153" t="e">
        <f aca="false">_xlfn.xlookup(BG403,A:A,N:N)+_xlfn.xlookup(BG403,A:A,O:O)</f>
        <v>#NAME?</v>
      </c>
      <c r="BK403" s="153" t="e">
        <f aca="false">_xlfn.xlookup(BG403,A352:A1346,AB352:AB1346)</f>
        <v>#NAME?</v>
      </c>
      <c r="BN403" s="146"/>
      <c r="BO403" s="150"/>
      <c r="BQ403" s="153" t="str">
        <f aca="false">IF(VALUE(MONTH(C403))&lt;10,YEAR(C403)&amp;"-0"&amp;MONTH(C403),YEAR(C403)&amp;"-"&amp;MONTH(C403))</f>
        <v>1900-01</v>
      </c>
      <c r="BR403" s="153" t="n">
        <f aca="false">J403</f>
        <v>0</v>
      </c>
      <c r="BS403" s="153" t="n">
        <f aca="false">IF(ISNUMBER(FIND("-", BR403)), LEFT(BR403, FIND("-", BR403) - 1), BR403)</f>
        <v>0</v>
      </c>
      <c r="BT403" s="189" t="n">
        <f aca="false">L403-M403+O403</f>
        <v>0</v>
      </c>
    </row>
    <row r="404" s="153" customFormat="true" ht="15" hidden="false" customHeight="false" outlineLevel="0" collapsed="false">
      <c r="AN404" s="153" t="e">
        <v>#NAME?</v>
      </c>
      <c r="AO404" s="153" t="e">
        <f aca="false">_xlfn.xlookup(AN404,A:A,F:F)</f>
        <v>#NAME?</v>
      </c>
      <c r="AP404" s="153" t="e">
        <f aca="false">_xlfn.xlookup(AN404,A:A,J:J)</f>
        <v>#NAME?</v>
      </c>
      <c r="AQ404" s="153" t="e">
        <f aca="false">_xlfn.xlookup(AN404,A:A,N:N)+_xlfn.xlookup(AN404,A:A,O:O)</f>
        <v>#NAME?</v>
      </c>
      <c r="AR404" s="150" t="e">
        <f aca="false">_xlfn.xlookup(AN404,A:A,AH:AH)</f>
        <v>#NAME?</v>
      </c>
      <c r="AS404" s="150" t="e">
        <f aca="false">_xlfn.xlookup(AN404,A:A,S:S)</f>
        <v>#NAME?</v>
      </c>
      <c r="AT404" s="150" t="e">
        <f aca="false">_xlfn.xlookup(AN404,A:A,AE:AE)</f>
        <v>#NAME?</v>
      </c>
      <c r="AU404" s="150" t="e">
        <f aca="false">_xlfn.xlookup(AN404,A:A,AF:AF)</f>
        <v>#NAME?</v>
      </c>
      <c r="AX404" s="146"/>
      <c r="AY404" s="150"/>
      <c r="AZ404" s="150"/>
      <c r="BA404" s="150"/>
      <c r="BB404" s="146"/>
      <c r="BC404" s="146"/>
      <c r="BD404" s="151"/>
      <c r="BE404" s="146"/>
      <c r="BF404" s="146"/>
      <c r="BH404" s="152" t="e">
        <f aca="false">_xlfn.xlookup(BG404,A:A,F:F)</f>
        <v>#NAME?</v>
      </c>
      <c r="BI404" s="153" t="e">
        <f aca="false">_xlfn.xlookup(BG404,A:A,J:J)</f>
        <v>#NAME?</v>
      </c>
      <c r="BJ404" s="153" t="e">
        <f aca="false">_xlfn.xlookup(BG404,A:A,N:N)+_xlfn.xlookup(BG404,A:A,O:O)</f>
        <v>#NAME?</v>
      </c>
      <c r="BK404" s="153" t="e">
        <f aca="false">_xlfn.xlookup(BG404,A353:A1347,AB353:AB1347)</f>
        <v>#NAME?</v>
      </c>
      <c r="BN404" s="146"/>
      <c r="BO404" s="150"/>
      <c r="BQ404" s="153" t="str">
        <f aca="false">IF(VALUE(MONTH(C404))&lt;10,YEAR(C404)&amp;"-0"&amp;MONTH(C404),YEAR(C404)&amp;"-"&amp;MONTH(C404))</f>
        <v>1900-01</v>
      </c>
      <c r="BR404" s="153" t="n">
        <f aca="false">J404</f>
        <v>0</v>
      </c>
      <c r="BS404" s="153" t="n">
        <f aca="false">IF(ISNUMBER(FIND("-", BR404)), LEFT(BR404, FIND("-", BR404) - 1), BR404)</f>
        <v>0</v>
      </c>
      <c r="BT404" s="189" t="n">
        <f aca="false">L404-M404+O404</f>
        <v>0</v>
      </c>
    </row>
    <row r="405" s="153" customFormat="true" ht="15" hidden="false" customHeight="false" outlineLevel="0" collapsed="false">
      <c r="AN405" s="153" t="e">
        <v>#NAME?</v>
      </c>
      <c r="AO405" s="153" t="e">
        <f aca="false">_xlfn.xlookup(AN405,A:A,F:F)</f>
        <v>#NAME?</v>
      </c>
      <c r="AP405" s="153" t="e">
        <f aca="false">_xlfn.xlookup(AN405,A:A,J:J)</f>
        <v>#NAME?</v>
      </c>
      <c r="AQ405" s="153" t="e">
        <f aca="false">_xlfn.xlookup(AN405,A:A,N:N)+_xlfn.xlookup(AN405,A:A,O:O)</f>
        <v>#NAME?</v>
      </c>
      <c r="AR405" s="150" t="e">
        <f aca="false">_xlfn.xlookup(AN405,A:A,AH:AH)</f>
        <v>#NAME?</v>
      </c>
      <c r="AS405" s="150" t="e">
        <f aca="false">_xlfn.xlookup(AN405,A:A,S:S)</f>
        <v>#NAME?</v>
      </c>
      <c r="AT405" s="150" t="e">
        <f aca="false">_xlfn.xlookup(AN405,A:A,AE:AE)</f>
        <v>#NAME?</v>
      </c>
      <c r="AU405" s="150" t="e">
        <f aca="false">_xlfn.xlookup(AN405,A:A,AF:AF)</f>
        <v>#NAME?</v>
      </c>
      <c r="AX405" s="146"/>
      <c r="AY405" s="150"/>
      <c r="AZ405" s="150"/>
      <c r="BA405" s="150"/>
      <c r="BB405" s="146"/>
      <c r="BC405" s="146"/>
      <c r="BD405" s="151"/>
      <c r="BE405" s="146"/>
      <c r="BF405" s="146"/>
      <c r="BH405" s="152" t="e">
        <f aca="false">_xlfn.xlookup(BG405,A:A,F:F)</f>
        <v>#NAME?</v>
      </c>
      <c r="BI405" s="153" t="e">
        <f aca="false">_xlfn.xlookup(BG405,A:A,J:J)</f>
        <v>#NAME?</v>
      </c>
      <c r="BJ405" s="153" t="e">
        <f aca="false">_xlfn.xlookup(BG405,A:A,N:N)+_xlfn.xlookup(BG405,A:A,O:O)</f>
        <v>#NAME?</v>
      </c>
      <c r="BK405" s="153" t="e">
        <f aca="false">_xlfn.xlookup(BG405,A354:A1348,AB354:AB1348)</f>
        <v>#NAME?</v>
      </c>
      <c r="BN405" s="146"/>
      <c r="BO405" s="150"/>
      <c r="BQ405" s="153" t="str">
        <f aca="false">IF(VALUE(MONTH(C405))&lt;10,YEAR(C405)&amp;"-0"&amp;MONTH(C405),YEAR(C405)&amp;"-"&amp;MONTH(C405))</f>
        <v>1900-01</v>
      </c>
      <c r="BR405" s="153" t="n">
        <f aca="false">J405</f>
        <v>0</v>
      </c>
      <c r="BS405" s="153" t="n">
        <f aca="false">IF(ISNUMBER(FIND("-", BR405)), LEFT(BR405, FIND("-", BR405) - 1), BR405)</f>
        <v>0</v>
      </c>
      <c r="BT405" s="189" t="n">
        <f aca="false">L405-M405+O405</f>
        <v>0</v>
      </c>
    </row>
    <row r="406" s="153" customFormat="true" ht="15" hidden="false" customHeight="false" outlineLevel="0" collapsed="false">
      <c r="AN406" s="153" t="e">
        <v>#NAME?</v>
      </c>
      <c r="AO406" s="153" t="e">
        <f aca="false">_xlfn.xlookup(AN406,A:A,F:F)</f>
        <v>#NAME?</v>
      </c>
      <c r="AP406" s="153" t="e">
        <f aca="false">_xlfn.xlookup(AN406,A:A,J:J)</f>
        <v>#NAME?</v>
      </c>
      <c r="AQ406" s="153" t="e">
        <f aca="false">_xlfn.xlookup(AN406,A:A,N:N)+_xlfn.xlookup(AN406,A:A,O:O)</f>
        <v>#NAME?</v>
      </c>
      <c r="AR406" s="150" t="e">
        <f aca="false">_xlfn.xlookup(AN406,A:A,AH:AH)</f>
        <v>#NAME?</v>
      </c>
      <c r="AS406" s="150" t="e">
        <f aca="false">_xlfn.xlookup(AN406,A:A,S:S)</f>
        <v>#NAME?</v>
      </c>
      <c r="AT406" s="150" t="e">
        <f aca="false">_xlfn.xlookup(AN406,A:A,AE:AE)</f>
        <v>#NAME?</v>
      </c>
      <c r="AU406" s="150" t="e">
        <f aca="false">_xlfn.xlookup(AN406,A:A,AF:AF)</f>
        <v>#NAME?</v>
      </c>
      <c r="AX406" s="146"/>
      <c r="AY406" s="150"/>
      <c r="AZ406" s="150"/>
      <c r="BA406" s="150"/>
      <c r="BB406" s="146"/>
      <c r="BC406" s="146"/>
      <c r="BD406" s="151"/>
      <c r="BE406" s="146"/>
      <c r="BF406" s="146"/>
      <c r="BH406" s="152" t="e">
        <f aca="false">_xlfn.xlookup(BG406,A:A,F:F)</f>
        <v>#NAME?</v>
      </c>
      <c r="BI406" s="153" t="e">
        <f aca="false">_xlfn.xlookup(BG406,A:A,J:J)</f>
        <v>#NAME?</v>
      </c>
      <c r="BJ406" s="153" t="e">
        <f aca="false">_xlfn.xlookup(BG406,A:A,N:N)+_xlfn.xlookup(BG406,A:A,O:O)</f>
        <v>#NAME?</v>
      </c>
      <c r="BK406" s="153" t="e">
        <f aca="false">_xlfn.xlookup(BG406,A355:A1349,AB355:AB1349)</f>
        <v>#NAME?</v>
      </c>
      <c r="BN406" s="146"/>
      <c r="BO406" s="150"/>
      <c r="BQ406" s="153" t="str">
        <f aca="false">IF(VALUE(MONTH(C406))&lt;10,YEAR(C406)&amp;"-0"&amp;MONTH(C406),YEAR(C406)&amp;"-"&amp;MONTH(C406))</f>
        <v>1900-01</v>
      </c>
      <c r="BR406" s="153" t="n">
        <f aca="false">J406</f>
        <v>0</v>
      </c>
      <c r="BS406" s="153" t="n">
        <f aca="false">IF(ISNUMBER(FIND("-", BR406)), LEFT(BR406, FIND("-", BR406) - 1), BR406)</f>
        <v>0</v>
      </c>
      <c r="BT406" s="189" t="n">
        <f aca="false">L406-M406+O406</f>
        <v>0</v>
      </c>
    </row>
    <row r="407" s="153" customFormat="true" ht="15" hidden="false" customHeight="false" outlineLevel="0" collapsed="false">
      <c r="AN407" s="153" t="e">
        <v>#NAME?</v>
      </c>
      <c r="AO407" s="153" t="e">
        <f aca="false">_xlfn.xlookup(AN407,A:A,F:F)</f>
        <v>#NAME?</v>
      </c>
      <c r="AP407" s="153" t="e">
        <f aca="false">_xlfn.xlookup(AN407,A:A,J:J)</f>
        <v>#NAME?</v>
      </c>
      <c r="AQ407" s="153" t="e">
        <f aca="false">_xlfn.xlookup(AN407,A:A,N:N)+_xlfn.xlookup(AN407,A:A,O:O)</f>
        <v>#NAME?</v>
      </c>
      <c r="AR407" s="150" t="e">
        <f aca="false">_xlfn.xlookup(AN407,A:A,AH:AH)</f>
        <v>#NAME?</v>
      </c>
      <c r="AS407" s="150" t="e">
        <f aca="false">_xlfn.xlookup(AN407,A:A,S:S)</f>
        <v>#NAME?</v>
      </c>
      <c r="AT407" s="150" t="e">
        <f aca="false">_xlfn.xlookup(AN407,A:A,AE:AE)</f>
        <v>#NAME?</v>
      </c>
      <c r="AU407" s="150" t="e">
        <f aca="false">_xlfn.xlookup(AN407,A:A,AF:AF)</f>
        <v>#NAME?</v>
      </c>
      <c r="AX407" s="146"/>
      <c r="AY407" s="150"/>
      <c r="AZ407" s="150"/>
      <c r="BA407" s="150"/>
      <c r="BB407" s="146"/>
      <c r="BC407" s="146"/>
      <c r="BD407" s="151"/>
      <c r="BE407" s="146"/>
      <c r="BF407" s="146"/>
      <c r="BH407" s="152" t="e">
        <f aca="false">_xlfn.xlookup(BG407,A:A,F:F)</f>
        <v>#NAME?</v>
      </c>
      <c r="BI407" s="153" t="e">
        <f aca="false">_xlfn.xlookup(BG407,A:A,J:J)</f>
        <v>#NAME?</v>
      </c>
      <c r="BJ407" s="153" t="e">
        <f aca="false">_xlfn.xlookup(BG407,A:A,N:N)+_xlfn.xlookup(BG407,A:A,O:O)</f>
        <v>#NAME?</v>
      </c>
      <c r="BK407" s="153" t="e">
        <f aca="false">_xlfn.xlookup(BG407,A356:A1350,AB356:AB1350)</f>
        <v>#NAME?</v>
      </c>
      <c r="BN407" s="146"/>
      <c r="BO407" s="150"/>
      <c r="BQ407" s="153" t="str">
        <f aca="false">IF(VALUE(MONTH(C407))&lt;10,YEAR(C407)&amp;"-0"&amp;MONTH(C407),YEAR(C407)&amp;"-"&amp;MONTH(C407))</f>
        <v>1900-01</v>
      </c>
      <c r="BR407" s="153" t="n">
        <f aca="false">J407</f>
        <v>0</v>
      </c>
      <c r="BS407" s="153" t="n">
        <f aca="false">IF(ISNUMBER(FIND("-", BR407)), LEFT(BR407, FIND("-", BR407) - 1), BR407)</f>
        <v>0</v>
      </c>
      <c r="BT407" s="189" t="n">
        <f aca="false">L407-M407+O407</f>
        <v>0</v>
      </c>
    </row>
    <row r="408" s="153" customFormat="true" ht="15" hidden="false" customHeight="false" outlineLevel="0" collapsed="false">
      <c r="AN408" s="153" t="e">
        <v>#NAME?</v>
      </c>
      <c r="AO408" s="153" t="e">
        <f aca="false">_xlfn.xlookup(AN408,A:A,F:F)</f>
        <v>#NAME?</v>
      </c>
      <c r="AP408" s="153" t="e">
        <f aca="false">_xlfn.xlookup(AN408,A:A,J:J)</f>
        <v>#NAME?</v>
      </c>
      <c r="AQ408" s="153" t="e">
        <f aca="false">_xlfn.xlookup(AN408,A:A,N:N)+_xlfn.xlookup(AN408,A:A,O:O)</f>
        <v>#NAME?</v>
      </c>
      <c r="AR408" s="150" t="e">
        <f aca="false">_xlfn.xlookup(AN408,A:A,AH:AH)</f>
        <v>#NAME?</v>
      </c>
      <c r="AS408" s="150" t="e">
        <f aca="false">_xlfn.xlookup(AN408,A:A,S:S)</f>
        <v>#NAME?</v>
      </c>
      <c r="AT408" s="150" t="e">
        <f aca="false">_xlfn.xlookup(AN408,A:A,AE:AE)</f>
        <v>#NAME?</v>
      </c>
      <c r="AU408" s="150" t="e">
        <f aca="false">_xlfn.xlookup(AN408,A:A,AF:AF)</f>
        <v>#NAME?</v>
      </c>
      <c r="AX408" s="146"/>
      <c r="AY408" s="150"/>
      <c r="AZ408" s="150"/>
      <c r="BA408" s="150"/>
      <c r="BB408" s="146"/>
      <c r="BC408" s="146"/>
      <c r="BD408" s="151"/>
      <c r="BE408" s="146"/>
      <c r="BF408" s="146"/>
      <c r="BH408" s="152" t="e">
        <f aca="false">_xlfn.xlookup(BG408,A:A,F:F)</f>
        <v>#NAME?</v>
      </c>
      <c r="BI408" s="153" t="e">
        <f aca="false">_xlfn.xlookup(BG408,A:A,J:J)</f>
        <v>#NAME?</v>
      </c>
      <c r="BJ408" s="153" t="e">
        <f aca="false">_xlfn.xlookup(BG408,A:A,N:N)+_xlfn.xlookup(BG408,A:A,O:O)</f>
        <v>#NAME?</v>
      </c>
      <c r="BK408" s="153" t="e">
        <f aca="false">_xlfn.xlookup(BG408,A357:A1351,AB357:AB1351)</f>
        <v>#NAME?</v>
      </c>
      <c r="BN408" s="146"/>
      <c r="BO408" s="150"/>
      <c r="BQ408" s="153" t="str">
        <f aca="false">IF(VALUE(MONTH(C408))&lt;10,YEAR(C408)&amp;"-0"&amp;MONTH(C408),YEAR(C408)&amp;"-"&amp;MONTH(C408))</f>
        <v>1900-01</v>
      </c>
      <c r="BR408" s="153" t="n">
        <f aca="false">J408</f>
        <v>0</v>
      </c>
      <c r="BS408" s="153" t="n">
        <f aca="false">IF(ISNUMBER(FIND("-", BR408)), LEFT(BR408, FIND("-", BR408) - 1), BR408)</f>
        <v>0</v>
      </c>
      <c r="BT408" s="189" t="n">
        <f aca="false">L408-M408+O408</f>
        <v>0</v>
      </c>
    </row>
    <row r="409" s="153" customFormat="true" ht="15" hidden="false" customHeight="false" outlineLevel="0" collapsed="false">
      <c r="AN409" s="153" t="e">
        <v>#NAME?</v>
      </c>
      <c r="AO409" s="153" t="e">
        <f aca="false">_xlfn.xlookup(AN409,A:A,F:F)</f>
        <v>#NAME?</v>
      </c>
      <c r="AP409" s="153" t="e">
        <f aca="false">_xlfn.xlookup(AN409,A:A,J:J)</f>
        <v>#NAME?</v>
      </c>
      <c r="AQ409" s="153" t="e">
        <f aca="false">_xlfn.xlookup(AN409,A:A,N:N)+_xlfn.xlookup(AN409,A:A,O:O)</f>
        <v>#NAME?</v>
      </c>
      <c r="AR409" s="150" t="e">
        <f aca="false">_xlfn.xlookup(AN409,A:A,AH:AH)</f>
        <v>#NAME?</v>
      </c>
      <c r="AS409" s="150" t="e">
        <f aca="false">_xlfn.xlookup(AN409,A:A,S:S)</f>
        <v>#NAME?</v>
      </c>
      <c r="AT409" s="150" t="e">
        <f aca="false">_xlfn.xlookup(AN409,A:A,AE:AE)</f>
        <v>#NAME?</v>
      </c>
      <c r="AU409" s="150" t="e">
        <f aca="false">_xlfn.xlookup(AN409,A:A,AF:AF)</f>
        <v>#NAME?</v>
      </c>
      <c r="AX409" s="146"/>
      <c r="AY409" s="150"/>
      <c r="AZ409" s="150"/>
      <c r="BA409" s="150"/>
      <c r="BB409" s="146"/>
      <c r="BC409" s="146"/>
      <c r="BD409" s="151"/>
      <c r="BE409" s="146"/>
      <c r="BF409" s="146"/>
      <c r="BH409" s="152" t="e">
        <f aca="false">_xlfn.xlookup(BG409,A:A,F:F)</f>
        <v>#NAME?</v>
      </c>
      <c r="BI409" s="153" t="e">
        <f aca="false">_xlfn.xlookup(BG409,A:A,J:J)</f>
        <v>#NAME?</v>
      </c>
      <c r="BJ409" s="153" t="e">
        <f aca="false">_xlfn.xlookup(BG409,A:A,N:N)+_xlfn.xlookup(BG409,A:A,O:O)</f>
        <v>#NAME?</v>
      </c>
      <c r="BK409" s="153" t="e">
        <f aca="false">_xlfn.xlookup(BG409,A358:A1352,AB358:AB1352)</f>
        <v>#NAME?</v>
      </c>
      <c r="BN409" s="146"/>
      <c r="BO409" s="150"/>
      <c r="BQ409" s="153" t="str">
        <f aca="false">IF(VALUE(MONTH(C409))&lt;10,YEAR(C409)&amp;"-0"&amp;MONTH(C409),YEAR(C409)&amp;"-"&amp;MONTH(C409))</f>
        <v>1900-01</v>
      </c>
      <c r="BR409" s="153" t="n">
        <f aca="false">J409</f>
        <v>0</v>
      </c>
      <c r="BS409" s="153" t="n">
        <f aca="false">IF(ISNUMBER(FIND("-", BR409)), LEFT(BR409, FIND("-", BR409) - 1), BR409)</f>
        <v>0</v>
      </c>
      <c r="BT409" s="189" t="n">
        <f aca="false">L409-M409+O409</f>
        <v>0</v>
      </c>
    </row>
    <row r="410" s="153" customFormat="true" ht="15" hidden="false" customHeight="false" outlineLevel="0" collapsed="false">
      <c r="AN410" s="153" t="e">
        <v>#NAME?</v>
      </c>
      <c r="AO410" s="153" t="e">
        <f aca="false">_xlfn.xlookup(AN410,A:A,F:F)</f>
        <v>#NAME?</v>
      </c>
      <c r="AP410" s="153" t="e">
        <f aca="false">_xlfn.xlookup(AN410,A:A,J:J)</f>
        <v>#NAME?</v>
      </c>
      <c r="AQ410" s="153" t="e">
        <f aca="false">_xlfn.xlookup(AN410,A:A,N:N)+_xlfn.xlookup(AN410,A:A,O:O)</f>
        <v>#NAME?</v>
      </c>
      <c r="AR410" s="150" t="e">
        <f aca="false">_xlfn.xlookup(AN410,A:A,AH:AH)</f>
        <v>#NAME?</v>
      </c>
      <c r="AS410" s="150" t="e">
        <f aca="false">_xlfn.xlookup(AN410,A:A,S:S)</f>
        <v>#NAME?</v>
      </c>
      <c r="AT410" s="150" t="e">
        <f aca="false">_xlfn.xlookup(AN410,A:A,AE:AE)</f>
        <v>#NAME?</v>
      </c>
      <c r="AU410" s="150" t="e">
        <f aca="false">_xlfn.xlookup(AN410,A:A,AF:AF)</f>
        <v>#NAME?</v>
      </c>
      <c r="AX410" s="146"/>
      <c r="AY410" s="150"/>
      <c r="AZ410" s="150"/>
      <c r="BA410" s="150"/>
      <c r="BB410" s="146"/>
      <c r="BC410" s="146"/>
      <c r="BD410" s="151"/>
      <c r="BE410" s="146"/>
      <c r="BF410" s="146"/>
      <c r="BH410" s="152" t="e">
        <f aca="false">_xlfn.xlookup(BG410,A:A,F:F)</f>
        <v>#NAME?</v>
      </c>
      <c r="BI410" s="153" t="e">
        <f aca="false">_xlfn.xlookup(BG410,A:A,J:J)</f>
        <v>#NAME?</v>
      </c>
      <c r="BJ410" s="153" t="e">
        <f aca="false">_xlfn.xlookup(BG410,A:A,N:N)+_xlfn.xlookup(BG410,A:A,O:O)</f>
        <v>#NAME?</v>
      </c>
      <c r="BK410" s="153" t="e">
        <f aca="false">_xlfn.xlookup(BG410,A359:A1353,AB359:AB1353)</f>
        <v>#NAME?</v>
      </c>
      <c r="BN410" s="146"/>
      <c r="BO410" s="150"/>
      <c r="BQ410" s="153" t="str">
        <f aca="false">IF(VALUE(MONTH(C410))&lt;10,YEAR(C410)&amp;"-0"&amp;MONTH(C410),YEAR(C410)&amp;"-"&amp;MONTH(C410))</f>
        <v>1900-01</v>
      </c>
      <c r="BR410" s="153" t="n">
        <f aca="false">J410</f>
        <v>0</v>
      </c>
      <c r="BS410" s="153" t="n">
        <f aca="false">IF(ISNUMBER(FIND("-", BR410)), LEFT(BR410, FIND("-", BR410) - 1), BR410)</f>
        <v>0</v>
      </c>
      <c r="BT410" s="189" t="n">
        <f aca="false">L410-M410+O410</f>
        <v>0</v>
      </c>
    </row>
    <row r="411" s="153" customFormat="true" ht="15" hidden="false" customHeight="false" outlineLevel="0" collapsed="false">
      <c r="AN411" s="153" t="e">
        <v>#NAME?</v>
      </c>
      <c r="AO411" s="153" t="e">
        <f aca="false">_xlfn.xlookup(AN411,A:A,F:F)</f>
        <v>#NAME?</v>
      </c>
      <c r="AP411" s="153" t="e">
        <f aca="false">_xlfn.xlookup(AN411,A:A,J:J)</f>
        <v>#NAME?</v>
      </c>
      <c r="AQ411" s="153" t="e">
        <f aca="false">_xlfn.xlookup(AN411,A:A,N:N)+_xlfn.xlookup(AN411,A:A,O:O)</f>
        <v>#NAME?</v>
      </c>
      <c r="AR411" s="150" t="e">
        <f aca="false">_xlfn.xlookup(AN411,A:A,AH:AH)</f>
        <v>#NAME?</v>
      </c>
      <c r="AS411" s="150" t="e">
        <f aca="false">_xlfn.xlookup(AN411,A:A,S:S)</f>
        <v>#NAME?</v>
      </c>
      <c r="AT411" s="150" t="e">
        <f aca="false">_xlfn.xlookup(AN411,A:A,AE:AE)</f>
        <v>#NAME?</v>
      </c>
      <c r="AU411" s="150" t="e">
        <f aca="false">_xlfn.xlookup(AN411,A:A,AF:AF)</f>
        <v>#NAME?</v>
      </c>
      <c r="AX411" s="146"/>
      <c r="AY411" s="150"/>
      <c r="AZ411" s="150"/>
      <c r="BA411" s="150"/>
      <c r="BB411" s="146"/>
      <c r="BC411" s="146"/>
      <c r="BD411" s="151"/>
      <c r="BE411" s="146"/>
      <c r="BF411" s="146"/>
      <c r="BH411" s="152" t="e">
        <f aca="false">_xlfn.xlookup(BG411,A:A,F:F)</f>
        <v>#NAME?</v>
      </c>
      <c r="BI411" s="153" t="e">
        <f aca="false">_xlfn.xlookup(BG411,A:A,J:J)</f>
        <v>#NAME?</v>
      </c>
      <c r="BJ411" s="153" t="e">
        <f aca="false">_xlfn.xlookup(BG411,A:A,N:N)+_xlfn.xlookup(BG411,A:A,O:O)</f>
        <v>#NAME?</v>
      </c>
      <c r="BK411" s="153" t="e">
        <f aca="false">_xlfn.xlookup(BG411,A360:A1354,AB360:AB1354)</f>
        <v>#NAME?</v>
      </c>
      <c r="BN411" s="146"/>
      <c r="BO411" s="150"/>
      <c r="BQ411" s="153" t="str">
        <f aca="false">IF(VALUE(MONTH(C411))&lt;10,YEAR(C411)&amp;"-0"&amp;MONTH(C411),YEAR(C411)&amp;"-"&amp;MONTH(C411))</f>
        <v>1900-01</v>
      </c>
      <c r="BR411" s="153" t="n">
        <f aca="false">J411</f>
        <v>0</v>
      </c>
      <c r="BS411" s="153" t="n">
        <f aca="false">IF(ISNUMBER(FIND("-", BR411)), LEFT(BR411, FIND("-", BR411) - 1), BR411)</f>
        <v>0</v>
      </c>
      <c r="BT411" s="189" t="n">
        <f aca="false">L411-M411+O411</f>
        <v>0</v>
      </c>
    </row>
    <row r="412" s="153" customFormat="true" ht="15" hidden="false" customHeight="false" outlineLevel="0" collapsed="false">
      <c r="AN412" s="153" t="e">
        <v>#NAME?</v>
      </c>
      <c r="AO412" s="153" t="e">
        <f aca="false">_xlfn.xlookup(AN412,A:A,F:F)</f>
        <v>#NAME?</v>
      </c>
      <c r="AP412" s="153" t="e">
        <f aca="false">_xlfn.xlookup(AN412,A:A,J:J)</f>
        <v>#NAME?</v>
      </c>
      <c r="AQ412" s="153" t="e">
        <f aca="false">_xlfn.xlookup(AN412,A:A,N:N)+_xlfn.xlookup(AN412,A:A,O:O)</f>
        <v>#NAME?</v>
      </c>
      <c r="AR412" s="150" t="e">
        <f aca="false">_xlfn.xlookup(AN412,A:A,AH:AH)</f>
        <v>#NAME?</v>
      </c>
      <c r="AS412" s="150" t="e">
        <f aca="false">_xlfn.xlookup(AN412,A:A,S:S)</f>
        <v>#NAME?</v>
      </c>
      <c r="AT412" s="150" t="e">
        <f aca="false">_xlfn.xlookup(AN412,A:A,AE:AE)</f>
        <v>#NAME?</v>
      </c>
      <c r="AU412" s="150" t="e">
        <f aca="false">_xlfn.xlookup(AN412,A:A,AF:AF)</f>
        <v>#NAME?</v>
      </c>
      <c r="AX412" s="146"/>
      <c r="AY412" s="150"/>
      <c r="AZ412" s="150"/>
      <c r="BA412" s="150"/>
      <c r="BB412" s="146"/>
      <c r="BC412" s="146"/>
      <c r="BD412" s="151"/>
      <c r="BE412" s="146"/>
      <c r="BF412" s="146"/>
      <c r="BH412" s="152" t="e">
        <f aca="false">_xlfn.xlookup(BG412,A:A,F:F)</f>
        <v>#NAME?</v>
      </c>
      <c r="BI412" s="153" t="e">
        <f aca="false">_xlfn.xlookup(BG412,A:A,J:J)</f>
        <v>#NAME?</v>
      </c>
      <c r="BJ412" s="153" t="e">
        <f aca="false">_xlfn.xlookup(BG412,A:A,N:N)+_xlfn.xlookup(BG412,A:A,O:O)</f>
        <v>#NAME?</v>
      </c>
      <c r="BK412" s="153" t="e">
        <f aca="false">_xlfn.xlookup(BG412,A361:A1355,AB361:AB1355)</f>
        <v>#NAME?</v>
      </c>
      <c r="BN412" s="146"/>
      <c r="BO412" s="150"/>
      <c r="BQ412" s="153" t="str">
        <f aca="false">IF(VALUE(MONTH(C412))&lt;10,YEAR(C412)&amp;"-0"&amp;MONTH(C412),YEAR(C412)&amp;"-"&amp;MONTH(C412))</f>
        <v>1900-01</v>
      </c>
      <c r="BR412" s="153" t="n">
        <f aca="false">J412</f>
        <v>0</v>
      </c>
      <c r="BS412" s="153" t="n">
        <f aca="false">IF(ISNUMBER(FIND("-", BR412)), LEFT(BR412, FIND("-", BR412) - 1), BR412)</f>
        <v>0</v>
      </c>
      <c r="BT412" s="189" t="n">
        <f aca="false">L412-M412+O412</f>
        <v>0</v>
      </c>
    </row>
    <row r="413" s="153" customFormat="true" ht="15" hidden="false" customHeight="false" outlineLevel="0" collapsed="false">
      <c r="AN413" s="153" t="e">
        <v>#NAME?</v>
      </c>
      <c r="AO413" s="153" t="e">
        <f aca="false">_xlfn.xlookup(AN413,A:A,F:F)</f>
        <v>#NAME?</v>
      </c>
      <c r="AP413" s="153" t="e">
        <f aca="false">_xlfn.xlookup(AN413,A:A,J:J)</f>
        <v>#NAME?</v>
      </c>
      <c r="AQ413" s="153" t="e">
        <f aca="false">_xlfn.xlookup(AN413,A:A,N:N)+_xlfn.xlookup(AN413,A:A,O:O)</f>
        <v>#NAME?</v>
      </c>
      <c r="AR413" s="150" t="e">
        <f aca="false">_xlfn.xlookup(AN413,A:A,AH:AH)</f>
        <v>#NAME?</v>
      </c>
      <c r="AS413" s="150" t="e">
        <f aca="false">_xlfn.xlookup(AN413,A:A,S:S)</f>
        <v>#NAME?</v>
      </c>
      <c r="AT413" s="150" t="e">
        <f aca="false">_xlfn.xlookup(AN413,A:A,AE:AE)</f>
        <v>#NAME?</v>
      </c>
      <c r="AU413" s="150" t="e">
        <f aca="false">_xlfn.xlookup(AN413,A:A,AF:AF)</f>
        <v>#NAME?</v>
      </c>
      <c r="AX413" s="146"/>
      <c r="AY413" s="150"/>
      <c r="AZ413" s="150"/>
      <c r="BA413" s="150"/>
      <c r="BB413" s="146"/>
      <c r="BC413" s="146"/>
      <c r="BD413" s="151"/>
      <c r="BE413" s="146"/>
      <c r="BF413" s="146"/>
      <c r="BH413" s="152" t="e">
        <f aca="false">_xlfn.xlookup(BG413,A:A,F:F)</f>
        <v>#NAME?</v>
      </c>
      <c r="BI413" s="153" t="e">
        <f aca="false">_xlfn.xlookup(BG413,A:A,J:J)</f>
        <v>#NAME?</v>
      </c>
      <c r="BJ413" s="153" t="e">
        <f aca="false">_xlfn.xlookup(BG413,A:A,N:N)+_xlfn.xlookup(BG413,A:A,O:O)</f>
        <v>#NAME?</v>
      </c>
      <c r="BK413" s="153" t="e">
        <f aca="false">_xlfn.xlookup(BG413,A362:A1356,AB362:AB1356)</f>
        <v>#NAME?</v>
      </c>
      <c r="BN413" s="146"/>
      <c r="BO413" s="150"/>
      <c r="BQ413" s="153" t="str">
        <f aca="false">IF(VALUE(MONTH(C413))&lt;10,YEAR(C413)&amp;"-0"&amp;MONTH(C413),YEAR(C413)&amp;"-"&amp;MONTH(C413))</f>
        <v>1900-01</v>
      </c>
      <c r="BR413" s="153" t="n">
        <f aca="false">J413</f>
        <v>0</v>
      </c>
      <c r="BS413" s="153" t="n">
        <f aca="false">IF(ISNUMBER(FIND("-", BR413)), LEFT(BR413, FIND("-", BR413) - 1), BR413)</f>
        <v>0</v>
      </c>
      <c r="BT413" s="189" t="n">
        <f aca="false">L413-M413+O413</f>
        <v>0</v>
      </c>
    </row>
    <row r="414" s="153" customFormat="true" ht="15" hidden="false" customHeight="false" outlineLevel="0" collapsed="false">
      <c r="AN414" s="153" t="e">
        <v>#NAME?</v>
      </c>
      <c r="AO414" s="153" t="e">
        <f aca="false">_xlfn.xlookup(AN414,A:A,F:F)</f>
        <v>#NAME?</v>
      </c>
      <c r="AP414" s="153" t="e">
        <f aca="false">_xlfn.xlookup(AN414,A:A,J:J)</f>
        <v>#NAME?</v>
      </c>
      <c r="AQ414" s="153" t="e">
        <f aca="false">_xlfn.xlookup(AN414,A:A,N:N)+_xlfn.xlookup(AN414,A:A,O:O)</f>
        <v>#NAME?</v>
      </c>
      <c r="AR414" s="150" t="e">
        <f aca="false">_xlfn.xlookup(AN414,A:A,AH:AH)</f>
        <v>#NAME?</v>
      </c>
      <c r="AS414" s="150" t="e">
        <f aca="false">_xlfn.xlookup(AN414,A:A,S:S)</f>
        <v>#NAME?</v>
      </c>
      <c r="AT414" s="150" t="e">
        <f aca="false">_xlfn.xlookup(AN414,A:A,AE:AE)</f>
        <v>#NAME?</v>
      </c>
      <c r="AU414" s="150" t="e">
        <f aca="false">_xlfn.xlookup(AN414,A:A,AF:AF)</f>
        <v>#NAME?</v>
      </c>
      <c r="AX414" s="146"/>
      <c r="AY414" s="150"/>
      <c r="AZ414" s="150"/>
      <c r="BA414" s="150"/>
      <c r="BB414" s="146"/>
      <c r="BC414" s="146"/>
      <c r="BD414" s="151"/>
      <c r="BE414" s="146"/>
      <c r="BF414" s="146"/>
      <c r="BH414" s="152" t="e">
        <f aca="false">_xlfn.xlookup(BG414,A:A,F:F)</f>
        <v>#NAME?</v>
      </c>
      <c r="BI414" s="153" t="e">
        <f aca="false">_xlfn.xlookup(BG414,A:A,J:J)</f>
        <v>#NAME?</v>
      </c>
      <c r="BJ414" s="153" t="e">
        <f aca="false">_xlfn.xlookup(BG414,A:A,N:N)+_xlfn.xlookup(BG414,A:A,O:O)</f>
        <v>#NAME?</v>
      </c>
      <c r="BK414" s="153" t="e">
        <f aca="false">_xlfn.xlookup(BG414,A363:A1357,AB363:AB1357)</f>
        <v>#NAME?</v>
      </c>
      <c r="BN414" s="146"/>
      <c r="BO414" s="150"/>
      <c r="BQ414" s="153" t="str">
        <f aca="false">IF(VALUE(MONTH(C414))&lt;10,YEAR(C414)&amp;"-0"&amp;MONTH(C414),YEAR(C414)&amp;"-"&amp;MONTH(C414))</f>
        <v>1900-01</v>
      </c>
      <c r="BR414" s="153" t="n">
        <f aca="false">J414</f>
        <v>0</v>
      </c>
      <c r="BS414" s="153" t="n">
        <f aca="false">IF(ISNUMBER(FIND("-", BR414)), LEFT(BR414, FIND("-", BR414) - 1), BR414)</f>
        <v>0</v>
      </c>
      <c r="BT414" s="189" t="n">
        <f aca="false">L414-M414+O414</f>
        <v>0</v>
      </c>
    </row>
    <row r="415" s="153" customFormat="true" ht="15" hidden="false" customHeight="false" outlineLevel="0" collapsed="false">
      <c r="AN415" s="153" t="e">
        <v>#NAME?</v>
      </c>
      <c r="AO415" s="153" t="e">
        <f aca="false">_xlfn.xlookup(AN415,A:A,F:F)</f>
        <v>#NAME?</v>
      </c>
      <c r="AP415" s="153" t="e">
        <f aca="false">_xlfn.xlookup(AN415,A:A,J:J)</f>
        <v>#NAME?</v>
      </c>
      <c r="AQ415" s="153" t="e">
        <f aca="false">_xlfn.xlookup(AN415,A:A,N:N)+_xlfn.xlookup(AN415,A:A,O:O)</f>
        <v>#NAME?</v>
      </c>
      <c r="AR415" s="150" t="e">
        <f aca="false">_xlfn.xlookup(AN415,A:A,AH:AH)</f>
        <v>#NAME?</v>
      </c>
      <c r="AS415" s="150" t="e">
        <f aca="false">_xlfn.xlookup(AN415,A:A,S:S)</f>
        <v>#NAME?</v>
      </c>
      <c r="AT415" s="150" t="e">
        <f aca="false">_xlfn.xlookup(AN415,A:A,AE:AE)</f>
        <v>#NAME?</v>
      </c>
      <c r="AU415" s="150" t="e">
        <f aca="false">_xlfn.xlookup(AN415,A:A,AF:AF)</f>
        <v>#NAME?</v>
      </c>
      <c r="AX415" s="146"/>
      <c r="AY415" s="150"/>
      <c r="AZ415" s="150"/>
      <c r="BA415" s="150"/>
      <c r="BB415" s="146"/>
      <c r="BC415" s="146"/>
      <c r="BD415" s="151"/>
      <c r="BE415" s="146"/>
      <c r="BF415" s="146"/>
      <c r="BH415" s="152" t="e">
        <f aca="false">_xlfn.xlookup(BG415,A:A,F:F)</f>
        <v>#NAME?</v>
      </c>
      <c r="BI415" s="153" t="e">
        <f aca="false">_xlfn.xlookup(BG415,A:A,J:J)</f>
        <v>#NAME?</v>
      </c>
      <c r="BJ415" s="153" t="e">
        <f aca="false">_xlfn.xlookup(BG415,A:A,N:N)+_xlfn.xlookup(BG415,A:A,O:O)</f>
        <v>#NAME?</v>
      </c>
      <c r="BK415" s="153" t="e">
        <f aca="false">_xlfn.xlookup(BG415,A364:A1358,AB364:AB1358)</f>
        <v>#NAME?</v>
      </c>
      <c r="BN415" s="146"/>
      <c r="BO415" s="150"/>
      <c r="BQ415" s="153" t="str">
        <f aca="false">IF(VALUE(MONTH(C415))&lt;10,YEAR(C415)&amp;"-0"&amp;MONTH(C415),YEAR(C415)&amp;"-"&amp;MONTH(C415))</f>
        <v>1900-01</v>
      </c>
      <c r="BR415" s="153" t="n">
        <f aca="false">J415</f>
        <v>0</v>
      </c>
      <c r="BS415" s="153" t="n">
        <f aca="false">IF(ISNUMBER(FIND("-", BR415)), LEFT(BR415, FIND("-", BR415) - 1), BR415)</f>
        <v>0</v>
      </c>
      <c r="BT415" s="189" t="n">
        <f aca="false">L415-M415+O415</f>
        <v>0</v>
      </c>
    </row>
    <row r="416" s="153" customFormat="true" ht="15" hidden="false" customHeight="false" outlineLevel="0" collapsed="false">
      <c r="AN416" s="153" t="e">
        <v>#NAME?</v>
      </c>
      <c r="AO416" s="153" t="e">
        <f aca="false">_xlfn.xlookup(AN416,A:A,F:F)</f>
        <v>#NAME?</v>
      </c>
      <c r="AP416" s="153" t="e">
        <f aca="false">_xlfn.xlookup(AN416,A:A,J:J)</f>
        <v>#NAME?</v>
      </c>
      <c r="AQ416" s="153" t="e">
        <f aca="false">_xlfn.xlookup(AN416,A:A,N:N)+_xlfn.xlookup(AN416,A:A,O:O)</f>
        <v>#NAME?</v>
      </c>
      <c r="AR416" s="150" t="e">
        <f aca="false">_xlfn.xlookup(AN416,A:A,AH:AH)</f>
        <v>#NAME?</v>
      </c>
      <c r="AS416" s="150" t="e">
        <f aca="false">_xlfn.xlookup(AN416,A:A,S:S)</f>
        <v>#NAME?</v>
      </c>
      <c r="AT416" s="150" t="e">
        <f aca="false">_xlfn.xlookup(AN416,A:A,AE:AE)</f>
        <v>#NAME?</v>
      </c>
      <c r="AU416" s="150" t="e">
        <f aca="false">_xlfn.xlookup(AN416,A:A,AF:AF)</f>
        <v>#NAME?</v>
      </c>
      <c r="AX416" s="146"/>
      <c r="AY416" s="150"/>
      <c r="AZ416" s="150"/>
      <c r="BA416" s="150"/>
      <c r="BB416" s="146"/>
      <c r="BC416" s="146"/>
      <c r="BD416" s="151"/>
      <c r="BE416" s="146"/>
      <c r="BF416" s="146"/>
      <c r="BH416" s="152" t="e">
        <f aca="false">_xlfn.xlookup(BG416,A:A,F:F)</f>
        <v>#NAME?</v>
      </c>
      <c r="BI416" s="153" t="e">
        <f aca="false">_xlfn.xlookup(BG416,A:A,J:J)</f>
        <v>#NAME?</v>
      </c>
      <c r="BJ416" s="153" t="e">
        <f aca="false">_xlfn.xlookup(BG416,A:A,N:N)+_xlfn.xlookup(BG416,A:A,O:O)</f>
        <v>#NAME?</v>
      </c>
      <c r="BK416" s="153" t="e">
        <f aca="false">_xlfn.xlookup(BG416,A365:A1359,AB365:AB1359)</f>
        <v>#NAME?</v>
      </c>
      <c r="BN416" s="146"/>
      <c r="BO416" s="150"/>
      <c r="BQ416" s="153" t="str">
        <f aca="false">IF(VALUE(MONTH(C416))&lt;10,YEAR(C416)&amp;"-0"&amp;MONTH(C416),YEAR(C416)&amp;"-"&amp;MONTH(C416))</f>
        <v>1900-01</v>
      </c>
      <c r="BR416" s="153" t="n">
        <f aca="false">J416</f>
        <v>0</v>
      </c>
      <c r="BS416" s="153" t="n">
        <f aca="false">IF(ISNUMBER(FIND("-", BR416)), LEFT(BR416, FIND("-", BR416) - 1), BR416)</f>
        <v>0</v>
      </c>
      <c r="BT416" s="189" t="n">
        <f aca="false">L416-M416+O416</f>
        <v>0</v>
      </c>
    </row>
    <row r="417" s="153" customFormat="true" ht="15" hidden="false" customHeight="false" outlineLevel="0" collapsed="false">
      <c r="AN417" s="153" t="e">
        <v>#NAME?</v>
      </c>
      <c r="AO417" s="153" t="e">
        <f aca="false">_xlfn.xlookup(AN417,A:A,F:F)</f>
        <v>#NAME?</v>
      </c>
      <c r="AP417" s="153" t="e">
        <f aca="false">_xlfn.xlookup(AN417,A:A,J:J)</f>
        <v>#NAME?</v>
      </c>
      <c r="AQ417" s="153" t="e">
        <f aca="false">_xlfn.xlookup(AN417,A:A,N:N)+_xlfn.xlookup(AN417,A:A,O:O)</f>
        <v>#NAME?</v>
      </c>
      <c r="AR417" s="150" t="e">
        <f aca="false">_xlfn.xlookup(AN417,A:A,AH:AH)</f>
        <v>#NAME?</v>
      </c>
      <c r="AS417" s="150" t="e">
        <f aca="false">_xlfn.xlookup(AN417,A:A,S:S)</f>
        <v>#NAME?</v>
      </c>
      <c r="AT417" s="150" t="e">
        <f aca="false">_xlfn.xlookup(AN417,A:A,AE:AE)</f>
        <v>#NAME?</v>
      </c>
      <c r="AU417" s="150" t="e">
        <f aca="false">_xlfn.xlookup(AN417,A:A,AF:AF)</f>
        <v>#NAME?</v>
      </c>
      <c r="AX417" s="146"/>
      <c r="AY417" s="150"/>
      <c r="AZ417" s="150"/>
      <c r="BA417" s="150"/>
      <c r="BB417" s="146"/>
      <c r="BC417" s="146"/>
      <c r="BD417" s="151"/>
      <c r="BE417" s="146"/>
      <c r="BF417" s="146"/>
      <c r="BH417" s="152" t="e">
        <f aca="false">_xlfn.xlookup(BG417,A:A,F:F)</f>
        <v>#NAME?</v>
      </c>
      <c r="BI417" s="153" t="e">
        <f aca="false">_xlfn.xlookup(BG417,A:A,J:J)</f>
        <v>#NAME?</v>
      </c>
      <c r="BJ417" s="153" t="e">
        <f aca="false">_xlfn.xlookup(BG417,A:A,N:N)+_xlfn.xlookup(BG417,A:A,O:O)</f>
        <v>#NAME?</v>
      </c>
      <c r="BK417" s="153" t="e">
        <f aca="false">_xlfn.xlookup(BG417,A366:A1360,AB366:AB1360)</f>
        <v>#NAME?</v>
      </c>
      <c r="BN417" s="146"/>
      <c r="BO417" s="150"/>
      <c r="BQ417" s="153" t="str">
        <f aca="false">IF(VALUE(MONTH(C417))&lt;10,YEAR(C417)&amp;"-0"&amp;MONTH(C417),YEAR(C417)&amp;"-"&amp;MONTH(C417))</f>
        <v>1900-01</v>
      </c>
      <c r="BR417" s="153" t="n">
        <f aca="false">J417</f>
        <v>0</v>
      </c>
      <c r="BS417" s="153" t="n">
        <f aca="false">IF(ISNUMBER(FIND("-", BR417)), LEFT(BR417, FIND("-", BR417) - 1), BR417)</f>
        <v>0</v>
      </c>
      <c r="BT417" s="189" t="n">
        <f aca="false">L417-M417+O417</f>
        <v>0</v>
      </c>
    </row>
    <row r="418" s="153" customFormat="true" ht="15" hidden="false" customHeight="false" outlineLevel="0" collapsed="false">
      <c r="AN418" s="153" t="e">
        <v>#NAME?</v>
      </c>
      <c r="AO418" s="153" t="e">
        <f aca="false">_xlfn.xlookup(AN418,A:A,F:F)</f>
        <v>#NAME?</v>
      </c>
      <c r="AP418" s="153" t="e">
        <f aca="false">_xlfn.xlookup(AN418,A:A,J:J)</f>
        <v>#NAME?</v>
      </c>
      <c r="AQ418" s="153" t="e">
        <f aca="false">_xlfn.xlookup(AN418,A:A,N:N)+_xlfn.xlookup(AN418,A:A,O:O)</f>
        <v>#NAME?</v>
      </c>
      <c r="AR418" s="150" t="e">
        <f aca="false">_xlfn.xlookup(AN418,A:A,AH:AH)</f>
        <v>#NAME?</v>
      </c>
      <c r="AS418" s="150" t="e">
        <f aca="false">_xlfn.xlookup(AN418,A:A,S:S)</f>
        <v>#NAME?</v>
      </c>
      <c r="AT418" s="150" t="e">
        <f aca="false">_xlfn.xlookup(AN418,A:A,AE:AE)</f>
        <v>#NAME?</v>
      </c>
      <c r="AU418" s="150" t="e">
        <f aca="false">_xlfn.xlookup(AN418,A:A,AF:AF)</f>
        <v>#NAME?</v>
      </c>
      <c r="AX418" s="146"/>
      <c r="AY418" s="150"/>
      <c r="AZ418" s="150"/>
      <c r="BA418" s="150"/>
      <c r="BB418" s="146"/>
      <c r="BC418" s="146"/>
      <c r="BD418" s="151"/>
      <c r="BE418" s="146"/>
      <c r="BF418" s="146"/>
      <c r="BH418" s="152" t="e">
        <f aca="false">_xlfn.xlookup(BG418,A:A,F:F)</f>
        <v>#NAME?</v>
      </c>
      <c r="BI418" s="153" t="e">
        <f aca="false">_xlfn.xlookup(BG418,A:A,J:J)</f>
        <v>#NAME?</v>
      </c>
      <c r="BJ418" s="153" t="e">
        <f aca="false">_xlfn.xlookup(BG418,A:A,N:N)+_xlfn.xlookup(BG418,A:A,O:O)</f>
        <v>#NAME?</v>
      </c>
      <c r="BK418" s="153" t="e">
        <f aca="false">_xlfn.xlookup(BG418,A367:A1361,AB367:AB1361)</f>
        <v>#NAME?</v>
      </c>
      <c r="BN418" s="146"/>
      <c r="BO418" s="150"/>
      <c r="BQ418" s="153" t="str">
        <f aca="false">IF(VALUE(MONTH(C418))&lt;10,YEAR(C418)&amp;"-0"&amp;MONTH(C418),YEAR(C418)&amp;"-"&amp;MONTH(C418))</f>
        <v>1900-01</v>
      </c>
      <c r="BR418" s="153" t="n">
        <f aca="false">J418</f>
        <v>0</v>
      </c>
      <c r="BS418" s="153" t="n">
        <f aca="false">IF(ISNUMBER(FIND("-", BR418)), LEFT(BR418, FIND("-", BR418) - 1), BR418)</f>
        <v>0</v>
      </c>
      <c r="BT418" s="189" t="n">
        <f aca="false">L418-M418+O418</f>
        <v>0</v>
      </c>
    </row>
    <row r="419" s="153" customFormat="true" ht="15" hidden="false" customHeight="false" outlineLevel="0" collapsed="false">
      <c r="AN419" s="153" t="e">
        <v>#NAME?</v>
      </c>
      <c r="AO419" s="153" t="e">
        <f aca="false">_xlfn.xlookup(AN419,A:A,F:F)</f>
        <v>#NAME?</v>
      </c>
      <c r="AP419" s="153" t="e">
        <f aca="false">_xlfn.xlookup(AN419,A:A,J:J)</f>
        <v>#NAME?</v>
      </c>
      <c r="AQ419" s="153" t="e">
        <f aca="false">_xlfn.xlookup(AN419,A:A,N:N)+_xlfn.xlookup(AN419,A:A,O:O)</f>
        <v>#NAME?</v>
      </c>
      <c r="AR419" s="150" t="e">
        <f aca="false">_xlfn.xlookup(AN419,A:A,AH:AH)</f>
        <v>#NAME?</v>
      </c>
      <c r="AS419" s="150" t="e">
        <f aca="false">_xlfn.xlookup(AN419,A:A,S:S)</f>
        <v>#NAME?</v>
      </c>
      <c r="AT419" s="150" t="e">
        <f aca="false">_xlfn.xlookup(AN419,A:A,AE:AE)</f>
        <v>#NAME?</v>
      </c>
      <c r="AU419" s="150" t="e">
        <f aca="false">_xlfn.xlookup(AN419,A:A,AF:AF)</f>
        <v>#NAME?</v>
      </c>
      <c r="AX419" s="146"/>
      <c r="AY419" s="150"/>
      <c r="AZ419" s="150"/>
      <c r="BA419" s="150"/>
      <c r="BB419" s="146"/>
      <c r="BC419" s="146"/>
      <c r="BD419" s="151"/>
      <c r="BE419" s="146"/>
      <c r="BF419" s="146"/>
      <c r="BH419" s="152" t="e">
        <f aca="false">_xlfn.xlookup(BG419,A:A,F:F)</f>
        <v>#NAME?</v>
      </c>
      <c r="BI419" s="153" t="e">
        <f aca="false">_xlfn.xlookup(BG419,A:A,J:J)</f>
        <v>#NAME?</v>
      </c>
      <c r="BJ419" s="153" t="e">
        <f aca="false">_xlfn.xlookup(BG419,A:A,N:N)+_xlfn.xlookup(BG419,A:A,O:O)</f>
        <v>#NAME?</v>
      </c>
      <c r="BK419" s="153" t="e">
        <f aca="false">_xlfn.xlookup(BG419,A368:A1362,AB368:AB1362)</f>
        <v>#NAME?</v>
      </c>
      <c r="BN419" s="146"/>
      <c r="BO419" s="150"/>
      <c r="BQ419" s="153" t="str">
        <f aca="false">IF(VALUE(MONTH(C419))&lt;10,YEAR(C419)&amp;"-0"&amp;MONTH(C419),YEAR(C419)&amp;"-"&amp;MONTH(C419))</f>
        <v>1900-01</v>
      </c>
      <c r="BR419" s="153" t="n">
        <f aca="false">J419</f>
        <v>0</v>
      </c>
      <c r="BS419" s="153" t="n">
        <f aca="false">IF(ISNUMBER(FIND("-", BR419)), LEFT(BR419, FIND("-", BR419) - 1), BR419)</f>
        <v>0</v>
      </c>
      <c r="BT419" s="189" t="n">
        <f aca="false">L419-M419+O419</f>
        <v>0</v>
      </c>
    </row>
    <row r="420" s="153" customFormat="true" ht="15" hidden="false" customHeight="false" outlineLevel="0" collapsed="false">
      <c r="AN420" s="153" t="e">
        <v>#NAME?</v>
      </c>
      <c r="AO420" s="153" t="e">
        <f aca="false">_xlfn.xlookup(AN420,A:A,F:F)</f>
        <v>#NAME?</v>
      </c>
      <c r="AP420" s="153" t="e">
        <f aca="false">_xlfn.xlookup(AN420,A:A,J:J)</f>
        <v>#NAME?</v>
      </c>
      <c r="AQ420" s="153" t="e">
        <f aca="false">_xlfn.xlookup(AN420,A:A,N:N)+_xlfn.xlookup(AN420,A:A,O:O)</f>
        <v>#NAME?</v>
      </c>
      <c r="AR420" s="150" t="e">
        <f aca="false">_xlfn.xlookup(AN420,A:A,AH:AH)</f>
        <v>#NAME?</v>
      </c>
      <c r="AS420" s="150" t="e">
        <f aca="false">_xlfn.xlookup(AN420,A:A,S:S)</f>
        <v>#NAME?</v>
      </c>
      <c r="AT420" s="150" t="e">
        <f aca="false">_xlfn.xlookup(AN420,A:A,AE:AE)</f>
        <v>#NAME?</v>
      </c>
      <c r="AU420" s="150" t="e">
        <f aca="false">_xlfn.xlookup(AN420,A:A,AF:AF)</f>
        <v>#NAME?</v>
      </c>
      <c r="AX420" s="146"/>
      <c r="AY420" s="150"/>
      <c r="AZ420" s="150"/>
      <c r="BA420" s="150"/>
      <c r="BB420" s="146"/>
      <c r="BC420" s="146"/>
      <c r="BD420" s="151"/>
      <c r="BE420" s="146"/>
      <c r="BF420" s="146"/>
      <c r="BH420" s="152" t="e">
        <f aca="false">_xlfn.xlookup(BG420,A:A,F:F)</f>
        <v>#NAME?</v>
      </c>
      <c r="BI420" s="153" t="e">
        <f aca="false">_xlfn.xlookup(BG420,A:A,J:J)</f>
        <v>#NAME?</v>
      </c>
      <c r="BJ420" s="153" t="e">
        <f aca="false">_xlfn.xlookup(BG420,A:A,N:N)+_xlfn.xlookup(BG420,A:A,O:O)</f>
        <v>#NAME?</v>
      </c>
      <c r="BK420" s="153" t="e">
        <f aca="false">_xlfn.xlookup(BG420,A369:A1363,AB369:AB1363)</f>
        <v>#NAME?</v>
      </c>
      <c r="BN420" s="146"/>
      <c r="BO420" s="150"/>
      <c r="BQ420" s="153" t="str">
        <f aca="false">IF(VALUE(MONTH(C420))&lt;10,YEAR(C420)&amp;"-0"&amp;MONTH(C420),YEAR(C420)&amp;"-"&amp;MONTH(C420))</f>
        <v>1900-01</v>
      </c>
      <c r="BR420" s="153" t="n">
        <f aca="false">J420</f>
        <v>0</v>
      </c>
      <c r="BS420" s="153" t="n">
        <f aca="false">IF(ISNUMBER(FIND("-", BR420)), LEFT(BR420, FIND("-", BR420) - 1), BR420)</f>
        <v>0</v>
      </c>
      <c r="BT420" s="189" t="n">
        <f aca="false">L420-M420+O420</f>
        <v>0</v>
      </c>
    </row>
    <row r="421" s="153" customFormat="true" ht="15" hidden="false" customHeight="false" outlineLevel="0" collapsed="false">
      <c r="AN421" s="153" t="e">
        <v>#NAME?</v>
      </c>
      <c r="AO421" s="153" t="e">
        <f aca="false">_xlfn.xlookup(AN421,A:A,F:F)</f>
        <v>#NAME?</v>
      </c>
      <c r="AP421" s="153" t="e">
        <f aca="false">_xlfn.xlookup(AN421,A:A,J:J)</f>
        <v>#NAME?</v>
      </c>
      <c r="AQ421" s="153" t="e">
        <f aca="false">_xlfn.xlookup(AN421,A:A,N:N)+_xlfn.xlookup(AN421,A:A,O:O)</f>
        <v>#NAME?</v>
      </c>
      <c r="AR421" s="150" t="e">
        <f aca="false">_xlfn.xlookup(AN421,A:A,AH:AH)</f>
        <v>#NAME?</v>
      </c>
      <c r="AS421" s="150" t="e">
        <f aca="false">_xlfn.xlookup(AN421,A:A,S:S)</f>
        <v>#NAME?</v>
      </c>
      <c r="AT421" s="150" t="e">
        <f aca="false">_xlfn.xlookup(AN421,A:A,AE:AE)</f>
        <v>#NAME?</v>
      </c>
      <c r="AU421" s="150" t="e">
        <f aca="false">_xlfn.xlookup(AN421,A:A,AF:AF)</f>
        <v>#NAME?</v>
      </c>
      <c r="AX421" s="146"/>
      <c r="AY421" s="150"/>
      <c r="AZ421" s="150"/>
      <c r="BA421" s="150"/>
      <c r="BB421" s="146"/>
      <c r="BC421" s="146"/>
      <c r="BD421" s="151"/>
      <c r="BE421" s="146"/>
      <c r="BF421" s="146"/>
      <c r="BH421" s="152" t="e">
        <f aca="false">_xlfn.xlookup(BG421,A:A,F:F)</f>
        <v>#NAME?</v>
      </c>
      <c r="BI421" s="153" t="e">
        <f aca="false">_xlfn.xlookup(BG421,A:A,J:J)</f>
        <v>#NAME?</v>
      </c>
      <c r="BJ421" s="153" t="e">
        <f aca="false">_xlfn.xlookup(BG421,A:A,N:N)+_xlfn.xlookup(BG421,A:A,O:O)</f>
        <v>#NAME?</v>
      </c>
      <c r="BK421" s="153" t="e">
        <f aca="false">_xlfn.xlookup(BG421,A370:A1364,AB370:AB1364)</f>
        <v>#NAME?</v>
      </c>
      <c r="BN421" s="146"/>
      <c r="BO421" s="150"/>
      <c r="BQ421" s="153" t="str">
        <f aca="false">IF(VALUE(MONTH(C421))&lt;10,YEAR(C421)&amp;"-0"&amp;MONTH(C421),YEAR(C421)&amp;"-"&amp;MONTH(C421))</f>
        <v>1900-01</v>
      </c>
      <c r="BR421" s="153" t="n">
        <f aca="false">J421</f>
        <v>0</v>
      </c>
      <c r="BS421" s="153" t="n">
        <f aca="false">IF(ISNUMBER(FIND("-", BR421)), LEFT(BR421, FIND("-", BR421) - 1), BR421)</f>
        <v>0</v>
      </c>
      <c r="BT421" s="189" t="n">
        <f aca="false">L421-M421+O421</f>
        <v>0</v>
      </c>
    </row>
    <row r="422" s="153" customFormat="true" ht="15" hidden="false" customHeight="false" outlineLevel="0" collapsed="false">
      <c r="AN422" s="153" t="e">
        <v>#NAME?</v>
      </c>
      <c r="AO422" s="153" t="e">
        <f aca="false">_xlfn.xlookup(AN422,A:A,F:F)</f>
        <v>#NAME?</v>
      </c>
      <c r="AP422" s="153" t="e">
        <f aca="false">_xlfn.xlookup(AN422,A:A,J:J)</f>
        <v>#NAME?</v>
      </c>
      <c r="AQ422" s="153" t="e">
        <f aca="false">_xlfn.xlookup(AN422,A:A,N:N)+_xlfn.xlookup(AN422,A:A,O:O)</f>
        <v>#NAME?</v>
      </c>
      <c r="AR422" s="150" t="e">
        <f aca="false">_xlfn.xlookup(AN422,A:A,AH:AH)</f>
        <v>#NAME?</v>
      </c>
      <c r="AS422" s="150" t="e">
        <f aca="false">_xlfn.xlookup(AN422,A:A,S:S)</f>
        <v>#NAME?</v>
      </c>
      <c r="AT422" s="150" t="e">
        <f aca="false">_xlfn.xlookup(AN422,A:A,AE:AE)</f>
        <v>#NAME?</v>
      </c>
      <c r="AU422" s="150" t="e">
        <f aca="false">_xlfn.xlookup(AN422,A:A,AF:AF)</f>
        <v>#NAME?</v>
      </c>
      <c r="AX422" s="146"/>
      <c r="AY422" s="150"/>
      <c r="AZ422" s="150"/>
      <c r="BA422" s="150"/>
      <c r="BB422" s="146"/>
      <c r="BC422" s="146"/>
      <c r="BD422" s="151"/>
      <c r="BE422" s="146"/>
      <c r="BF422" s="146"/>
      <c r="BH422" s="152" t="e">
        <f aca="false">_xlfn.xlookup(BG422,A:A,F:F)</f>
        <v>#NAME?</v>
      </c>
      <c r="BI422" s="153" t="e">
        <f aca="false">_xlfn.xlookup(BG422,A:A,J:J)</f>
        <v>#NAME?</v>
      </c>
      <c r="BJ422" s="153" t="e">
        <f aca="false">_xlfn.xlookup(BG422,A:A,N:N)+_xlfn.xlookup(BG422,A:A,O:O)</f>
        <v>#NAME?</v>
      </c>
      <c r="BK422" s="153" t="e">
        <f aca="false">_xlfn.xlookup(BG422,A371:A1365,AB371:AB1365)</f>
        <v>#NAME?</v>
      </c>
      <c r="BN422" s="146"/>
      <c r="BO422" s="150"/>
      <c r="BQ422" s="153" t="str">
        <f aca="false">IF(VALUE(MONTH(C422))&lt;10,YEAR(C422)&amp;"-0"&amp;MONTH(C422),YEAR(C422)&amp;"-"&amp;MONTH(C422))</f>
        <v>1900-01</v>
      </c>
      <c r="BR422" s="153" t="n">
        <f aca="false">J422</f>
        <v>0</v>
      </c>
      <c r="BS422" s="153" t="n">
        <f aca="false">IF(ISNUMBER(FIND("-", BR422)), LEFT(BR422, FIND("-", BR422) - 1), BR422)</f>
        <v>0</v>
      </c>
      <c r="BT422" s="189" t="n">
        <f aca="false">L422-M422+O422</f>
        <v>0</v>
      </c>
    </row>
    <row r="423" s="153" customFormat="true" ht="15" hidden="false" customHeight="false" outlineLevel="0" collapsed="false">
      <c r="AN423" s="153" t="e">
        <v>#NAME?</v>
      </c>
      <c r="AO423" s="153" t="e">
        <f aca="false">_xlfn.xlookup(AN423,A:A,F:F)</f>
        <v>#NAME?</v>
      </c>
      <c r="AP423" s="153" t="e">
        <f aca="false">_xlfn.xlookup(AN423,A:A,J:J)</f>
        <v>#NAME?</v>
      </c>
      <c r="AQ423" s="153" t="e">
        <f aca="false">_xlfn.xlookup(AN423,A:A,N:N)+_xlfn.xlookup(AN423,A:A,O:O)</f>
        <v>#NAME?</v>
      </c>
      <c r="AR423" s="150" t="e">
        <f aca="false">_xlfn.xlookup(AN423,A:A,AH:AH)</f>
        <v>#NAME?</v>
      </c>
      <c r="AS423" s="150" t="e">
        <f aca="false">_xlfn.xlookup(AN423,A:A,S:S)</f>
        <v>#NAME?</v>
      </c>
      <c r="AT423" s="150" t="e">
        <f aca="false">_xlfn.xlookup(AN423,A:A,AE:AE)</f>
        <v>#NAME?</v>
      </c>
      <c r="AU423" s="150" t="e">
        <f aca="false">_xlfn.xlookup(AN423,A:A,AF:AF)</f>
        <v>#NAME?</v>
      </c>
      <c r="AX423" s="146"/>
      <c r="AY423" s="150"/>
      <c r="AZ423" s="150"/>
      <c r="BA423" s="150"/>
      <c r="BB423" s="146"/>
      <c r="BC423" s="146"/>
      <c r="BD423" s="151"/>
      <c r="BE423" s="146"/>
      <c r="BF423" s="146"/>
      <c r="BH423" s="152" t="e">
        <f aca="false">_xlfn.xlookup(BG423,A:A,F:F)</f>
        <v>#NAME?</v>
      </c>
      <c r="BI423" s="153" t="e">
        <f aca="false">_xlfn.xlookup(BG423,A:A,J:J)</f>
        <v>#NAME?</v>
      </c>
      <c r="BJ423" s="153" t="e">
        <f aca="false">_xlfn.xlookup(BG423,A:A,N:N)+_xlfn.xlookup(BG423,A:A,O:O)</f>
        <v>#NAME?</v>
      </c>
      <c r="BK423" s="153" t="e">
        <f aca="false">_xlfn.xlookup(BG423,A372:A1366,AB372:AB1366)</f>
        <v>#NAME?</v>
      </c>
      <c r="BN423" s="146"/>
      <c r="BO423" s="150"/>
      <c r="BQ423" s="153" t="str">
        <f aca="false">IF(VALUE(MONTH(C423))&lt;10,YEAR(C423)&amp;"-0"&amp;MONTH(C423),YEAR(C423)&amp;"-"&amp;MONTH(C423))</f>
        <v>1900-01</v>
      </c>
      <c r="BR423" s="153" t="n">
        <f aca="false">J423</f>
        <v>0</v>
      </c>
      <c r="BS423" s="153" t="n">
        <f aca="false">IF(ISNUMBER(FIND("-", BR423)), LEFT(BR423, FIND("-", BR423) - 1), BR423)</f>
        <v>0</v>
      </c>
      <c r="BT423" s="189" t="n">
        <f aca="false">L423-M423+O423</f>
        <v>0</v>
      </c>
    </row>
    <row r="424" s="153" customFormat="true" ht="15" hidden="false" customHeight="false" outlineLevel="0" collapsed="false">
      <c r="AN424" s="153" t="e">
        <v>#NAME?</v>
      </c>
      <c r="AO424" s="153" t="e">
        <f aca="false">_xlfn.xlookup(AN424,A:A,F:F)</f>
        <v>#NAME?</v>
      </c>
      <c r="AP424" s="153" t="e">
        <f aca="false">_xlfn.xlookup(AN424,A:A,J:J)</f>
        <v>#NAME?</v>
      </c>
      <c r="AQ424" s="153" t="e">
        <f aca="false">_xlfn.xlookup(AN424,A:A,N:N)+_xlfn.xlookup(AN424,A:A,O:O)</f>
        <v>#NAME?</v>
      </c>
      <c r="AR424" s="150" t="e">
        <f aca="false">_xlfn.xlookup(AN424,A:A,AH:AH)</f>
        <v>#NAME?</v>
      </c>
      <c r="AS424" s="150" t="e">
        <f aca="false">_xlfn.xlookup(AN424,A:A,S:S)</f>
        <v>#NAME?</v>
      </c>
      <c r="AT424" s="150" t="e">
        <f aca="false">_xlfn.xlookup(AN424,A:A,AE:AE)</f>
        <v>#NAME?</v>
      </c>
      <c r="AU424" s="150" t="e">
        <f aca="false">_xlfn.xlookup(AN424,A:A,AF:AF)</f>
        <v>#NAME?</v>
      </c>
      <c r="AX424" s="146"/>
      <c r="AY424" s="150"/>
      <c r="AZ424" s="150"/>
      <c r="BA424" s="150"/>
      <c r="BB424" s="146"/>
      <c r="BC424" s="146"/>
      <c r="BD424" s="151"/>
      <c r="BE424" s="146"/>
      <c r="BF424" s="146"/>
      <c r="BH424" s="152" t="e">
        <f aca="false">_xlfn.xlookup(BG424,A:A,F:F)</f>
        <v>#NAME?</v>
      </c>
      <c r="BI424" s="153" t="e">
        <f aca="false">_xlfn.xlookup(BG424,A:A,J:J)</f>
        <v>#NAME?</v>
      </c>
      <c r="BJ424" s="153" t="e">
        <f aca="false">_xlfn.xlookup(BG424,A:A,N:N)+_xlfn.xlookup(BG424,A:A,O:O)</f>
        <v>#NAME?</v>
      </c>
      <c r="BK424" s="153" t="e">
        <f aca="false">_xlfn.xlookup(BG424,A373:A1367,AB373:AB1367)</f>
        <v>#NAME?</v>
      </c>
      <c r="BN424" s="146"/>
      <c r="BO424" s="150"/>
      <c r="BQ424" s="153" t="str">
        <f aca="false">IF(VALUE(MONTH(C424))&lt;10,YEAR(C424)&amp;"-0"&amp;MONTH(C424),YEAR(C424)&amp;"-"&amp;MONTH(C424))</f>
        <v>1900-01</v>
      </c>
      <c r="BR424" s="153" t="n">
        <f aca="false">J424</f>
        <v>0</v>
      </c>
      <c r="BS424" s="153" t="n">
        <f aca="false">IF(ISNUMBER(FIND("-", BR424)), LEFT(BR424, FIND("-", BR424) - 1), BR424)</f>
        <v>0</v>
      </c>
      <c r="BT424" s="189" t="n">
        <f aca="false">L424-M424+O424</f>
        <v>0</v>
      </c>
    </row>
    <row r="425" s="153" customFormat="true" ht="15" hidden="false" customHeight="false" outlineLevel="0" collapsed="false">
      <c r="AN425" s="153" t="e">
        <v>#NAME?</v>
      </c>
      <c r="AO425" s="153" t="e">
        <f aca="false">_xlfn.xlookup(AN425,A:A,F:F)</f>
        <v>#NAME?</v>
      </c>
      <c r="AP425" s="153" t="e">
        <f aca="false">_xlfn.xlookup(AN425,A:A,J:J)</f>
        <v>#NAME?</v>
      </c>
      <c r="AQ425" s="153" t="e">
        <f aca="false">_xlfn.xlookup(AN425,A:A,N:N)+_xlfn.xlookup(AN425,A:A,O:O)</f>
        <v>#NAME?</v>
      </c>
      <c r="AR425" s="150" t="e">
        <f aca="false">_xlfn.xlookup(AN425,A:A,AH:AH)</f>
        <v>#NAME?</v>
      </c>
      <c r="AS425" s="150" t="e">
        <f aca="false">_xlfn.xlookup(AN425,A:A,S:S)</f>
        <v>#NAME?</v>
      </c>
      <c r="AT425" s="150" t="e">
        <f aca="false">_xlfn.xlookup(AN425,A:A,AE:AE)</f>
        <v>#NAME?</v>
      </c>
      <c r="AU425" s="150" t="e">
        <f aca="false">_xlfn.xlookup(AN425,A:A,AF:AF)</f>
        <v>#NAME?</v>
      </c>
      <c r="AX425" s="146"/>
      <c r="AY425" s="150"/>
      <c r="AZ425" s="150"/>
      <c r="BA425" s="150"/>
      <c r="BB425" s="146"/>
      <c r="BC425" s="146"/>
      <c r="BD425" s="151"/>
      <c r="BE425" s="146"/>
      <c r="BF425" s="146"/>
      <c r="BH425" s="152" t="e">
        <f aca="false">_xlfn.xlookup(BG425,A:A,F:F)</f>
        <v>#NAME?</v>
      </c>
      <c r="BI425" s="153" t="e">
        <f aca="false">_xlfn.xlookup(BG425,A:A,J:J)</f>
        <v>#NAME?</v>
      </c>
      <c r="BJ425" s="153" t="e">
        <f aca="false">_xlfn.xlookup(BG425,A:A,N:N)+_xlfn.xlookup(BG425,A:A,O:O)</f>
        <v>#NAME?</v>
      </c>
      <c r="BK425" s="153" t="e">
        <f aca="false">_xlfn.xlookup(BG425,A374:A1368,AB374:AB1368)</f>
        <v>#NAME?</v>
      </c>
      <c r="BN425" s="146"/>
      <c r="BO425" s="150"/>
      <c r="BQ425" s="153" t="str">
        <f aca="false">IF(VALUE(MONTH(C425))&lt;10,YEAR(C425)&amp;"-0"&amp;MONTH(C425),YEAR(C425)&amp;"-"&amp;MONTH(C425))</f>
        <v>1900-01</v>
      </c>
      <c r="BR425" s="153" t="n">
        <f aca="false">J425</f>
        <v>0</v>
      </c>
      <c r="BS425" s="153" t="n">
        <f aca="false">IF(ISNUMBER(FIND("-", BR425)), LEFT(BR425, FIND("-", BR425) - 1), BR425)</f>
        <v>0</v>
      </c>
      <c r="BT425" s="189" t="n">
        <f aca="false">L425-M425+O425</f>
        <v>0</v>
      </c>
    </row>
    <row r="426" s="153" customFormat="true" ht="15" hidden="false" customHeight="false" outlineLevel="0" collapsed="false">
      <c r="AN426" s="153" t="e">
        <v>#NAME?</v>
      </c>
      <c r="AO426" s="153" t="e">
        <f aca="false">_xlfn.xlookup(AN426,A:A,F:F)</f>
        <v>#NAME?</v>
      </c>
      <c r="AP426" s="153" t="e">
        <f aca="false">_xlfn.xlookup(AN426,A:A,J:J)</f>
        <v>#NAME?</v>
      </c>
      <c r="AQ426" s="153" t="e">
        <f aca="false">_xlfn.xlookup(AN426,A:A,N:N)+_xlfn.xlookup(AN426,A:A,O:O)</f>
        <v>#NAME?</v>
      </c>
      <c r="AR426" s="150" t="e">
        <f aca="false">_xlfn.xlookup(AN426,A:A,AH:AH)</f>
        <v>#NAME?</v>
      </c>
      <c r="AS426" s="150" t="e">
        <f aca="false">_xlfn.xlookup(AN426,A:A,S:S)</f>
        <v>#NAME?</v>
      </c>
      <c r="AT426" s="150" t="e">
        <f aca="false">_xlfn.xlookup(AN426,A:A,AE:AE)</f>
        <v>#NAME?</v>
      </c>
      <c r="AU426" s="150" t="e">
        <f aca="false">_xlfn.xlookup(AN426,A:A,AF:AF)</f>
        <v>#NAME?</v>
      </c>
      <c r="AX426" s="146"/>
      <c r="AY426" s="150"/>
      <c r="AZ426" s="150"/>
      <c r="BA426" s="150"/>
      <c r="BB426" s="146"/>
      <c r="BC426" s="146"/>
      <c r="BD426" s="151"/>
      <c r="BE426" s="146"/>
      <c r="BF426" s="146"/>
      <c r="BH426" s="152" t="e">
        <f aca="false">_xlfn.xlookup(BG426,A:A,F:F)</f>
        <v>#NAME?</v>
      </c>
      <c r="BI426" s="153" t="e">
        <f aca="false">_xlfn.xlookup(BG426,A:A,J:J)</f>
        <v>#NAME?</v>
      </c>
      <c r="BJ426" s="153" t="e">
        <f aca="false">_xlfn.xlookup(BG426,A:A,N:N)+_xlfn.xlookup(BG426,A:A,O:O)</f>
        <v>#NAME?</v>
      </c>
      <c r="BK426" s="153" t="e">
        <f aca="false">_xlfn.xlookup(BG426,A375:A1369,AB375:AB1369)</f>
        <v>#NAME?</v>
      </c>
      <c r="BN426" s="146"/>
      <c r="BO426" s="150"/>
      <c r="BQ426" s="153" t="str">
        <f aca="false">IF(VALUE(MONTH(C426))&lt;10,YEAR(C426)&amp;"-0"&amp;MONTH(C426),YEAR(C426)&amp;"-"&amp;MONTH(C426))</f>
        <v>1900-01</v>
      </c>
      <c r="BR426" s="153" t="n">
        <f aca="false">J426</f>
        <v>0</v>
      </c>
      <c r="BS426" s="153" t="n">
        <f aca="false">IF(ISNUMBER(FIND("-", BR426)), LEFT(BR426, FIND("-", BR426) - 1), BR426)</f>
        <v>0</v>
      </c>
      <c r="BT426" s="189" t="n">
        <f aca="false">L426-M426+O426</f>
        <v>0</v>
      </c>
    </row>
    <row r="427" s="153" customFormat="true" ht="15" hidden="false" customHeight="false" outlineLevel="0" collapsed="false">
      <c r="AN427" s="153" t="e">
        <v>#NAME?</v>
      </c>
      <c r="AO427" s="153" t="e">
        <f aca="false">_xlfn.xlookup(AN427,A:A,F:F)</f>
        <v>#NAME?</v>
      </c>
      <c r="AP427" s="153" t="e">
        <f aca="false">_xlfn.xlookup(AN427,A:A,J:J)</f>
        <v>#NAME?</v>
      </c>
      <c r="AQ427" s="153" t="e">
        <f aca="false">_xlfn.xlookup(AN427,A:A,N:N)+_xlfn.xlookup(AN427,A:A,O:O)</f>
        <v>#NAME?</v>
      </c>
      <c r="AR427" s="150" t="e">
        <f aca="false">_xlfn.xlookup(AN427,A:A,AH:AH)</f>
        <v>#NAME?</v>
      </c>
      <c r="AS427" s="150" t="e">
        <f aca="false">_xlfn.xlookup(AN427,A:A,S:S)</f>
        <v>#NAME?</v>
      </c>
      <c r="AT427" s="150" t="e">
        <f aca="false">_xlfn.xlookup(AN427,A:A,AE:AE)</f>
        <v>#NAME?</v>
      </c>
      <c r="AU427" s="150" t="e">
        <f aca="false">_xlfn.xlookup(AN427,A:A,AF:AF)</f>
        <v>#NAME?</v>
      </c>
      <c r="AX427" s="146"/>
      <c r="AY427" s="150"/>
      <c r="AZ427" s="150"/>
      <c r="BA427" s="150"/>
      <c r="BB427" s="146"/>
      <c r="BC427" s="146"/>
      <c r="BD427" s="151"/>
      <c r="BE427" s="146"/>
      <c r="BF427" s="146"/>
      <c r="BH427" s="152" t="e">
        <f aca="false">_xlfn.xlookup(BG427,A:A,F:F)</f>
        <v>#NAME?</v>
      </c>
      <c r="BI427" s="153" t="e">
        <f aca="false">_xlfn.xlookup(BG427,A:A,J:J)</f>
        <v>#NAME?</v>
      </c>
      <c r="BJ427" s="153" t="e">
        <f aca="false">_xlfn.xlookup(BG427,A:A,N:N)+_xlfn.xlookup(BG427,A:A,O:O)</f>
        <v>#NAME?</v>
      </c>
      <c r="BK427" s="153" t="e">
        <f aca="false">_xlfn.xlookup(BG427,A376:A1370,AB376:AB1370)</f>
        <v>#NAME?</v>
      </c>
      <c r="BN427" s="146"/>
      <c r="BO427" s="150"/>
      <c r="BQ427" s="153" t="str">
        <f aca="false">IF(VALUE(MONTH(C427))&lt;10,YEAR(C427)&amp;"-0"&amp;MONTH(C427),YEAR(C427)&amp;"-"&amp;MONTH(C427))</f>
        <v>1900-01</v>
      </c>
      <c r="BR427" s="153" t="n">
        <f aca="false">J427</f>
        <v>0</v>
      </c>
      <c r="BS427" s="153" t="n">
        <f aca="false">IF(ISNUMBER(FIND("-", BR427)), LEFT(BR427, FIND("-", BR427) - 1), BR427)</f>
        <v>0</v>
      </c>
      <c r="BT427" s="189" t="n">
        <f aca="false">L427-M427+O427</f>
        <v>0</v>
      </c>
    </row>
    <row r="428" s="153" customFormat="true" ht="15" hidden="false" customHeight="false" outlineLevel="0" collapsed="false">
      <c r="AN428" s="153" t="e">
        <v>#NAME?</v>
      </c>
      <c r="AO428" s="153" t="e">
        <f aca="false">_xlfn.xlookup(AN428,A:A,F:F)</f>
        <v>#NAME?</v>
      </c>
      <c r="AP428" s="153" t="e">
        <f aca="false">_xlfn.xlookup(AN428,A:A,J:J)</f>
        <v>#NAME?</v>
      </c>
      <c r="AQ428" s="153" t="e">
        <f aca="false">_xlfn.xlookup(AN428,A:A,N:N)+_xlfn.xlookup(AN428,A:A,O:O)</f>
        <v>#NAME?</v>
      </c>
      <c r="AR428" s="150" t="e">
        <f aca="false">_xlfn.xlookup(AN428,A:A,AH:AH)</f>
        <v>#NAME?</v>
      </c>
      <c r="AS428" s="150" t="e">
        <f aca="false">_xlfn.xlookup(AN428,A:A,S:S)</f>
        <v>#NAME?</v>
      </c>
      <c r="AT428" s="150" t="e">
        <f aca="false">_xlfn.xlookup(AN428,A:A,AE:AE)</f>
        <v>#NAME?</v>
      </c>
      <c r="AU428" s="150" t="e">
        <f aca="false">_xlfn.xlookup(AN428,A:A,AF:AF)</f>
        <v>#NAME?</v>
      </c>
      <c r="AX428" s="146"/>
      <c r="AY428" s="150"/>
      <c r="AZ428" s="150"/>
      <c r="BA428" s="150"/>
      <c r="BB428" s="146"/>
      <c r="BC428" s="146"/>
      <c r="BD428" s="151"/>
      <c r="BE428" s="146"/>
      <c r="BF428" s="146"/>
      <c r="BH428" s="152" t="e">
        <f aca="false">_xlfn.xlookup(BG428,A:A,F:F)</f>
        <v>#NAME?</v>
      </c>
      <c r="BI428" s="153" t="e">
        <f aca="false">_xlfn.xlookup(BG428,A:A,J:J)</f>
        <v>#NAME?</v>
      </c>
      <c r="BJ428" s="153" t="e">
        <f aca="false">_xlfn.xlookup(BG428,A:A,N:N)+_xlfn.xlookup(BG428,A:A,O:O)</f>
        <v>#NAME?</v>
      </c>
      <c r="BK428" s="153" t="e">
        <f aca="false">_xlfn.xlookup(BG428,A377:A1371,AB377:AB1371)</f>
        <v>#NAME?</v>
      </c>
      <c r="BN428" s="146"/>
      <c r="BO428" s="150"/>
      <c r="BQ428" s="153" t="str">
        <f aca="false">IF(VALUE(MONTH(C428))&lt;10,YEAR(C428)&amp;"-0"&amp;MONTH(C428),YEAR(C428)&amp;"-"&amp;MONTH(C428))</f>
        <v>1900-01</v>
      </c>
      <c r="BR428" s="153" t="n">
        <f aca="false">J428</f>
        <v>0</v>
      </c>
      <c r="BS428" s="153" t="n">
        <f aca="false">IF(ISNUMBER(FIND("-", BR428)), LEFT(BR428, FIND("-", BR428) - 1), BR428)</f>
        <v>0</v>
      </c>
      <c r="BT428" s="189" t="n">
        <f aca="false">L428-M428+O428</f>
        <v>0</v>
      </c>
    </row>
    <row r="429" s="153" customFormat="true" ht="15" hidden="false" customHeight="false" outlineLevel="0" collapsed="false">
      <c r="AN429" s="153" t="e">
        <v>#NAME?</v>
      </c>
      <c r="AO429" s="153" t="e">
        <f aca="false">_xlfn.xlookup(AN429,A:A,F:F)</f>
        <v>#NAME?</v>
      </c>
      <c r="AP429" s="153" t="e">
        <f aca="false">_xlfn.xlookup(AN429,A:A,J:J)</f>
        <v>#NAME?</v>
      </c>
      <c r="AQ429" s="153" t="e">
        <f aca="false">_xlfn.xlookup(AN429,A:A,N:N)+_xlfn.xlookup(AN429,A:A,O:O)</f>
        <v>#NAME?</v>
      </c>
      <c r="AR429" s="150" t="e">
        <f aca="false">_xlfn.xlookup(AN429,A:A,AH:AH)</f>
        <v>#NAME?</v>
      </c>
      <c r="AS429" s="150" t="e">
        <f aca="false">_xlfn.xlookup(AN429,A:A,S:S)</f>
        <v>#NAME?</v>
      </c>
      <c r="AT429" s="150" t="e">
        <f aca="false">_xlfn.xlookup(AN429,A:A,AE:AE)</f>
        <v>#NAME?</v>
      </c>
      <c r="AU429" s="150" t="e">
        <f aca="false">_xlfn.xlookup(AN429,A:A,AF:AF)</f>
        <v>#NAME?</v>
      </c>
      <c r="AX429" s="146"/>
      <c r="AY429" s="150"/>
      <c r="AZ429" s="150"/>
      <c r="BA429" s="150"/>
      <c r="BB429" s="146"/>
      <c r="BC429" s="146"/>
      <c r="BD429" s="151"/>
      <c r="BE429" s="146"/>
      <c r="BF429" s="146"/>
      <c r="BH429" s="152" t="e">
        <f aca="false">_xlfn.xlookup(BG429,A:A,F:F)</f>
        <v>#NAME?</v>
      </c>
      <c r="BI429" s="153" t="e">
        <f aca="false">_xlfn.xlookup(BG429,A:A,J:J)</f>
        <v>#NAME?</v>
      </c>
      <c r="BJ429" s="153" t="e">
        <f aca="false">_xlfn.xlookup(BG429,A:A,N:N)+_xlfn.xlookup(BG429,A:A,O:O)</f>
        <v>#NAME?</v>
      </c>
      <c r="BK429" s="153" t="e">
        <f aca="false">_xlfn.xlookup(BG429,A378:A1372,AB378:AB1372)</f>
        <v>#NAME?</v>
      </c>
      <c r="BN429" s="146"/>
      <c r="BO429" s="150"/>
      <c r="BQ429" s="153" t="str">
        <f aca="false">IF(VALUE(MONTH(C429))&lt;10,YEAR(C429)&amp;"-0"&amp;MONTH(C429),YEAR(C429)&amp;"-"&amp;MONTH(C429))</f>
        <v>1900-01</v>
      </c>
      <c r="BR429" s="153" t="n">
        <f aca="false">J429</f>
        <v>0</v>
      </c>
      <c r="BS429" s="153" t="n">
        <f aca="false">IF(ISNUMBER(FIND("-", BR429)), LEFT(BR429, FIND("-", BR429) - 1), BR429)</f>
        <v>0</v>
      </c>
      <c r="BT429" s="189" t="n">
        <f aca="false">L429-M429+O429</f>
        <v>0</v>
      </c>
    </row>
    <row r="430" s="153" customFormat="true" ht="15" hidden="false" customHeight="false" outlineLevel="0" collapsed="false">
      <c r="AN430" s="153" t="e">
        <v>#NAME?</v>
      </c>
      <c r="AO430" s="153" t="e">
        <f aca="false">_xlfn.xlookup(AN430,A:A,F:F)</f>
        <v>#NAME?</v>
      </c>
      <c r="AP430" s="153" t="e">
        <f aca="false">_xlfn.xlookup(AN430,A:A,J:J)</f>
        <v>#NAME?</v>
      </c>
      <c r="AQ430" s="153" t="e">
        <f aca="false">_xlfn.xlookup(AN430,A:A,N:N)+_xlfn.xlookup(AN430,A:A,O:O)</f>
        <v>#NAME?</v>
      </c>
      <c r="AR430" s="150" t="e">
        <f aca="false">_xlfn.xlookup(AN430,A:A,AH:AH)</f>
        <v>#NAME?</v>
      </c>
      <c r="AS430" s="150" t="e">
        <f aca="false">_xlfn.xlookup(AN430,A:A,S:S)</f>
        <v>#NAME?</v>
      </c>
      <c r="AT430" s="150" t="e">
        <f aca="false">_xlfn.xlookup(AN430,A:A,AE:AE)</f>
        <v>#NAME?</v>
      </c>
      <c r="AU430" s="150" t="e">
        <f aca="false">_xlfn.xlookup(AN430,A:A,AF:AF)</f>
        <v>#NAME?</v>
      </c>
      <c r="AX430" s="146"/>
      <c r="AY430" s="150"/>
      <c r="AZ430" s="150"/>
      <c r="BA430" s="150"/>
      <c r="BB430" s="146"/>
      <c r="BC430" s="146"/>
      <c r="BD430" s="151"/>
      <c r="BE430" s="146"/>
      <c r="BF430" s="146"/>
      <c r="BH430" s="152" t="e">
        <f aca="false">_xlfn.xlookup(BG430,A:A,F:F)</f>
        <v>#NAME?</v>
      </c>
      <c r="BI430" s="153" t="e">
        <f aca="false">_xlfn.xlookup(BG430,A:A,J:J)</f>
        <v>#NAME?</v>
      </c>
      <c r="BJ430" s="153" t="e">
        <f aca="false">_xlfn.xlookup(BG430,A:A,N:N)+_xlfn.xlookup(BG430,A:A,O:O)</f>
        <v>#NAME?</v>
      </c>
      <c r="BK430" s="153" t="e">
        <f aca="false">_xlfn.xlookup(BG430,A379:A1373,AB379:AB1373)</f>
        <v>#NAME?</v>
      </c>
      <c r="BN430" s="146"/>
      <c r="BO430" s="150"/>
      <c r="BQ430" s="153" t="str">
        <f aca="false">IF(VALUE(MONTH(C430))&lt;10,YEAR(C430)&amp;"-0"&amp;MONTH(C430),YEAR(C430)&amp;"-"&amp;MONTH(C430))</f>
        <v>1900-01</v>
      </c>
      <c r="BR430" s="153" t="n">
        <f aca="false">J430</f>
        <v>0</v>
      </c>
      <c r="BS430" s="153" t="n">
        <f aca="false">IF(ISNUMBER(FIND("-", BR430)), LEFT(BR430, FIND("-", BR430) - 1), BR430)</f>
        <v>0</v>
      </c>
      <c r="BT430" s="189" t="n">
        <f aca="false">L430-M430+O430</f>
        <v>0</v>
      </c>
    </row>
    <row r="431" s="153" customFormat="true" ht="15" hidden="false" customHeight="false" outlineLevel="0" collapsed="false">
      <c r="AN431" s="153" t="e">
        <v>#NAME?</v>
      </c>
      <c r="AO431" s="153" t="e">
        <f aca="false">_xlfn.xlookup(AN431,A:A,F:F)</f>
        <v>#NAME?</v>
      </c>
      <c r="AP431" s="153" t="e">
        <f aca="false">_xlfn.xlookup(AN431,A:A,J:J)</f>
        <v>#NAME?</v>
      </c>
      <c r="AQ431" s="153" t="e">
        <f aca="false">_xlfn.xlookup(AN431,A:A,N:N)+_xlfn.xlookup(AN431,A:A,O:O)</f>
        <v>#NAME?</v>
      </c>
      <c r="AR431" s="150" t="e">
        <f aca="false">_xlfn.xlookup(AN431,A:A,AH:AH)</f>
        <v>#NAME?</v>
      </c>
      <c r="AS431" s="150" t="e">
        <f aca="false">_xlfn.xlookup(AN431,A:A,S:S)</f>
        <v>#NAME?</v>
      </c>
      <c r="AT431" s="150" t="e">
        <f aca="false">_xlfn.xlookup(AN431,A:A,AE:AE)</f>
        <v>#NAME?</v>
      </c>
      <c r="AU431" s="150" t="e">
        <f aca="false">_xlfn.xlookup(AN431,A:A,AF:AF)</f>
        <v>#NAME?</v>
      </c>
      <c r="AX431" s="146"/>
      <c r="AY431" s="150"/>
      <c r="AZ431" s="150"/>
      <c r="BA431" s="150"/>
      <c r="BB431" s="146"/>
      <c r="BC431" s="146"/>
      <c r="BD431" s="151"/>
      <c r="BE431" s="146"/>
      <c r="BF431" s="146"/>
      <c r="BH431" s="152" t="e">
        <f aca="false">_xlfn.xlookup(BG431,A:A,F:F)</f>
        <v>#NAME?</v>
      </c>
      <c r="BI431" s="153" t="e">
        <f aca="false">_xlfn.xlookup(BG431,A:A,J:J)</f>
        <v>#NAME?</v>
      </c>
      <c r="BJ431" s="153" t="e">
        <f aca="false">_xlfn.xlookup(BG431,A:A,N:N)+_xlfn.xlookup(BG431,A:A,O:O)</f>
        <v>#NAME?</v>
      </c>
      <c r="BK431" s="153" t="e">
        <f aca="false">_xlfn.xlookup(BG431,A380:A1374,AB380:AB1374)</f>
        <v>#NAME?</v>
      </c>
      <c r="BN431" s="146"/>
      <c r="BO431" s="150"/>
      <c r="BQ431" s="153" t="str">
        <f aca="false">IF(VALUE(MONTH(C431))&lt;10,YEAR(C431)&amp;"-0"&amp;MONTH(C431),YEAR(C431)&amp;"-"&amp;MONTH(C431))</f>
        <v>1900-01</v>
      </c>
      <c r="BR431" s="153" t="n">
        <f aca="false">J431</f>
        <v>0</v>
      </c>
      <c r="BS431" s="153" t="n">
        <f aca="false">IF(ISNUMBER(FIND("-", BR431)), LEFT(BR431, FIND("-", BR431) - 1), BR431)</f>
        <v>0</v>
      </c>
      <c r="BT431" s="189" t="n">
        <f aca="false">L431-M431+O431</f>
        <v>0</v>
      </c>
    </row>
    <row r="432" s="153" customFormat="true" ht="15" hidden="false" customHeight="false" outlineLevel="0" collapsed="false">
      <c r="AN432" s="153" t="e">
        <v>#NAME?</v>
      </c>
      <c r="AO432" s="153" t="e">
        <f aca="false">_xlfn.xlookup(AN432,A:A,F:F)</f>
        <v>#NAME?</v>
      </c>
      <c r="AP432" s="153" t="e">
        <f aca="false">_xlfn.xlookup(AN432,A:A,J:J)</f>
        <v>#NAME?</v>
      </c>
      <c r="AQ432" s="153" t="e">
        <f aca="false">_xlfn.xlookup(AN432,A:A,N:N)+_xlfn.xlookup(AN432,A:A,O:O)</f>
        <v>#NAME?</v>
      </c>
      <c r="AR432" s="150" t="e">
        <f aca="false">_xlfn.xlookup(AN432,A:A,AH:AH)</f>
        <v>#NAME?</v>
      </c>
      <c r="AS432" s="150" t="e">
        <f aca="false">_xlfn.xlookup(AN432,A:A,S:S)</f>
        <v>#NAME?</v>
      </c>
      <c r="AT432" s="150" t="e">
        <f aca="false">_xlfn.xlookup(AN432,A:A,AE:AE)</f>
        <v>#NAME?</v>
      </c>
      <c r="AU432" s="150" t="e">
        <f aca="false">_xlfn.xlookup(AN432,A:A,AF:AF)</f>
        <v>#NAME?</v>
      </c>
      <c r="AX432" s="146"/>
      <c r="AY432" s="150"/>
      <c r="AZ432" s="150"/>
      <c r="BA432" s="150"/>
      <c r="BB432" s="146"/>
      <c r="BC432" s="146"/>
      <c r="BD432" s="151"/>
      <c r="BE432" s="146"/>
      <c r="BF432" s="146"/>
      <c r="BH432" s="152" t="e">
        <f aca="false">_xlfn.xlookup(BG432,A:A,F:F)</f>
        <v>#NAME?</v>
      </c>
      <c r="BI432" s="153" t="e">
        <f aca="false">_xlfn.xlookup(BG432,A:A,J:J)</f>
        <v>#NAME?</v>
      </c>
      <c r="BJ432" s="153" t="e">
        <f aca="false">_xlfn.xlookup(BG432,A:A,N:N)+_xlfn.xlookup(BG432,A:A,O:O)</f>
        <v>#NAME?</v>
      </c>
      <c r="BK432" s="153" t="e">
        <f aca="false">_xlfn.xlookup(BG432,A381:A1375,AB381:AB1375)</f>
        <v>#NAME?</v>
      </c>
      <c r="BN432" s="146"/>
      <c r="BO432" s="150"/>
      <c r="BQ432" s="153" t="str">
        <f aca="false">IF(VALUE(MONTH(C432))&lt;10,YEAR(C432)&amp;"-0"&amp;MONTH(C432),YEAR(C432)&amp;"-"&amp;MONTH(C432))</f>
        <v>1900-01</v>
      </c>
      <c r="BR432" s="153" t="n">
        <f aca="false">J432</f>
        <v>0</v>
      </c>
      <c r="BS432" s="153" t="n">
        <f aca="false">IF(ISNUMBER(FIND("-", BR432)), LEFT(BR432, FIND("-", BR432) - 1), BR432)</f>
        <v>0</v>
      </c>
      <c r="BT432" s="189" t="n">
        <f aca="false">L432-M432+O432</f>
        <v>0</v>
      </c>
    </row>
    <row r="433" s="153" customFormat="true" ht="15" hidden="false" customHeight="false" outlineLevel="0" collapsed="false">
      <c r="AN433" s="153" t="e">
        <v>#NAME?</v>
      </c>
      <c r="AO433" s="153" t="e">
        <f aca="false">_xlfn.xlookup(AN433,A:A,F:F)</f>
        <v>#NAME?</v>
      </c>
      <c r="AP433" s="153" t="e">
        <f aca="false">_xlfn.xlookup(AN433,A:A,J:J)</f>
        <v>#NAME?</v>
      </c>
      <c r="AQ433" s="153" t="e">
        <f aca="false">_xlfn.xlookup(AN433,A:A,N:N)+_xlfn.xlookup(AN433,A:A,O:O)</f>
        <v>#NAME?</v>
      </c>
      <c r="AR433" s="150" t="e">
        <f aca="false">_xlfn.xlookup(AN433,A:A,AH:AH)</f>
        <v>#NAME?</v>
      </c>
      <c r="AS433" s="150" t="e">
        <f aca="false">_xlfn.xlookup(AN433,A:A,S:S)</f>
        <v>#NAME?</v>
      </c>
      <c r="AT433" s="150" t="e">
        <f aca="false">_xlfn.xlookup(AN433,A:A,AE:AE)</f>
        <v>#NAME?</v>
      </c>
      <c r="AU433" s="150" t="e">
        <f aca="false">_xlfn.xlookup(AN433,A:A,AF:AF)</f>
        <v>#NAME?</v>
      </c>
      <c r="AX433" s="146"/>
      <c r="AY433" s="150"/>
      <c r="AZ433" s="150"/>
      <c r="BA433" s="150"/>
      <c r="BB433" s="146"/>
      <c r="BC433" s="146"/>
      <c r="BD433" s="151"/>
      <c r="BE433" s="146"/>
      <c r="BF433" s="146"/>
      <c r="BH433" s="152" t="e">
        <f aca="false">_xlfn.xlookup(BG433,A:A,F:F)</f>
        <v>#NAME?</v>
      </c>
      <c r="BI433" s="153" t="e">
        <f aca="false">_xlfn.xlookup(BG433,A:A,J:J)</f>
        <v>#NAME?</v>
      </c>
      <c r="BJ433" s="153" t="e">
        <f aca="false">_xlfn.xlookup(BG433,A:A,N:N)+_xlfn.xlookup(BG433,A:A,O:O)</f>
        <v>#NAME?</v>
      </c>
      <c r="BK433" s="153" t="e">
        <f aca="false">_xlfn.xlookup(BG433,A382:A1376,AB382:AB1376)</f>
        <v>#NAME?</v>
      </c>
      <c r="BN433" s="146"/>
      <c r="BO433" s="150"/>
      <c r="BQ433" s="153" t="str">
        <f aca="false">IF(VALUE(MONTH(C433))&lt;10,YEAR(C433)&amp;"-0"&amp;MONTH(C433),YEAR(C433)&amp;"-"&amp;MONTH(C433))</f>
        <v>1900-01</v>
      </c>
      <c r="BR433" s="153" t="n">
        <f aca="false">J433</f>
        <v>0</v>
      </c>
      <c r="BS433" s="153" t="n">
        <f aca="false">IF(ISNUMBER(FIND("-", BR433)), LEFT(BR433, FIND("-", BR433) - 1), BR433)</f>
        <v>0</v>
      </c>
      <c r="BT433" s="189" t="n">
        <f aca="false">L433-M433+O433</f>
        <v>0</v>
      </c>
    </row>
    <row r="434" s="153" customFormat="true" ht="15" hidden="false" customHeight="false" outlineLevel="0" collapsed="false">
      <c r="AN434" s="153" t="e">
        <v>#NAME?</v>
      </c>
      <c r="AO434" s="153" t="e">
        <f aca="false">_xlfn.xlookup(AN434,A:A,F:F)</f>
        <v>#NAME?</v>
      </c>
      <c r="AP434" s="153" t="e">
        <f aca="false">_xlfn.xlookup(AN434,A:A,J:J)</f>
        <v>#NAME?</v>
      </c>
      <c r="AQ434" s="153" t="e">
        <f aca="false">_xlfn.xlookup(AN434,A:A,N:N)+_xlfn.xlookup(AN434,A:A,O:O)</f>
        <v>#NAME?</v>
      </c>
      <c r="AR434" s="150" t="e">
        <f aca="false">_xlfn.xlookup(AN434,A:A,AH:AH)</f>
        <v>#NAME?</v>
      </c>
      <c r="AS434" s="150" t="e">
        <f aca="false">_xlfn.xlookup(AN434,A:A,S:S)</f>
        <v>#NAME?</v>
      </c>
      <c r="AT434" s="150" t="e">
        <f aca="false">_xlfn.xlookup(AN434,A:A,AE:AE)</f>
        <v>#NAME?</v>
      </c>
      <c r="AU434" s="150" t="e">
        <f aca="false">_xlfn.xlookup(AN434,A:A,AF:AF)</f>
        <v>#NAME?</v>
      </c>
      <c r="AX434" s="146"/>
      <c r="AY434" s="150"/>
      <c r="AZ434" s="150"/>
      <c r="BA434" s="150"/>
      <c r="BB434" s="146"/>
      <c r="BC434" s="146"/>
      <c r="BD434" s="151"/>
      <c r="BE434" s="146"/>
      <c r="BF434" s="146"/>
      <c r="BH434" s="152" t="e">
        <f aca="false">_xlfn.xlookup(BG434,A:A,F:F)</f>
        <v>#NAME?</v>
      </c>
      <c r="BI434" s="153" t="e">
        <f aca="false">_xlfn.xlookup(BG434,A:A,J:J)</f>
        <v>#NAME?</v>
      </c>
      <c r="BJ434" s="153" t="e">
        <f aca="false">_xlfn.xlookup(BG434,A:A,N:N)+_xlfn.xlookup(BG434,A:A,O:O)</f>
        <v>#NAME?</v>
      </c>
      <c r="BK434" s="153" t="e">
        <f aca="false">_xlfn.xlookup(BG434,A383:A1377,AB383:AB1377)</f>
        <v>#NAME?</v>
      </c>
      <c r="BN434" s="146"/>
      <c r="BO434" s="150"/>
      <c r="BQ434" s="153" t="str">
        <f aca="false">IF(VALUE(MONTH(C434))&lt;10,YEAR(C434)&amp;"-0"&amp;MONTH(C434),YEAR(C434)&amp;"-"&amp;MONTH(C434))</f>
        <v>1900-01</v>
      </c>
      <c r="BR434" s="153" t="n">
        <f aca="false">J434</f>
        <v>0</v>
      </c>
      <c r="BS434" s="153" t="n">
        <f aca="false">IF(ISNUMBER(FIND("-", BR434)), LEFT(BR434, FIND("-", BR434) - 1), BR434)</f>
        <v>0</v>
      </c>
      <c r="BT434" s="189" t="n">
        <f aca="false">L434-M434+O434</f>
        <v>0</v>
      </c>
    </row>
    <row r="435" s="153" customFormat="true" ht="15" hidden="false" customHeight="false" outlineLevel="0" collapsed="false">
      <c r="AN435" s="153" t="e">
        <v>#NAME?</v>
      </c>
      <c r="AO435" s="153" t="e">
        <f aca="false">_xlfn.xlookup(AN435,A:A,F:F)</f>
        <v>#NAME?</v>
      </c>
      <c r="AP435" s="153" t="e">
        <f aca="false">_xlfn.xlookup(AN435,A:A,J:J)</f>
        <v>#NAME?</v>
      </c>
      <c r="AQ435" s="153" t="e">
        <f aca="false">_xlfn.xlookup(AN435,A:A,N:N)+_xlfn.xlookup(AN435,A:A,O:O)</f>
        <v>#NAME?</v>
      </c>
      <c r="AR435" s="150" t="e">
        <f aca="false">_xlfn.xlookup(AN435,A:A,AH:AH)</f>
        <v>#NAME?</v>
      </c>
      <c r="AS435" s="150" t="e">
        <f aca="false">_xlfn.xlookup(AN435,A:A,S:S)</f>
        <v>#NAME?</v>
      </c>
      <c r="AT435" s="150" t="e">
        <f aca="false">_xlfn.xlookup(AN435,A:A,AE:AE)</f>
        <v>#NAME?</v>
      </c>
      <c r="AU435" s="150" t="e">
        <f aca="false">_xlfn.xlookup(AN435,A:A,AF:AF)</f>
        <v>#NAME?</v>
      </c>
      <c r="AX435" s="146"/>
      <c r="AY435" s="150"/>
      <c r="AZ435" s="150"/>
      <c r="BA435" s="150"/>
      <c r="BB435" s="146"/>
      <c r="BC435" s="146"/>
      <c r="BD435" s="151"/>
      <c r="BE435" s="146"/>
      <c r="BF435" s="146"/>
      <c r="BH435" s="152" t="e">
        <f aca="false">_xlfn.xlookup(BG435,A:A,F:F)</f>
        <v>#NAME?</v>
      </c>
      <c r="BI435" s="153" t="e">
        <f aca="false">_xlfn.xlookup(BG435,A:A,J:J)</f>
        <v>#NAME?</v>
      </c>
      <c r="BJ435" s="153" t="e">
        <f aca="false">_xlfn.xlookup(BG435,A:A,N:N)+_xlfn.xlookup(BG435,A:A,O:O)</f>
        <v>#NAME?</v>
      </c>
      <c r="BK435" s="153" t="e">
        <f aca="false">_xlfn.xlookup(BG435,A384:A1378,AB384:AB1378)</f>
        <v>#NAME?</v>
      </c>
      <c r="BN435" s="146"/>
      <c r="BO435" s="150"/>
      <c r="BQ435" s="153" t="str">
        <f aca="false">IF(VALUE(MONTH(C435))&lt;10,YEAR(C435)&amp;"-0"&amp;MONTH(C435),YEAR(C435)&amp;"-"&amp;MONTH(C435))</f>
        <v>1900-01</v>
      </c>
      <c r="BR435" s="153" t="n">
        <f aca="false">J435</f>
        <v>0</v>
      </c>
      <c r="BS435" s="153" t="n">
        <f aca="false">IF(ISNUMBER(FIND("-", BR435)), LEFT(BR435, FIND("-", BR435) - 1), BR435)</f>
        <v>0</v>
      </c>
      <c r="BT435" s="189" t="n">
        <f aca="false">L435-M435+O435</f>
        <v>0</v>
      </c>
    </row>
    <row r="436" s="153" customFormat="true" ht="15" hidden="false" customHeight="false" outlineLevel="0" collapsed="false">
      <c r="AN436" s="153" t="e">
        <v>#NAME?</v>
      </c>
      <c r="AO436" s="153" t="e">
        <f aca="false">_xlfn.xlookup(AN436,A:A,F:F)</f>
        <v>#NAME?</v>
      </c>
      <c r="AP436" s="153" t="e">
        <f aca="false">_xlfn.xlookup(AN436,A:A,J:J)</f>
        <v>#NAME?</v>
      </c>
      <c r="AQ436" s="153" t="e">
        <f aca="false">_xlfn.xlookup(AN436,A:A,N:N)+_xlfn.xlookup(AN436,A:A,O:O)</f>
        <v>#NAME?</v>
      </c>
      <c r="AR436" s="150" t="e">
        <f aca="false">_xlfn.xlookup(AN436,A:A,AH:AH)</f>
        <v>#NAME?</v>
      </c>
      <c r="AS436" s="150" t="e">
        <f aca="false">_xlfn.xlookup(AN436,A:A,S:S)</f>
        <v>#NAME?</v>
      </c>
      <c r="AT436" s="150" t="e">
        <f aca="false">_xlfn.xlookup(AN436,A:A,AE:AE)</f>
        <v>#NAME?</v>
      </c>
      <c r="AU436" s="150" t="e">
        <f aca="false">_xlfn.xlookup(AN436,A:A,AF:AF)</f>
        <v>#NAME?</v>
      </c>
      <c r="AX436" s="146"/>
      <c r="AY436" s="150"/>
      <c r="AZ436" s="150"/>
      <c r="BA436" s="150"/>
      <c r="BB436" s="146"/>
      <c r="BC436" s="146"/>
      <c r="BD436" s="151"/>
      <c r="BE436" s="146"/>
      <c r="BF436" s="146"/>
      <c r="BH436" s="152" t="e">
        <f aca="false">_xlfn.xlookup(BG436,A:A,F:F)</f>
        <v>#NAME?</v>
      </c>
      <c r="BI436" s="153" t="e">
        <f aca="false">_xlfn.xlookup(BG436,A:A,J:J)</f>
        <v>#NAME?</v>
      </c>
      <c r="BJ436" s="153" t="e">
        <f aca="false">_xlfn.xlookup(BG436,A:A,N:N)+_xlfn.xlookup(BG436,A:A,O:O)</f>
        <v>#NAME?</v>
      </c>
      <c r="BK436" s="153" t="e">
        <f aca="false">_xlfn.xlookup(BG436,A385:A1379,AB385:AB1379)</f>
        <v>#NAME?</v>
      </c>
      <c r="BN436" s="146"/>
      <c r="BO436" s="150"/>
      <c r="BQ436" s="153" t="str">
        <f aca="false">IF(VALUE(MONTH(C436))&lt;10,YEAR(C436)&amp;"-0"&amp;MONTH(C436),YEAR(C436)&amp;"-"&amp;MONTH(C436))</f>
        <v>1900-01</v>
      </c>
      <c r="BR436" s="153" t="n">
        <f aca="false">J436</f>
        <v>0</v>
      </c>
      <c r="BS436" s="153" t="n">
        <f aca="false">IF(ISNUMBER(FIND("-", BR436)), LEFT(BR436, FIND("-", BR436) - 1), BR436)</f>
        <v>0</v>
      </c>
      <c r="BT436" s="189" t="n">
        <f aca="false">L436-M436+O436</f>
        <v>0</v>
      </c>
    </row>
    <row r="437" s="153" customFormat="true" ht="15" hidden="false" customHeight="false" outlineLevel="0" collapsed="false">
      <c r="AN437" s="153" t="e">
        <v>#NAME?</v>
      </c>
      <c r="AO437" s="153" t="e">
        <f aca="false">_xlfn.xlookup(AN437,A:A,F:F)</f>
        <v>#NAME?</v>
      </c>
      <c r="AP437" s="153" t="e">
        <f aca="false">_xlfn.xlookup(AN437,A:A,J:J)</f>
        <v>#NAME?</v>
      </c>
      <c r="AQ437" s="153" t="e">
        <f aca="false">_xlfn.xlookup(AN437,A:A,N:N)+_xlfn.xlookup(AN437,A:A,O:O)</f>
        <v>#NAME?</v>
      </c>
      <c r="AR437" s="150" t="e">
        <f aca="false">_xlfn.xlookup(AN437,A:A,AH:AH)</f>
        <v>#NAME?</v>
      </c>
      <c r="AS437" s="150" t="e">
        <f aca="false">_xlfn.xlookup(AN437,A:A,S:S)</f>
        <v>#NAME?</v>
      </c>
      <c r="AT437" s="150" t="e">
        <f aca="false">_xlfn.xlookup(AN437,A:A,AE:AE)</f>
        <v>#NAME?</v>
      </c>
      <c r="AU437" s="150" t="e">
        <f aca="false">_xlfn.xlookup(AN437,A:A,AF:AF)</f>
        <v>#NAME?</v>
      </c>
      <c r="AX437" s="146"/>
      <c r="AY437" s="150"/>
      <c r="AZ437" s="150"/>
      <c r="BA437" s="150"/>
      <c r="BB437" s="146"/>
      <c r="BC437" s="146"/>
      <c r="BD437" s="151"/>
      <c r="BE437" s="146"/>
      <c r="BF437" s="146"/>
      <c r="BH437" s="152" t="e">
        <f aca="false">_xlfn.xlookup(BG437,A:A,F:F)</f>
        <v>#NAME?</v>
      </c>
      <c r="BI437" s="153" t="e">
        <f aca="false">_xlfn.xlookup(BG437,A:A,J:J)</f>
        <v>#NAME?</v>
      </c>
      <c r="BJ437" s="153" t="e">
        <f aca="false">_xlfn.xlookup(BG437,A:A,N:N)+_xlfn.xlookup(BG437,A:A,O:O)</f>
        <v>#NAME?</v>
      </c>
      <c r="BK437" s="153" t="e">
        <f aca="false">_xlfn.xlookup(BG437,A386:A1380,AB386:AB1380)</f>
        <v>#NAME?</v>
      </c>
      <c r="BN437" s="146"/>
      <c r="BO437" s="150"/>
      <c r="BQ437" s="153" t="str">
        <f aca="false">IF(VALUE(MONTH(C437))&lt;10,YEAR(C437)&amp;"-0"&amp;MONTH(C437),YEAR(C437)&amp;"-"&amp;MONTH(C437))</f>
        <v>1900-01</v>
      </c>
      <c r="BR437" s="153" t="n">
        <f aca="false">J437</f>
        <v>0</v>
      </c>
      <c r="BS437" s="153" t="n">
        <f aca="false">IF(ISNUMBER(FIND("-", BR437)), LEFT(BR437, FIND("-", BR437) - 1), BR437)</f>
        <v>0</v>
      </c>
      <c r="BT437" s="189" t="n">
        <f aca="false">L437-M437+O437</f>
        <v>0</v>
      </c>
    </row>
    <row r="438" s="153" customFormat="true" ht="15" hidden="false" customHeight="false" outlineLevel="0" collapsed="false">
      <c r="AN438" s="153" t="e">
        <v>#NAME?</v>
      </c>
      <c r="AO438" s="153" t="e">
        <f aca="false">_xlfn.xlookup(AN438,A:A,F:F)</f>
        <v>#NAME?</v>
      </c>
      <c r="AP438" s="153" t="e">
        <f aca="false">_xlfn.xlookup(AN438,A:A,J:J)</f>
        <v>#NAME?</v>
      </c>
      <c r="AQ438" s="153" t="e">
        <f aca="false">_xlfn.xlookup(AN438,A:A,N:N)+_xlfn.xlookup(AN438,A:A,O:O)</f>
        <v>#NAME?</v>
      </c>
      <c r="AR438" s="150" t="e">
        <f aca="false">_xlfn.xlookup(AN438,A:A,AH:AH)</f>
        <v>#NAME?</v>
      </c>
      <c r="AS438" s="150" t="e">
        <f aca="false">_xlfn.xlookup(AN438,A:A,S:S)</f>
        <v>#NAME?</v>
      </c>
      <c r="AT438" s="150" t="e">
        <f aca="false">_xlfn.xlookup(AN438,A:A,AE:AE)</f>
        <v>#NAME?</v>
      </c>
      <c r="AU438" s="150" t="e">
        <f aca="false">_xlfn.xlookup(AN438,A:A,AF:AF)</f>
        <v>#NAME?</v>
      </c>
      <c r="AX438" s="146"/>
      <c r="AY438" s="150"/>
      <c r="AZ438" s="150"/>
      <c r="BA438" s="150"/>
      <c r="BB438" s="146"/>
      <c r="BC438" s="146"/>
      <c r="BD438" s="151"/>
      <c r="BE438" s="146"/>
      <c r="BF438" s="146"/>
      <c r="BH438" s="152" t="e">
        <f aca="false">_xlfn.xlookup(BG438,A:A,F:F)</f>
        <v>#NAME?</v>
      </c>
      <c r="BI438" s="153" t="e">
        <f aca="false">_xlfn.xlookup(BG438,A:A,J:J)</f>
        <v>#NAME?</v>
      </c>
      <c r="BJ438" s="153" t="e">
        <f aca="false">_xlfn.xlookup(BG438,A:A,N:N)+_xlfn.xlookup(BG438,A:A,O:O)</f>
        <v>#NAME?</v>
      </c>
      <c r="BK438" s="153" t="e">
        <f aca="false">_xlfn.xlookup(BG438,A387:A1381,AB387:AB1381)</f>
        <v>#NAME?</v>
      </c>
      <c r="BN438" s="146"/>
      <c r="BO438" s="150"/>
      <c r="BQ438" s="153" t="str">
        <f aca="false">IF(VALUE(MONTH(C438))&lt;10,YEAR(C438)&amp;"-0"&amp;MONTH(C438),YEAR(C438)&amp;"-"&amp;MONTH(C438))</f>
        <v>1900-01</v>
      </c>
      <c r="BR438" s="153" t="n">
        <f aca="false">J438</f>
        <v>0</v>
      </c>
      <c r="BS438" s="153" t="n">
        <f aca="false">IF(ISNUMBER(FIND("-", BR438)), LEFT(BR438, FIND("-", BR438) - 1), BR438)</f>
        <v>0</v>
      </c>
      <c r="BT438" s="189" t="n">
        <f aca="false">L438-M438+O438</f>
        <v>0</v>
      </c>
    </row>
    <row r="439" s="153" customFormat="true" ht="15" hidden="false" customHeight="false" outlineLevel="0" collapsed="false">
      <c r="AN439" s="153" t="e">
        <v>#NAME?</v>
      </c>
      <c r="AO439" s="153" t="e">
        <f aca="false">_xlfn.xlookup(AN439,A:A,F:F)</f>
        <v>#NAME?</v>
      </c>
      <c r="AP439" s="153" t="e">
        <f aca="false">_xlfn.xlookup(AN439,A:A,J:J)</f>
        <v>#NAME?</v>
      </c>
      <c r="AQ439" s="153" t="e">
        <f aca="false">_xlfn.xlookup(AN439,A:A,N:N)+_xlfn.xlookup(AN439,A:A,O:O)</f>
        <v>#NAME?</v>
      </c>
      <c r="AR439" s="150" t="e">
        <f aca="false">_xlfn.xlookup(AN439,A:A,AH:AH)</f>
        <v>#NAME?</v>
      </c>
      <c r="AS439" s="150" t="e">
        <f aca="false">_xlfn.xlookup(AN439,A:A,S:S)</f>
        <v>#NAME?</v>
      </c>
      <c r="AT439" s="150" t="e">
        <f aca="false">_xlfn.xlookup(AN439,A:A,AE:AE)</f>
        <v>#NAME?</v>
      </c>
      <c r="AU439" s="150" t="e">
        <f aca="false">_xlfn.xlookup(AN439,A:A,AF:AF)</f>
        <v>#NAME?</v>
      </c>
      <c r="AX439" s="146"/>
      <c r="AY439" s="150"/>
      <c r="AZ439" s="150"/>
      <c r="BA439" s="150"/>
      <c r="BB439" s="146"/>
      <c r="BC439" s="146"/>
      <c r="BD439" s="151"/>
      <c r="BE439" s="146"/>
      <c r="BF439" s="146"/>
      <c r="BH439" s="152" t="e">
        <f aca="false">_xlfn.xlookup(BG439,A:A,F:F)</f>
        <v>#NAME?</v>
      </c>
      <c r="BI439" s="153" t="e">
        <f aca="false">_xlfn.xlookup(BG439,A:A,J:J)</f>
        <v>#NAME?</v>
      </c>
      <c r="BJ439" s="153" t="e">
        <f aca="false">_xlfn.xlookup(BG439,A:A,N:N)+_xlfn.xlookup(BG439,A:A,O:O)</f>
        <v>#NAME?</v>
      </c>
      <c r="BK439" s="153" t="e">
        <f aca="false">_xlfn.xlookup(BG439,A388:A1382,AB388:AB1382)</f>
        <v>#NAME?</v>
      </c>
      <c r="BN439" s="146"/>
      <c r="BO439" s="150"/>
      <c r="BQ439" s="153" t="str">
        <f aca="false">IF(VALUE(MONTH(C439))&lt;10,YEAR(C439)&amp;"-0"&amp;MONTH(C439),YEAR(C439)&amp;"-"&amp;MONTH(C439))</f>
        <v>1900-01</v>
      </c>
      <c r="BR439" s="153" t="n">
        <f aca="false">J439</f>
        <v>0</v>
      </c>
      <c r="BS439" s="153" t="n">
        <f aca="false">IF(ISNUMBER(FIND("-", BR439)), LEFT(BR439, FIND("-", BR439) - 1), BR439)</f>
        <v>0</v>
      </c>
      <c r="BT439" s="189" t="n">
        <f aca="false">L439-M439+O439</f>
        <v>0</v>
      </c>
    </row>
    <row r="440" s="153" customFormat="true" ht="15" hidden="false" customHeight="false" outlineLevel="0" collapsed="false">
      <c r="AN440" s="153" t="e">
        <v>#NAME?</v>
      </c>
      <c r="AO440" s="153" t="e">
        <f aca="false">_xlfn.xlookup(AN440,A:A,F:F)</f>
        <v>#NAME?</v>
      </c>
      <c r="AP440" s="153" t="e">
        <f aca="false">_xlfn.xlookup(AN440,A:A,J:J)</f>
        <v>#NAME?</v>
      </c>
      <c r="AQ440" s="153" t="e">
        <f aca="false">_xlfn.xlookup(AN440,A:A,N:N)+_xlfn.xlookup(AN440,A:A,O:O)</f>
        <v>#NAME?</v>
      </c>
      <c r="AR440" s="150" t="e">
        <f aca="false">_xlfn.xlookup(AN440,A:A,AH:AH)</f>
        <v>#NAME?</v>
      </c>
      <c r="AS440" s="150" t="e">
        <f aca="false">_xlfn.xlookup(AN440,A:A,S:S)</f>
        <v>#NAME?</v>
      </c>
      <c r="AT440" s="150" t="e">
        <f aca="false">_xlfn.xlookup(AN440,A:A,AE:AE)</f>
        <v>#NAME?</v>
      </c>
      <c r="AU440" s="150" t="e">
        <f aca="false">_xlfn.xlookup(AN440,A:A,AF:AF)</f>
        <v>#NAME?</v>
      </c>
      <c r="AX440" s="146"/>
      <c r="AY440" s="150"/>
      <c r="AZ440" s="150"/>
      <c r="BA440" s="150"/>
      <c r="BB440" s="146"/>
      <c r="BC440" s="146"/>
      <c r="BD440" s="151"/>
      <c r="BE440" s="146"/>
      <c r="BF440" s="146"/>
      <c r="BH440" s="152" t="e">
        <f aca="false">_xlfn.xlookup(BG440,A:A,F:F)</f>
        <v>#NAME?</v>
      </c>
      <c r="BI440" s="153" t="e">
        <f aca="false">_xlfn.xlookup(BG440,A:A,J:J)</f>
        <v>#NAME?</v>
      </c>
      <c r="BJ440" s="153" t="e">
        <f aca="false">_xlfn.xlookup(BG440,A:A,N:N)+_xlfn.xlookup(BG440,A:A,O:O)</f>
        <v>#NAME?</v>
      </c>
      <c r="BK440" s="153" t="e">
        <f aca="false">_xlfn.xlookup(BG440,A389:A1383,AB389:AB1383)</f>
        <v>#NAME?</v>
      </c>
      <c r="BN440" s="146"/>
      <c r="BO440" s="150"/>
      <c r="BQ440" s="153" t="str">
        <f aca="false">IF(VALUE(MONTH(C440))&lt;10,YEAR(C440)&amp;"-0"&amp;MONTH(C440),YEAR(C440)&amp;"-"&amp;MONTH(C440))</f>
        <v>1900-01</v>
      </c>
      <c r="BR440" s="153" t="n">
        <f aca="false">J440</f>
        <v>0</v>
      </c>
      <c r="BS440" s="153" t="n">
        <f aca="false">IF(ISNUMBER(FIND("-", BR440)), LEFT(BR440, FIND("-", BR440) - 1), BR440)</f>
        <v>0</v>
      </c>
      <c r="BT440" s="189" t="n">
        <f aca="false">L440-M440+O440</f>
        <v>0</v>
      </c>
    </row>
    <row r="441" s="153" customFormat="true" ht="15" hidden="false" customHeight="false" outlineLevel="0" collapsed="false">
      <c r="AN441" s="153" t="e">
        <v>#NAME?</v>
      </c>
      <c r="AO441" s="153" t="e">
        <f aca="false">_xlfn.xlookup(AN441,A:A,F:F)</f>
        <v>#NAME?</v>
      </c>
      <c r="AP441" s="153" t="e">
        <f aca="false">_xlfn.xlookup(AN441,A:A,J:J)</f>
        <v>#NAME?</v>
      </c>
      <c r="AQ441" s="153" t="e">
        <f aca="false">_xlfn.xlookup(AN441,A:A,N:N)+_xlfn.xlookup(AN441,A:A,O:O)</f>
        <v>#NAME?</v>
      </c>
      <c r="AR441" s="150" t="e">
        <f aca="false">_xlfn.xlookup(AN441,A:A,AH:AH)</f>
        <v>#NAME?</v>
      </c>
      <c r="AS441" s="150" t="e">
        <f aca="false">_xlfn.xlookup(AN441,A:A,S:S)</f>
        <v>#NAME?</v>
      </c>
      <c r="AT441" s="150" t="e">
        <f aca="false">_xlfn.xlookup(AN441,A:A,AE:AE)</f>
        <v>#NAME?</v>
      </c>
      <c r="AU441" s="150" t="e">
        <f aca="false">_xlfn.xlookup(AN441,A:A,AF:AF)</f>
        <v>#NAME?</v>
      </c>
      <c r="AX441" s="146"/>
      <c r="AY441" s="150"/>
      <c r="AZ441" s="150"/>
      <c r="BA441" s="150"/>
      <c r="BB441" s="146"/>
      <c r="BC441" s="146"/>
      <c r="BD441" s="151"/>
      <c r="BE441" s="146"/>
      <c r="BF441" s="146"/>
      <c r="BH441" s="152" t="e">
        <f aca="false">_xlfn.xlookup(BG441,A:A,F:F)</f>
        <v>#NAME?</v>
      </c>
      <c r="BI441" s="153" t="e">
        <f aca="false">_xlfn.xlookup(BG441,A:A,J:J)</f>
        <v>#NAME?</v>
      </c>
      <c r="BJ441" s="153" t="e">
        <f aca="false">_xlfn.xlookup(BG441,A:A,N:N)+_xlfn.xlookup(BG441,A:A,O:O)</f>
        <v>#NAME?</v>
      </c>
      <c r="BK441" s="153" t="e">
        <f aca="false">_xlfn.xlookup(BG441,A390:A1384,AB390:AB1384)</f>
        <v>#NAME?</v>
      </c>
      <c r="BN441" s="146"/>
      <c r="BO441" s="150"/>
      <c r="BQ441" s="153" t="str">
        <f aca="false">IF(VALUE(MONTH(C441))&lt;10,YEAR(C441)&amp;"-0"&amp;MONTH(C441),YEAR(C441)&amp;"-"&amp;MONTH(C441))</f>
        <v>1900-01</v>
      </c>
      <c r="BR441" s="153" t="n">
        <f aca="false">J441</f>
        <v>0</v>
      </c>
      <c r="BS441" s="153" t="n">
        <f aca="false">IF(ISNUMBER(FIND("-", BR441)), LEFT(BR441, FIND("-", BR441) - 1), BR441)</f>
        <v>0</v>
      </c>
      <c r="BT441" s="189" t="n">
        <f aca="false">L441-M441+O441</f>
        <v>0</v>
      </c>
    </row>
    <row r="442" s="153" customFormat="true" ht="15" hidden="false" customHeight="false" outlineLevel="0" collapsed="false">
      <c r="AN442" s="153" t="e">
        <v>#NAME?</v>
      </c>
      <c r="AO442" s="153" t="e">
        <f aca="false">_xlfn.xlookup(AN442,A:A,F:F)</f>
        <v>#NAME?</v>
      </c>
      <c r="AP442" s="153" t="e">
        <f aca="false">_xlfn.xlookup(AN442,A:A,J:J)</f>
        <v>#NAME?</v>
      </c>
      <c r="AQ442" s="153" t="e">
        <f aca="false">_xlfn.xlookup(AN442,A:A,N:N)+_xlfn.xlookup(AN442,A:A,O:O)</f>
        <v>#NAME?</v>
      </c>
      <c r="AR442" s="150" t="e">
        <f aca="false">_xlfn.xlookup(AN442,A:A,AH:AH)</f>
        <v>#NAME?</v>
      </c>
      <c r="AS442" s="150" t="e">
        <f aca="false">_xlfn.xlookup(AN442,A:A,S:S)</f>
        <v>#NAME?</v>
      </c>
      <c r="AT442" s="150" t="e">
        <f aca="false">_xlfn.xlookup(AN442,A:A,AE:AE)</f>
        <v>#NAME?</v>
      </c>
      <c r="AU442" s="150" t="e">
        <f aca="false">_xlfn.xlookup(AN442,A:A,AF:AF)</f>
        <v>#NAME?</v>
      </c>
      <c r="AX442" s="146"/>
      <c r="AY442" s="150"/>
      <c r="AZ442" s="150"/>
      <c r="BA442" s="150"/>
      <c r="BB442" s="146"/>
      <c r="BC442" s="146"/>
      <c r="BD442" s="151"/>
      <c r="BE442" s="146"/>
      <c r="BF442" s="146"/>
      <c r="BH442" s="152" t="e">
        <f aca="false">_xlfn.xlookup(BG442,A:A,F:F)</f>
        <v>#NAME?</v>
      </c>
      <c r="BI442" s="153" t="e">
        <f aca="false">_xlfn.xlookup(BG442,A:A,J:J)</f>
        <v>#NAME?</v>
      </c>
      <c r="BJ442" s="153" t="e">
        <f aca="false">_xlfn.xlookup(BG442,A:A,N:N)+_xlfn.xlookup(BG442,A:A,O:O)</f>
        <v>#NAME?</v>
      </c>
      <c r="BK442" s="153" t="e">
        <f aca="false">_xlfn.xlookup(BG442,A391:A1385,AB391:AB1385)</f>
        <v>#NAME?</v>
      </c>
      <c r="BN442" s="146"/>
      <c r="BO442" s="150"/>
      <c r="BQ442" s="153" t="str">
        <f aca="false">IF(VALUE(MONTH(C442))&lt;10,YEAR(C442)&amp;"-0"&amp;MONTH(C442),YEAR(C442)&amp;"-"&amp;MONTH(C442))</f>
        <v>1900-01</v>
      </c>
      <c r="BR442" s="153" t="n">
        <f aca="false">J442</f>
        <v>0</v>
      </c>
      <c r="BS442" s="153" t="n">
        <f aca="false">IF(ISNUMBER(FIND("-", BR442)), LEFT(BR442, FIND("-", BR442) - 1), BR442)</f>
        <v>0</v>
      </c>
      <c r="BT442" s="189" t="n">
        <f aca="false">L442-M442+O442</f>
        <v>0</v>
      </c>
    </row>
    <row r="443" s="153" customFormat="true" ht="15" hidden="false" customHeight="false" outlineLevel="0" collapsed="false">
      <c r="AN443" s="153" t="e">
        <v>#NAME?</v>
      </c>
      <c r="AO443" s="153" t="e">
        <f aca="false">_xlfn.xlookup(AN443,A:A,F:F)</f>
        <v>#NAME?</v>
      </c>
      <c r="AP443" s="153" t="e">
        <f aca="false">_xlfn.xlookup(AN443,A:A,J:J)</f>
        <v>#NAME?</v>
      </c>
      <c r="AQ443" s="153" t="e">
        <f aca="false">_xlfn.xlookup(AN443,A:A,N:N)+_xlfn.xlookup(AN443,A:A,O:O)</f>
        <v>#NAME?</v>
      </c>
      <c r="AR443" s="150" t="e">
        <f aca="false">_xlfn.xlookup(AN443,A:A,AH:AH)</f>
        <v>#NAME?</v>
      </c>
      <c r="AS443" s="150" t="e">
        <f aca="false">_xlfn.xlookup(AN443,A:A,S:S)</f>
        <v>#NAME?</v>
      </c>
      <c r="AT443" s="150" t="e">
        <f aca="false">_xlfn.xlookup(AN443,A:A,AE:AE)</f>
        <v>#NAME?</v>
      </c>
      <c r="AU443" s="150" t="e">
        <f aca="false">_xlfn.xlookup(AN443,A:A,AF:AF)</f>
        <v>#NAME?</v>
      </c>
      <c r="AX443" s="146"/>
      <c r="AY443" s="150"/>
      <c r="AZ443" s="150"/>
      <c r="BA443" s="150"/>
      <c r="BB443" s="146"/>
      <c r="BC443" s="146"/>
      <c r="BD443" s="151"/>
      <c r="BE443" s="146"/>
      <c r="BF443" s="146"/>
      <c r="BH443" s="152" t="e">
        <f aca="false">_xlfn.xlookup(BG443,A:A,F:F)</f>
        <v>#NAME?</v>
      </c>
      <c r="BI443" s="153" t="e">
        <f aca="false">_xlfn.xlookup(BG443,A:A,J:J)</f>
        <v>#NAME?</v>
      </c>
      <c r="BJ443" s="153" t="e">
        <f aca="false">_xlfn.xlookup(BG443,A:A,N:N)+_xlfn.xlookup(BG443,A:A,O:O)</f>
        <v>#NAME?</v>
      </c>
      <c r="BK443" s="153" t="e">
        <f aca="false">_xlfn.xlookup(BG443,A392:A1386,AB392:AB1386)</f>
        <v>#NAME?</v>
      </c>
      <c r="BN443" s="146"/>
      <c r="BO443" s="150"/>
      <c r="BQ443" s="153" t="str">
        <f aca="false">IF(VALUE(MONTH(C443))&lt;10,YEAR(C443)&amp;"-0"&amp;MONTH(C443),YEAR(C443)&amp;"-"&amp;MONTH(C443))</f>
        <v>1900-01</v>
      </c>
      <c r="BR443" s="153" t="n">
        <f aca="false">J443</f>
        <v>0</v>
      </c>
      <c r="BS443" s="153" t="n">
        <f aca="false">IF(ISNUMBER(FIND("-", BR443)), LEFT(BR443, FIND("-", BR443) - 1), BR443)</f>
        <v>0</v>
      </c>
      <c r="BT443" s="189" t="n">
        <f aca="false">L443-M443+O443</f>
        <v>0</v>
      </c>
    </row>
    <row r="444" s="153" customFormat="true" ht="15" hidden="false" customHeight="false" outlineLevel="0" collapsed="false">
      <c r="AN444" s="153" t="e">
        <v>#NAME?</v>
      </c>
      <c r="AO444" s="153" t="e">
        <f aca="false">_xlfn.xlookup(AN444,A:A,F:F)</f>
        <v>#NAME?</v>
      </c>
      <c r="AP444" s="153" t="e">
        <f aca="false">_xlfn.xlookup(AN444,A:A,J:J)</f>
        <v>#NAME?</v>
      </c>
      <c r="AQ444" s="153" t="e">
        <f aca="false">_xlfn.xlookup(AN444,A:A,N:N)+_xlfn.xlookup(AN444,A:A,O:O)</f>
        <v>#NAME?</v>
      </c>
      <c r="AR444" s="150" t="e">
        <f aca="false">_xlfn.xlookup(AN444,A:A,AH:AH)</f>
        <v>#NAME?</v>
      </c>
      <c r="AS444" s="150" t="e">
        <f aca="false">_xlfn.xlookup(AN444,A:A,S:S)</f>
        <v>#NAME?</v>
      </c>
      <c r="AT444" s="150" t="e">
        <f aca="false">_xlfn.xlookup(AN444,A:A,AE:AE)</f>
        <v>#NAME?</v>
      </c>
      <c r="AU444" s="150" t="e">
        <f aca="false">_xlfn.xlookup(AN444,A:A,AF:AF)</f>
        <v>#NAME?</v>
      </c>
      <c r="AX444" s="146"/>
      <c r="AY444" s="150"/>
      <c r="AZ444" s="150"/>
      <c r="BA444" s="150"/>
      <c r="BB444" s="146"/>
      <c r="BC444" s="146"/>
      <c r="BD444" s="151"/>
      <c r="BE444" s="146"/>
      <c r="BF444" s="146"/>
      <c r="BH444" s="152" t="e">
        <f aca="false">_xlfn.xlookup(BG444,A:A,F:F)</f>
        <v>#NAME?</v>
      </c>
      <c r="BI444" s="153" t="e">
        <f aca="false">_xlfn.xlookup(BG444,A:A,J:J)</f>
        <v>#NAME?</v>
      </c>
      <c r="BJ444" s="153" t="e">
        <f aca="false">_xlfn.xlookup(BG444,A:A,N:N)+_xlfn.xlookup(BG444,A:A,O:O)</f>
        <v>#NAME?</v>
      </c>
      <c r="BK444" s="153" t="e">
        <f aca="false">_xlfn.xlookup(BG444,A393:A1387,AB393:AB1387)</f>
        <v>#NAME?</v>
      </c>
      <c r="BN444" s="146"/>
      <c r="BO444" s="150"/>
      <c r="BQ444" s="153" t="str">
        <f aca="false">IF(VALUE(MONTH(C444))&lt;10,YEAR(C444)&amp;"-0"&amp;MONTH(C444),YEAR(C444)&amp;"-"&amp;MONTH(C444))</f>
        <v>1900-01</v>
      </c>
      <c r="BR444" s="153" t="n">
        <f aca="false">J444</f>
        <v>0</v>
      </c>
      <c r="BS444" s="153" t="n">
        <f aca="false">IF(ISNUMBER(FIND("-", BR444)), LEFT(BR444, FIND("-", BR444) - 1), BR444)</f>
        <v>0</v>
      </c>
      <c r="BT444" s="189" t="n">
        <f aca="false">L444-M444+O444</f>
        <v>0</v>
      </c>
    </row>
    <row r="445" s="153" customFormat="true" ht="15" hidden="false" customHeight="false" outlineLevel="0" collapsed="false">
      <c r="AN445" s="153" t="e">
        <v>#NAME?</v>
      </c>
      <c r="AO445" s="153" t="e">
        <f aca="false">_xlfn.xlookup(AN445,A:A,F:F)</f>
        <v>#NAME?</v>
      </c>
      <c r="AP445" s="153" t="e">
        <f aca="false">_xlfn.xlookup(AN445,A:A,J:J)</f>
        <v>#NAME?</v>
      </c>
      <c r="AQ445" s="153" t="e">
        <f aca="false">_xlfn.xlookup(AN445,A:A,N:N)+_xlfn.xlookup(AN445,A:A,O:O)</f>
        <v>#NAME?</v>
      </c>
      <c r="AR445" s="150" t="e">
        <f aca="false">_xlfn.xlookup(AN445,A:A,AH:AH)</f>
        <v>#NAME?</v>
      </c>
      <c r="AS445" s="150" t="e">
        <f aca="false">_xlfn.xlookup(AN445,A:A,S:S)</f>
        <v>#NAME?</v>
      </c>
      <c r="AT445" s="150" t="e">
        <f aca="false">_xlfn.xlookup(AN445,A:A,AE:AE)</f>
        <v>#NAME?</v>
      </c>
      <c r="AU445" s="150" t="e">
        <f aca="false">_xlfn.xlookup(AN445,A:A,AF:AF)</f>
        <v>#NAME?</v>
      </c>
      <c r="AX445" s="146"/>
      <c r="AY445" s="150"/>
      <c r="AZ445" s="150"/>
      <c r="BA445" s="150"/>
      <c r="BB445" s="146"/>
      <c r="BC445" s="146"/>
      <c r="BD445" s="151"/>
      <c r="BE445" s="146"/>
      <c r="BF445" s="146"/>
      <c r="BH445" s="152" t="e">
        <f aca="false">_xlfn.xlookup(BG445,A:A,F:F)</f>
        <v>#NAME?</v>
      </c>
      <c r="BI445" s="153" t="e">
        <f aca="false">_xlfn.xlookup(BG445,A:A,J:J)</f>
        <v>#NAME?</v>
      </c>
      <c r="BJ445" s="153" t="e">
        <f aca="false">_xlfn.xlookup(BG445,A:A,N:N)+_xlfn.xlookup(BG445,A:A,O:O)</f>
        <v>#NAME?</v>
      </c>
      <c r="BK445" s="153" t="e">
        <f aca="false">_xlfn.xlookup(BG445,A394:A1388,AB394:AB1388)</f>
        <v>#NAME?</v>
      </c>
      <c r="BN445" s="146"/>
      <c r="BO445" s="150"/>
      <c r="BQ445" s="153" t="str">
        <f aca="false">IF(VALUE(MONTH(C445))&lt;10,YEAR(C445)&amp;"-0"&amp;MONTH(C445),YEAR(C445)&amp;"-"&amp;MONTH(C445))</f>
        <v>1900-01</v>
      </c>
      <c r="BR445" s="153" t="n">
        <f aca="false">J445</f>
        <v>0</v>
      </c>
      <c r="BS445" s="153" t="n">
        <f aca="false">IF(ISNUMBER(FIND("-", BR445)), LEFT(BR445, FIND("-", BR445) - 1), BR445)</f>
        <v>0</v>
      </c>
      <c r="BT445" s="189" t="n">
        <f aca="false">L445-M445+O445</f>
        <v>0</v>
      </c>
    </row>
    <row r="446" s="153" customFormat="true" ht="15" hidden="false" customHeight="false" outlineLevel="0" collapsed="false">
      <c r="AN446" s="153" t="e">
        <v>#NAME?</v>
      </c>
      <c r="AO446" s="153" t="e">
        <f aca="false">_xlfn.xlookup(AN446,A:A,F:F)</f>
        <v>#NAME?</v>
      </c>
      <c r="AP446" s="153" t="e">
        <f aca="false">_xlfn.xlookup(AN446,A:A,J:J)</f>
        <v>#NAME?</v>
      </c>
      <c r="AQ446" s="153" t="e">
        <f aca="false">_xlfn.xlookup(AN446,A:A,N:N)+_xlfn.xlookup(AN446,A:A,O:O)</f>
        <v>#NAME?</v>
      </c>
      <c r="AR446" s="150" t="e">
        <f aca="false">_xlfn.xlookup(AN446,A:A,AH:AH)</f>
        <v>#NAME?</v>
      </c>
      <c r="AS446" s="150" t="e">
        <f aca="false">_xlfn.xlookup(AN446,A:A,S:S)</f>
        <v>#NAME?</v>
      </c>
      <c r="AT446" s="150" t="e">
        <f aca="false">_xlfn.xlookup(AN446,A:A,AE:AE)</f>
        <v>#NAME?</v>
      </c>
      <c r="AU446" s="150" t="e">
        <f aca="false">_xlfn.xlookup(AN446,A:A,AF:AF)</f>
        <v>#NAME?</v>
      </c>
      <c r="AX446" s="146"/>
      <c r="AY446" s="150"/>
      <c r="AZ446" s="150"/>
      <c r="BA446" s="150"/>
      <c r="BB446" s="146"/>
      <c r="BC446" s="146"/>
      <c r="BD446" s="151"/>
      <c r="BE446" s="146"/>
      <c r="BF446" s="146"/>
      <c r="BH446" s="152" t="e">
        <f aca="false">_xlfn.xlookup(BG446,A:A,F:F)</f>
        <v>#NAME?</v>
      </c>
      <c r="BI446" s="153" t="e">
        <f aca="false">_xlfn.xlookup(BG446,A:A,J:J)</f>
        <v>#NAME?</v>
      </c>
      <c r="BJ446" s="153" t="e">
        <f aca="false">_xlfn.xlookup(BG446,A:A,N:N)+_xlfn.xlookup(BG446,A:A,O:O)</f>
        <v>#NAME?</v>
      </c>
      <c r="BK446" s="153" t="e">
        <f aca="false">_xlfn.xlookup(BG446,A395:A1389,AB395:AB1389)</f>
        <v>#NAME?</v>
      </c>
      <c r="BN446" s="146"/>
      <c r="BO446" s="150"/>
      <c r="BQ446" s="153" t="str">
        <f aca="false">IF(VALUE(MONTH(C446))&lt;10,YEAR(C446)&amp;"-0"&amp;MONTH(C446),YEAR(C446)&amp;"-"&amp;MONTH(C446))</f>
        <v>1900-01</v>
      </c>
      <c r="BR446" s="153" t="n">
        <f aca="false">J446</f>
        <v>0</v>
      </c>
      <c r="BS446" s="153" t="n">
        <f aca="false">IF(ISNUMBER(FIND("-", BR446)), LEFT(BR446, FIND("-", BR446) - 1), BR446)</f>
        <v>0</v>
      </c>
      <c r="BT446" s="189" t="n">
        <f aca="false">L446-M446+O446</f>
        <v>0</v>
      </c>
    </row>
    <row r="447" s="153" customFormat="true" ht="15" hidden="false" customHeight="false" outlineLevel="0" collapsed="false">
      <c r="AN447" s="153" t="e">
        <v>#NAME?</v>
      </c>
      <c r="AO447" s="153" t="e">
        <f aca="false">_xlfn.xlookup(AN447,A:A,F:F)</f>
        <v>#NAME?</v>
      </c>
      <c r="AP447" s="153" t="e">
        <f aca="false">_xlfn.xlookup(AN447,A:A,J:J)</f>
        <v>#NAME?</v>
      </c>
      <c r="AQ447" s="153" t="e">
        <f aca="false">_xlfn.xlookup(AN447,A:A,N:N)+_xlfn.xlookup(AN447,A:A,O:O)</f>
        <v>#NAME?</v>
      </c>
      <c r="AR447" s="150" t="e">
        <f aca="false">_xlfn.xlookup(AN447,A:A,AH:AH)</f>
        <v>#NAME?</v>
      </c>
      <c r="AS447" s="150" t="e">
        <f aca="false">_xlfn.xlookup(AN447,A:A,S:S)</f>
        <v>#NAME?</v>
      </c>
      <c r="AT447" s="150" t="e">
        <f aca="false">_xlfn.xlookup(AN447,A:A,AE:AE)</f>
        <v>#NAME?</v>
      </c>
      <c r="AU447" s="150" t="e">
        <f aca="false">_xlfn.xlookup(AN447,A:A,AF:AF)</f>
        <v>#NAME?</v>
      </c>
      <c r="AX447" s="146"/>
      <c r="AY447" s="150"/>
      <c r="AZ447" s="150"/>
      <c r="BA447" s="150"/>
      <c r="BB447" s="146"/>
      <c r="BC447" s="146"/>
      <c r="BD447" s="151"/>
      <c r="BE447" s="146"/>
      <c r="BF447" s="146"/>
      <c r="BH447" s="152" t="e">
        <f aca="false">_xlfn.xlookup(BG447,A:A,F:F)</f>
        <v>#NAME?</v>
      </c>
      <c r="BI447" s="153" t="e">
        <f aca="false">_xlfn.xlookup(BG447,A:A,J:J)</f>
        <v>#NAME?</v>
      </c>
      <c r="BJ447" s="153" t="e">
        <f aca="false">_xlfn.xlookup(BG447,A:A,N:N)+_xlfn.xlookup(BG447,A:A,O:O)</f>
        <v>#NAME?</v>
      </c>
      <c r="BK447" s="153" t="e">
        <f aca="false">_xlfn.xlookup(BG447,A396:A1390,AB396:AB1390)</f>
        <v>#NAME?</v>
      </c>
      <c r="BN447" s="146"/>
      <c r="BO447" s="150"/>
      <c r="BQ447" s="153" t="str">
        <f aca="false">IF(VALUE(MONTH(C447))&lt;10,YEAR(C447)&amp;"-0"&amp;MONTH(C447),YEAR(C447)&amp;"-"&amp;MONTH(C447))</f>
        <v>1900-01</v>
      </c>
      <c r="BR447" s="153" t="n">
        <f aca="false">J447</f>
        <v>0</v>
      </c>
      <c r="BS447" s="153" t="n">
        <f aca="false">IF(ISNUMBER(FIND("-", BR447)), LEFT(BR447, FIND("-", BR447) - 1), BR447)</f>
        <v>0</v>
      </c>
      <c r="BT447" s="189" t="n">
        <f aca="false">L447-M447+O447</f>
        <v>0</v>
      </c>
    </row>
    <row r="448" s="153" customFormat="true" ht="15" hidden="false" customHeight="false" outlineLevel="0" collapsed="false">
      <c r="AN448" s="153" t="e">
        <v>#NAME?</v>
      </c>
      <c r="AO448" s="153" t="e">
        <f aca="false">_xlfn.xlookup(AN448,A:A,F:F)</f>
        <v>#NAME?</v>
      </c>
      <c r="AP448" s="153" t="e">
        <f aca="false">_xlfn.xlookup(AN448,A:A,J:J)</f>
        <v>#NAME?</v>
      </c>
      <c r="AQ448" s="153" t="e">
        <f aca="false">_xlfn.xlookup(AN448,A:A,N:N)+_xlfn.xlookup(AN448,A:A,O:O)</f>
        <v>#NAME?</v>
      </c>
      <c r="AR448" s="150" t="e">
        <f aca="false">_xlfn.xlookup(AN448,A:A,AH:AH)</f>
        <v>#NAME?</v>
      </c>
      <c r="AS448" s="150" t="e">
        <f aca="false">_xlfn.xlookup(AN448,A:A,S:S)</f>
        <v>#NAME?</v>
      </c>
      <c r="AT448" s="150" t="e">
        <f aca="false">_xlfn.xlookup(AN448,A:A,AE:AE)</f>
        <v>#NAME?</v>
      </c>
      <c r="AU448" s="150" t="e">
        <f aca="false">_xlfn.xlookup(AN448,A:A,AF:AF)</f>
        <v>#NAME?</v>
      </c>
      <c r="AX448" s="146"/>
      <c r="AY448" s="150"/>
      <c r="AZ448" s="150"/>
      <c r="BA448" s="150"/>
      <c r="BB448" s="146"/>
      <c r="BC448" s="146"/>
      <c r="BD448" s="151"/>
      <c r="BE448" s="146"/>
      <c r="BF448" s="146"/>
      <c r="BH448" s="152" t="e">
        <f aca="false">_xlfn.xlookup(BG448,A:A,F:F)</f>
        <v>#NAME?</v>
      </c>
      <c r="BI448" s="153" t="e">
        <f aca="false">_xlfn.xlookup(BG448,A:A,J:J)</f>
        <v>#NAME?</v>
      </c>
      <c r="BJ448" s="153" t="e">
        <f aca="false">_xlfn.xlookup(BG448,A:A,N:N)+_xlfn.xlookup(BG448,A:A,O:O)</f>
        <v>#NAME?</v>
      </c>
      <c r="BK448" s="153" t="e">
        <f aca="false">_xlfn.xlookup(BG448,A397:A1391,AB397:AB1391)</f>
        <v>#NAME?</v>
      </c>
      <c r="BN448" s="146"/>
      <c r="BO448" s="150"/>
      <c r="BQ448" s="153" t="str">
        <f aca="false">IF(VALUE(MONTH(C448))&lt;10,YEAR(C448)&amp;"-0"&amp;MONTH(C448),YEAR(C448)&amp;"-"&amp;MONTH(C448))</f>
        <v>1900-01</v>
      </c>
      <c r="BR448" s="153" t="n">
        <f aca="false">J448</f>
        <v>0</v>
      </c>
      <c r="BS448" s="153" t="n">
        <f aca="false">IF(ISNUMBER(FIND("-", BR448)), LEFT(BR448, FIND("-", BR448) - 1), BR448)</f>
        <v>0</v>
      </c>
      <c r="BT448" s="189" t="n">
        <f aca="false">L448-M448+O448</f>
        <v>0</v>
      </c>
    </row>
    <row r="449" s="153" customFormat="true" ht="15" hidden="false" customHeight="false" outlineLevel="0" collapsed="false">
      <c r="AN449" s="153" t="e">
        <v>#NAME?</v>
      </c>
      <c r="AO449" s="153" t="e">
        <f aca="false">_xlfn.xlookup(AN449,A:A,F:F)</f>
        <v>#NAME?</v>
      </c>
      <c r="AP449" s="153" t="e">
        <f aca="false">_xlfn.xlookup(AN449,A:A,J:J)</f>
        <v>#NAME?</v>
      </c>
      <c r="AQ449" s="153" t="e">
        <f aca="false">_xlfn.xlookup(AN449,A:A,N:N)+_xlfn.xlookup(AN449,A:A,O:O)</f>
        <v>#NAME?</v>
      </c>
      <c r="AR449" s="150" t="e">
        <f aca="false">_xlfn.xlookup(AN449,A:A,AH:AH)</f>
        <v>#NAME?</v>
      </c>
      <c r="AS449" s="150" t="e">
        <f aca="false">_xlfn.xlookup(AN449,A:A,S:S)</f>
        <v>#NAME?</v>
      </c>
      <c r="AT449" s="150" t="e">
        <f aca="false">_xlfn.xlookup(AN449,A:A,AE:AE)</f>
        <v>#NAME?</v>
      </c>
      <c r="AU449" s="150" t="e">
        <f aca="false">_xlfn.xlookup(AN449,A:A,AF:AF)</f>
        <v>#NAME?</v>
      </c>
      <c r="AX449" s="146"/>
      <c r="AY449" s="150"/>
      <c r="AZ449" s="150"/>
      <c r="BA449" s="150"/>
      <c r="BB449" s="146"/>
      <c r="BC449" s="146"/>
      <c r="BD449" s="151"/>
      <c r="BE449" s="146"/>
      <c r="BF449" s="146"/>
      <c r="BH449" s="152" t="e">
        <f aca="false">_xlfn.xlookup(BG449,A:A,F:F)</f>
        <v>#NAME?</v>
      </c>
      <c r="BI449" s="153" t="e">
        <f aca="false">_xlfn.xlookup(BG449,A:A,J:J)</f>
        <v>#NAME?</v>
      </c>
      <c r="BJ449" s="153" t="e">
        <f aca="false">_xlfn.xlookup(BG449,A:A,N:N)+_xlfn.xlookup(BG449,A:A,O:O)</f>
        <v>#NAME?</v>
      </c>
      <c r="BK449" s="153" t="e">
        <f aca="false">_xlfn.xlookup(BG449,A398:A1392,AB398:AB1392)</f>
        <v>#NAME?</v>
      </c>
      <c r="BN449" s="146"/>
      <c r="BO449" s="150"/>
      <c r="BQ449" s="153" t="str">
        <f aca="false">IF(VALUE(MONTH(C449))&lt;10,YEAR(C449)&amp;"-0"&amp;MONTH(C449),YEAR(C449)&amp;"-"&amp;MONTH(C449))</f>
        <v>1900-01</v>
      </c>
      <c r="BR449" s="153" t="n">
        <f aca="false">J449</f>
        <v>0</v>
      </c>
      <c r="BS449" s="153" t="n">
        <f aca="false">IF(ISNUMBER(FIND("-", BR449)), LEFT(BR449, FIND("-", BR449) - 1), BR449)</f>
        <v>0</v>
      </c>
      <c r="BT449" s="189" t="n">
        <f aca="false">L449-M449+O449</f>
        <v>0</v>
      </c>
    </row>
    <row r="450" s="153" customFormat="true" ht="15" hidden="false" customHeight="false" outlineLevel="0" collapsed="false">
      <c r="AN450" s="153" t="e">
        <v>#NAME?</v>
      </c>
      <c r="AO450" s="153" t="e">
        <f aca="false">_xlfn.xlookup(AN450,A:A,F:F)</f>
        <v>#NAME?</v>
      </c>
      <c r="AP450" s="153" t="e">
        <f aca="false">_xlfn.xlookup(AN450,A:A,J:J)</f>
        <v>#NAME?</v>
      </c>
      <c r="AQ450" s="153" t="e">
        <f aca="false">_xlfn.xlookup(AN450,A:A,N:N)+_xlfn.xlookup(AN450,A:A,O:O)</f>
        <v>#NAME?</v>
      </c>
      <c r="AR450" s="150" t="e">
        <f aca="false">_xlfn.xlookup(AN450,A:A,AH:AH)</f>
        <v>#NAME?</v>
      </c>
      <c r="AS450" s="150" t="e">
        <f aca="false">_xlfn.xlookup(AN450,A:A,S:S)</f>
        <v>#NAME?</v>
      </c>
      <c r="AT450" s="150" t="e">
        <f aca="false">_xlfn.xlookup(AN450,A:A,AE:AE)</f>
        <v>#NAME?</v>
      </c>
      <c r="AU450" s="150" t="e">
        <f aca="false">_xlfn.xlookup(AN450,A:A,AF:AF)</f>
        <v>#NAME?</v>
      </c>
      <c r="AX450" s="146"/>
      <c r="AY450" s="150"/>
      <c r="AZ450" s="150"/>
      <c r="BA450" s="150"/>
      <c r="BB450" s="146"/>
      <c r="BC450" s="146"/>
      <c r="BD450" s="151"/>
      <c r="BE450" s="146"/>
      <c r="BF450" s="146"/>
      <c r="BH450" s="152" t="e">
        <f aca="false">_xlfn.xlookup(BG450,A:A,F:F)</f>
        <v>#NAME?</v>
      </c>
      <c r="BI450" s="153" t="e">
        <f aca="false">_xlfn.xlookup(BG450,A:A,J:J)</f>
        <v>#NAME?</v>
      </c>
      <c r="BJ450" s="153" t="e">
        <f aca="false">_xlfn.xlookup(BG450,A:A,N:N)+_xlfn.xlookup(BG450,A:A,O:O)</f>
        <v>#NAME?</v>
      </c>
      <c r="BK450" s="153" t="e">
        <f aca="false">_xlfn.xlookup(BG450,A399:A1393,AB399:AB1393)</f>
        <v>#NAME?</v>
      </c>
      <c r="BN450" s="146"/>
      <c r="BO450" s="150"/>
      <c r="BQ450" s="153" t="str">
        <f aca="false">IF(VALUE(MONTH(C450))&lt;10,YEAR(C450)&amp;"-0"&amp;MONTH(C450),YEAR(C450)&amp;"-"&amp;MONTH(C450))</f>
        <v>1900-01</v>
      </c>
      <c r="BR450" s="153" t="n">
        <f aca="false">J450</f>
        <v>0</v>
      </c>
      <c r="BS450" s="153" t="n">
        <f aca="false">IF(ISNUMBER(FIND("-", BR450)), LEFT(BR450, FIND("-", BR450) - 1), BR450)</f>
        <v>0</v>
      </c>
      <c r="BT450" s="189" t="n">
        <f aca="false">L450-M450+O450</f>
        <v>0</v>
      </c>
    </row>
    <row r="451" s="153" customFormat="true" ht="15" hidden="false" customHeight="false" outlineLevel="0" collapsed="false">
      <c r="AN451" s="153" t="e">
        <v>#NAME?</v>
      </c>
      <c r="AO451" s="153" t="e">
        <f aca="false">_xlfn.xlookup(AN451,A:A,F:F)</f>
        <v>#NAME?</v>
      </c>
      <c r="AP451" s="153" t="e">
        <f aca="false">_xlfn.xlookup(AN451,A:A,J:J)</f>
        <v>#NAME?</v>
      </c>
      <c r="AQ451" s="153" t="e">
        <f aca="false">_xlfn.xlookup(AN451,A:A,N:N)+_xlfn.xlookup(AN451,A:A,O:O)</f>
        <v>#NAME?</v>
      </c>
      <c r="AR451" s="150" t="e">
        <f aca="false">_xlfn.xlookup(AN451,A:A,AH:AH)</f>
        <v>#NAME?</v>
      </c>
      <c r="AS451" s="150" t="e">
        <f aca="false">_xlfn.xlookup(AN451,A:A,S:S)</f>
        <v>#NAME?</v>
      </c>
      <c r="AT451" s="150" t="e">
        <f aca="false">_xlfn.xlookup(AN451,A:A,AE:AE)</f>
        <v>#NAME?</v>
      </c>
      <c r="AU451" s="150" t="e">
        <f aca="false">_xlfn.xlookup(AN451,A:A,AF:AF)</f>
        <v>#NAME?</v>
      </c>
      <c r="AX451" s="146"/>
      <c r="AY451" s="150"/>
      <c r="AZ451" s="150"/>
      <c r="BA451" s="150"/>
      <c r="BB451" s="146"/>
      <c r="BC451" s="146"/>
      <c r="BD451" s="151"/>
      <c r="BE451" s="146"/>
      <c r="BF451" s="146"/>
      <c r="BH451" s="152" t="e">
        <f aca="false">_xlfn.xlookup(BG451,A:A,F:F)</f>
        <v>#NAME?</v>
      </c>
      <c r="BI451" s="153" t="e">
        <f aca="false">_xlfn.xlookup(BG451,A:A,J:J)</f>
        <v>#NAME?</v>
      </c>
      <c r="BJ451" s="153" t="e">
        <f aca="false">_xlfn.xlookup(BG451,A:A,N:N)+_xlfn.xlookup(BG451,A:A,O:O)</f>
        <v>#NAME?</v>
      </c>
      <c r="BK451" s="153" t="e">
        <f aca="false">_xlfn.xlookup(BG451,A400:A1394,AB400:AB1394)</f>
        <v>#NAME?</v>
      </c>
      <c r="BN451" s="146"/>
      <c r="BO451" s="150"/>
      <c r="BQ451" s="153" t="str">
        <f aca="false">IF(VALUE(MONTH(C451))&lt;10,YEAR(C451)&amp;"-0"&amp;MONTH(C451),YEAR(C451)&amp;"-"&amp;MONTH(C451))</f>
        <v>1900-01</v>
      </c>
      <c r="BR451" s="153" t="n">
        <f aca="false">J451</f>
        <v>0</v>
      </c>
      <c r="BS451" s="153" t="n">
        <f aca="false">IF(ISNUMBER(FIND("-", BR451)), LEFT(BR451, FIND("-", BR451) - 1), BR451)</f>
        <v>0</v>
      </c>
      <c r="BT451" s="189" t="n">
        <f aca="false">L451-M451+O451</f>
        <v>0</v>
      </c>
    </row>
    <row r="452" s="153" customFormat="true" ht="15" hidden="false" customHeight="false" outlineLevel="0" collapsed="false">
      <c r="AN452" s="153" t="e">
        <v>#NAME?</v>
      </c>
      <c r="AO452" s="153" t="e">
        <f aca="false">_xlfn.xlookup(AN452,A:A,F:F)</f>
        <v>#NAME?</v>
      </c>
      <c r="AP452" s="153" t="e">
        <f aca="false">_xlfn.xlookup(AN452,A:A,J:J)</f>
        <v>#NAME?</v>
      </c>
      <c r="AQ452" s="153" t="e">
        <f aca="false">_xlfn.xlookup(AN452,A:A,N:N)+_xlfn.xlookup(AN452,A:A,O:O)</f>
        <v>#NAME?</v>
      </c>
      <c r="AR452" s="150" t="e">
        <f aca="false">_xlfn.xlookup(AN452,A:A,AH:AH)</f>
        <v>#NAME?</v>
      </c>
      <c r="AS452" s="150" t="e">
        <f aca="false">_xlfn.xlookup(AN452,A:A,S:S)</f>
        <v>#NAME?</v>
      </c>
      <c r="AT452" s="150" t="e">
        <f aca="false">_xlfn.xlookup(AN452,A:A,AE:AE)</f>
        <v>#NAME?</v>
      </c>
      <c r="AU452" s="150" t="e">
        <f aca="false">_xlfn.xlookup(AN452,A:A,AF:AF)</f>
        <v>#NAME?</v>
      </c>
      <c r="AX452" s="146"/>
      <c r="AY452" s="150"/>
      <c r="AZ452" s="150"/>
      <c r="BA452" s="150"/>
      <c r="BB452" s="146"/>
      <c r="BC452" s="146"/>
      <c r="BD452" s="151"/>
      <c r="BE452" s="146"/>
      <c r="BF452" s="146"/>
      <c r="BH452" s="152" t="e">
        <f aca="false">_xlfn.xlookup(BG452,A:A,F:F)</f>
        <v>#NAME?</v>
      </c>
      <c r="BI452" s="153" t="e">
        <f aca="false">_xlfn.xlookup(BG452,A:A,J:J)</f>
        <v>#NAME?</v>
      </c>
      <c r="BJ452" s="153" t="e">
        <f aca="false">_xlfn.xlookup(BG452,A:A,N:N)+_xlfn.xlookup(BG452,A:A,O:O)</f>
        <v>#NAME?</v>
      </c>
      <c r="BK452" s="153" t="e">
        <f aca="false">_xlfn.xlookup(BG452,A401:A1395,AB401:AB1395)</f>
        <v>#NAME?</v>
      </c>
      <c r="BN452" s="146"/>
      <c r="BO452" s="150"/>
      <c r="BQ452" s="153" t="str">
        <f aca="false">IF(VALUE(MONTH(C452))&lt;10,YEAR(C452)&amp;"-0"&amp;MONTH(C452),YEAR(C452)&amp;"-"&amp;MONTH(C452))</f>
        <v>1900-01</v>
      </c>
      <c r="BR452" s="153" t="n">
        <f aca="false">J452</f>
        <v>0</v>
      </c>
      <c r="BS452" s="153" t="n">
        <f aca="false">IF(ISNUMBER(FIND("-", BR452)), LEFT(BR452, FIND("-", BR452) - 1), BR452)</f>
        <v>0</v>
      </c>
      <c r="BT452" s="189" t="n">
        <f aca="false">L452-M452+O452</f>
        <v>0</v>
      </c>
    </row>
    <row r="453" s="153" customFormat="true" ht="15" hidden="false" customHeight="false" outlineLevel="0" collapsed="false">
      <c r="AN453" s="153" t="e">
        <v>#NAME?</v>
      </c>
      <c r="AO453" s="153" t="e">
        <f aca="false">_xlfn.xlookup(AN453,A:A,F:F)</f>
        <v>#NAME?</v>
      </c>
      <c r="AP453" s="153" t="e">
        <f aca="false">_xlfn.xlookup(AN453,A:A,J:J)</f>
        <v>#NAME?</v>
      </c>
      <c r="AQ453" s="153" t="e">
        <f aca="false">_xlfn.xlookup(AN453,A:A,N:N)+_xlfn.xlookup(AN453,A:A,O:O)</f>
        <v>#NAME?</v>
      </c>
      <c r="AR453" s="150" t="e">
        <f aca="false">_xlfn.xlookup(AN453,A:A,AH:AH)</f>
        <v>#NAME?</v>
      </c>
      <c r="AS453" s="150" t="e">
        <f aca="false">_xlfn.xlookup(AN453,A:A,S:S)</f>
        <v>#NAME?</v>
      </c>
      <c r="AT453" s="150" t="e">
        <f aca="false">_xlfn.xlookup(AN453,A:A,AE:AE)</f>
        <v>#NAME?</v>
      </c>
      <c r="AU453" s="150" t="e">
        <f aca="false">_xlfn.xlookup(AN453,A:A,AF:AF)</f>
        <v>#NAME?</v>
      </c>
      <c r="AX453" s="146"/>
      <c r="AY453" s="150"/>
      <c r="AZ453" s="150"/>
      <c r="BA453" s="150"/>
      <c r="BB453" s="146"/>
      <c r="BC453" s="146"/>
      <c r="BD453" s="151"/>
      <c r="BE453" s="146"/>
      <c r="BF453" s="146"/>
      <c r="BH453" s="152" t="e">
        <f aca="false">_xlfn.xlookup(BG453,A:A,F:F)</f>
        <v>#NAME?</v>
      </c>
      <c r="BI453" s="153" t="e">
        <f aca="false">_xlfn.xlookup(BG453,A:A,J:J)</f>
        <v>#NAME?</v>
      </c>
      <c r="BJ453" s="153" t="e">
        <f aca="false">_xlfn.xlookup(BG453,A:A,N:N)+_xlfn.xlookup(BG453,A:A,O:O)</f>
        <v>#NAME?</v>
      </c>
      <c r="BK453" s="153" t="e">
        <f aca="false">_xlfn.xlookup(BG453,A402:A1396,AB402:AB1396)</f>
        <v>#NAME?</v>
      </c>
      <c r="BN453" s="146"/>
      <c r="BO453" s="150"/>
      <c r="BQ453" s="153" t="str">
        <f aca="false">IF(VALUE(MONTH(C453))&lt;10,YEAR(C453)&amp;"-0"&amp;MONTH(C453),YEAR(C453)&amp;"-"&amp;MONTH(C453))</f>
        <v>1900-01</v>
      </c>
      <c r="BR453" s="153" t="n">
        <f aca="false">J453</f>
        <v>0</v>
      </c>
      <c r="BS453" s="153" t="n">
        <f aca="false">IF(ISNUMBER(FIND("-", BR453)), LEFT(BR453, FIND("-", BR453) - 1), BR453)</f>
        <v>0</v>
      </c>
      <c r="BT453" s="189" t="n">
        <f aca="false">L453-M453+O453</f>
        <v>0</v>
      </c>
    </row>
    <row r="454" s="153" customFormat="true" ht="15" hidden="false" customHeight="false" outlineLevel="0" collapsed="false">
      <c r="AN454" s="153" t="e">
        <v>#NAME?</v>
      </c>
      <c r="AO454" s="153" t="e">
        <f aca="false">_xlfn.xlookup(AN454,A:A,F:F)</f>
        <v>#NAME?</v>
      </c>
      <c r="AP454" s="153" t="e">
        <f aca="false">_xlfn.xlookup(AN454,A:A,J:J)</f>
        <v>#NAME?</v>
      </c>
      <c r="AQ454" s="153" t="e">
        <f aca="false">_xlfn.xlookup(AN454,A:A,N:N)+_xlfn.xlookup(AN454,A:A,O:O)</f>
        <v>#NAME?</v>
      </c>
      <c r="AR454" s="150" t="e">
        <f aca="false">_xlfn.xlookup(AN454,A:A,AH:AH)</f>
        <v>#NAME?</v>
      </c>
      <c r="AS454" s="150" t="e">
        <f aca="false">_xlfn.xlookup(AN454,A:A,S:S)</f>
        <v>#NAME?</v>
      </c>
      <c r="AT454" s="150" t="e">
        <f aca="false">_xlfn.xlookup(AN454,A:A,AE:AE)</f>
        <v>#NAME?</v>
      </c>
      <c r="AU454" s="150" t="e">
        <f aca="false">_xlfn.xlookup(AN454,A:A,AF:AF)</f>
        <v>#NAME?</v>
      </c>
      <c r="AX454" s="146"/>
      <c r="AY454" s="150"/>
      <c r="AZ454" s="150"/>
      <c r="BA454" s="150"/>
      <c r="BB454" s="146"/>
      <c r="BC454" s="146"/>
      <c r="BD454" s="151"/>
      <c r="BE454" s="146"/>
      <c r="BF454" s="146"/>
      <c r="BH454" s="152" t="e">
        <f aca="false">_xlfn.xlookup(BG454,A:A,F:F)</f>
        <v>#NAME?</v>
      </c>
      <c r="BI454" s="153" t="e">
        <f aca="false">_xlfn.xlookup(BG454,A:A,J:J)</f>
        <v>#NAME?</v>
      </c>
      <c r="BJ454" s="153" t="e">
        <f aca="false">_xlfn.xlookup(BG454,A:A,N:N)+_xlfn.xlookup(BG454,A:A,O:O)</f>
        <v>#NAME?</v>
      </c>
      <c r="BK454" s="153" t="e">
        <f aca="false">_xlfn.xlookup(BG454,A403:A1397,AB403:AB1397)</f>
        <v>#NAME?</v>
      </c>
      <c r="BN454" s="146"/>
      <c r="BO454" s="150"/>
      <c r="BQ454" s="153" t="str">
        <f aca="false">IF(VALUE(MONTH(C454))&lt;10,YEAR(C454)&amp;"-0"&amp;MONTH(C454),YEAR(C454)&amp;"-"&amp;MONTH(C454))</f>
        <v>1900-01</v>
      </c>
      <c r="BR454" s="153" t="n">
        <f aca="false">J454</f>
        <v>0</v>
      </c>
      <c r="BS454" s="153" t="n">
        <f aca="false">IF(ISNUMBER(FIND("-", BR454)), LEFT(BR454, FIND("-", BR454) - 1), BR454)</f>
        <v>0</v>
      </c>
      <c r="BT454" s="189" t="n">
        <f aca="false">L454-M454+O454</f>
        <v>0</v>
      </c>
    </row>
    <row r="455" s="153" customFormat="true" ht="15" hidden="false" customHeight="false" outlineLevel="0" collapsed="false">
      <c r="AN455" s="153" t="e">
        <v>#NAME?</v>
      </c>
      <c r="AO455" s="153" t="e">
        <f aca="false">_xlfn.xlookup(AN455,A:A,F:F)</f>
        <v>#NAME?</v>
      </c>
      <c r="AP455" s="153" t="e">
        <f aca="false">_xlfn.xlookup(AN455,A:A,J:J)</f>
        <v>#NAME?</v>
      </c>
      <c r="AQ455" s="153" t="e">
        <f aca="false">_xlfn.xlookup(AN455,A:A,N:N)+_xlfn.xlookup(AN455,A:A,O:O)</f>
        <v>#NAME?</v>
      </c>
      <c r="AR455" s="150" t="e">
        <f aca="false">_xlfn.xlookup(AN455,A:A,AH:AH)</f>
        <v>#NAME?</v>
      </c>
      <c r="AS455" s="150" t="e">
        <f aca="false">_xlfn.xlookup(AN455,A:A,S:S)</f>
        <v>#NAME?</v>
      </c>
      <c r="AT455" s="150" t="e">
        <f aca="false">_xlfn.xlookup(AN455,A:A,AE:AE)</f>
        <v>#NAME?</v>
      </c>
      <c r="AU455" s="150" t="e">
        <f aca="false">_xlfn.xlookup(AN455,A:A,AF:AF)</f>
        <v>#NAME?</v>
      </c>
      <c r="AX455" s="146"/>
      <c r="AY455" s="150"/>
      <c r="AZ455" s="150"/>
      <c r="BA455" s="150"/>
      <c r="BB455" s="146"/>
      <c r="BC455" s="146"/>
      <c r="BD455" s="151"/>
      <c r="BE455" s="146"/>
      <c r="BF455" s="146"/>
      <c r="BH455" s="152" t="e">
        <f aca="false">_xlfn.xlookup(BG455,A:A,F:F)</f>
        <v>#NAME?</v>
      </c>
      <c r="BI455" s="153" t="e">
        <f aca="false">_xlfn.xlookup(BG455,A:A,J:J)</f>
        <v>#NAME?</v>
      </c>
      <c r="BJ455" s="153" t="e">
        <f aca="false">_xlfn.xlookup(BG455,A:A,N:N)+_xlfn.xlookup(BG455,A:A,O:O)</f>
        <v>#NAME?</v>
      </c>
      <c r="BK455" s="153" t="e">
        <f aca="false">_xlfn.xlookup(BG455,A404:A1398,AB404:AB1398)</f>
        <v>#NAME?</v>
      </c>
      <c r="BN455" s="146"/>
      <c r="BO455" s="150"/>
      <c r="BQ455" s="153" t="str">
        <f aca="false">IF(VALUE(MONTH(C455))&lt;10,YEAR(C455)&amp;"-0"&amp;MONTH(C455),YEAR(C455)&amp;"-"&amp;MONTH(C455))</f>
        <v>1900-01</v>
      </c>
      <c r="BR455" s="153" t="n">
        <f aca="false">J455</f>
        <v>0</v>
      </c>
      <c r="BS455" s="153" t="n">
        <f aca="false">IF(ISNUMBER(FIND("-", BR455)), LEFT(BR455, FIND("-", BR455) - 1), BR455)</f>
        <v>0</v>
      </c>
      <c r="BT455" s="189" t="n">
        <f aca="false">L455-M455+O455</f>
        <v>0</v>
      </c>
    </row>
    <row r="456" s="153" customFormat="true" ht="15" hidden="false" customHeight="false" outlineLevel="0" collapsed="false">
      <c r="AN456" s="153" t="e">
        <v>#NAME?</v>
      </c>
      <c r="AO456" s="153" t="e">
        <f aca="false">_xlfn.xlookup(AN456,A:A,F:F)</f>
        <v>#NAME?</v>
      </c>
      <c r="AP456" s="153" t="e">
        <f aca="false">_xlfn.xlookup(AN456,A:A,J:J)</f>
        <v>#NAME?</v>
      </c>
      <c r="AQ456" s="153" t="e">
        <f aca="false">_xlfn.xlookup(AN456,A:A,N:N)+_xlfn.xlookup(AN456,A:A,O:O)</f>
        <v>#NAME?</v>
      </c>
      <c r="AR456" s="150" t="e">
        <f aca="false">_xlfn.xlookup(AN456,A:A,AH:AH)</f>
        <v>#NAME?</v>
      </c>
      <c r="AS456" s="150" t="e">
        <f aca="false">_xlfn.xlookup(AN456,A:A,S:S)</f>
        <v>#NAME?</v>
      </c>
      <c r="AT456" s="150" t="e">
        <f aca="false">_xlfn.xlookup(AN456,A:A,AE:AE)</f>
        <v>#NAME?</v>
      </c>
      <c r="AU456" s="150" t="e">
        <f aca="false">_xlfn.xlookup(AN456,A:A,AF:AF)</f>
        <v>#NAME?</v>
      </c>
      <c r="AX456" s="146"/>
      <c r="AY456" s="150"/>
      <c r="AZ456" s="150"/>
      <c r="BA456" s="150"/>
      <c r="BB456" s="146"/>
      <c r="BC456" s="146"/>
      <c r="BD456" s="151"/>
      <c r="BE456" s="146"/>
      <c r="BF456" s="146"/>
      <c r="BH456" s="152" t="e">
        <f aca="false">_xlfn.xlookup(BG456,A:A,F:F)</f>
        <v>#NAME?</v>
      </c>
      <c r="BI456" s="153" t="e">
        <f aca="false">_xlfn.xlookup(BG456,A:A,J:J)</f>
        <v>#NAME?</v>
      </c>
      <c r="BJ456" s="153" t="e">
        <f aca="false">_xlfn.xlookup(BG456,A:A,N:N)+_xlfn.xlookup(BG456,A:A,O:O)</f>
        <v>#NAME?</v>
      </c>
      <c r="BK456" s="153" t="e">
        <f aca="false">_xlfn.xlookup(BG456,A405:A1399,AB405:AB1399)</f>
        <v>#NAME?</v>
      </c>
      <c r="BN456" s="146"/>
      <c r="BO456" s="150"/>
      <c r="BQ456" s="153" t="str">
        <f aca="false">IF(VALUE(MONTH(C456))&lt;10,YEAR(C456)&amp;"-0"&amp;MONTH(C456),YEAR(C456)&amp;"-"&amp;MONTH(C456))</f>
        <v>1900-01</v>
      </c>
      <c r="BR456" s="153" t="n">
        <f aca="false">J456</f>
        <v>0</v>
      </c>
      <c r="BS456" s="153" t="n">
        <f aca="false">IF(ISNUMBER(FIND("-", BR456)), LEFT(BR456, FIND("-", BR456) - 1), BR456)</f>
        <v>0</v>
      </c>
      <c r="BT456" s="189" t="n">
        <f aca="false">L456-M456+O456</f>
        <v>0</v>
      </c>
    </row>
    <row r="457" s="153" customFormat="true" ht="15" hidden="false" customHeight="false" outlineLevel="0" collapsed="false">
      <c r="AN457" s="153" t="e">
        <v>#NAME?</v>
      </c>
      <c r="AO457" s="153" t="e">
        <f aca="false">_xlfn.xlookup(AN457,A:A,F:F)</f>
        <v>#NAME?</v>
      </c>
      <c r="AP457" s="153" t="e">
        <f aca="false">_xlfn.xlookup(AN457,A:A,J:J)</f>
        <v>#NAME?</v>
      </c>
      <c r="AQ457" s="153" t="e">
        <f aca="false">_xlfn.xlookup(AN457,A:A,N:N)+_xlfn.xlookup(AN457,A:A,O:O)</f>
        <v>#NAME?</v>
      </c>
      <c r="AR457" s="150" t="e">
        <f aca="false">_xlfn.xlookup(AN457,A:A,AH:AH)</f>
        <v>#NAME?</v>
      </c>
      <c r="AS457" s="150" t="e">
        <f aca="false">_xlfn.xlookup(AN457,A:A,S:S)</f>
        <v>#NAME?</v>
      </c>
      <c r="AT457" s="150" t="e">
        <f aca="false">_xlfn.xlookup(AN457,A:A,AE:AE)</f>
        <v>#NAME?</v>
      </c>
      <c r="AU457" s="150" t="e">
        <f aca="false">_xlfn.xlookup(AN457,A:A,AF:AF)</f>
        <v>#NAME?</v>
      </c>
      <c r="AX457" s="146"/>
      <c r="AY457" s="150"/>
      <c r="AZ457" s="150"/>
      <c r="BA457" s="150"/>
      <c r="BB457" s="146"/>
      <c r="BC457" s="146"/>
      <c r="BD457" s="151"/>
      <c r="BE457" s="146"/>
      <c r="BF457" s="146"/>
      <c r="BH457" s="152" t="e">
        <f aca="false">_xlfn.xlookup(BG457,A:A,F:F)</f>
        <v>#NAME?</v>
      </c>
      <c r="BI457" s="153" t="e">
        <f aca="false">_xlfn.xlookup(BG457,A:A,J:J)</f>
        <v>#NAME?</v>
      </c>
      <c r="BJ457" s="153" t="e">
        <f aca="false">_xlfn.xlookup(BG457,A:A,N:N)+_xlfn.xlookup(BG457,A:A,O:O)</f>
        <v>#NAME?</v>
      </c>
      <c r="BK457" s="153" t="e">
        <f aca="false">_xlfn.xlookup(BG457,A406:A1400,AB406:AB1400)</f>
        <v>#NAME?</v>
      </c>
      <c r="BN457" s="146"/>
      <c r="BO457" s="150"/>
      <c r="BQ457" s="153" t="str">
        <f aca="false">IF(VALUE(MONTH(C457))&lt;10,YEAR(C457)&amp;"-0"&amp;MONTH(C457),YEAR(C457)&amp;"-"&amp;MONTH(C457))</f>
        <v>1900-01</v>
      </c>
      <c r="BR457" s="153" t="n">
        <f aca="false">J457</f>
        <v>0</v>
      </c>
      <c r="BS457" s="153" t="n">
        <f aca="false">IF(ISNUMBER(FIND("-", BR457)), LEFT(BR457, FIND("-", BR457) - 1), BR457)</f>
        <v>0</v>
      </c>
      <c r="BT457" s="189" t="n">
        <f aca="false">L457-M457+O457</f>
        <v>0</v>
      </c>
    </row>
    <row r="458" s="153" customFormat="true" ht="15" hidden="false" customHeight="false" outlineLevel="0" collapsed="false">
      <c r="AN458" s="153" t="e">
        <v>#NAME?</v>
      </c>
      <c r="AO458" s="153" t="e">
        <f aca="false">_xlfn.xlookup(AN458,A:A,F:F)</f>
        <v>#NAME?</v>
      </c>
      <c r="AP458" s="153" t="e">
        <f aca="false">_xlfn.xlookup(AN458,A:A,J:J)</f>
        <v>#NAME?</v>
      </c>
      <c r="AQ458" s="153" t="e">
        <f aca="false">_xlfn.xlookup(AN458,A:A,N:N)+_xlfn.xlookup(AN458,A:A,O:O)</f>
        <v>#NAME?</v>
      </c>
      <c r="AR458" s="150" t="e">
        <f aca="false">_xlfn.xlookup(AN458,A:A,AH:AH)</f>
        <v>#NAME?</v>
      </c>
      <c r="AS458" s="150" t="e">
        <f aca="false">_xlfn.xlookup(AN458,A:A,S:S)</f>
        <v>#NAME?</v>
      </c>
      <c r="AT458" s="150" t="e">
        <f aca="false">_xlfn.xlookup(AN458,A:A,AE:AE)</f>
        <v>#NAME?</v>
      </c>
      <c r="AU458" s="150" t="e">
        <f aca="false">_xlfn.xlookup(AN458,A:A,AF:AF)</f>
        <v>#NAME?</v>
      </c>
      <c r="AX458" s="146"/>
      <c r="AY458" s="150"/>
      <c r="AZ458" s="150"/>
      <c r="BA458" s="150"/>
      <c r="BB458" s="146"/>
      <c r="BC458" s="146"/>
      <c r="BD458" s="151"/>
      <c r="BE458" s="146"/>
      <c r="BF458" s="146"/>
      <c r="BH458" s="152" t="e">
        <f aca="false">_xlfn.xlookup(BG458,A:A,F:F)</f>
        <v>#NAME?</v>
      </c>
      <c r="BI458" s="153" t="e">
        <f aca="false">_xlfn.xlookup(BG458,A:A,J:J)</f>
        <v>#NAME?</v>
      </c>
      <c r="BJ458" s="153" t="e">
        <f aca="false">_xlfn.xlookup(BG458,A:A,N:N)+_xlfn.xlookup(BG458,A:A,O:O)</f>
        <v>#NAME?</v>
      </c>
      <c r="BK458" s="153" t="e">
        <f aca="false">_xlfn.xlookup(BG458,A407:A1401,AB407:AB1401)</f>
        <v>#NAME?</v>
      </c>
      <c r="BN458" s="146"/>
      <c r="BO458" s="150"/>
      <c r="BQ458" s="153" t="str">
        <f aca="false">IF(VALUE(MONTH(C458))&lt;10,YEAR(C458)&amp;"-0"&amp;MONTH(C458),YEAR(C458)&amp;"-"&amp;MONTH(C458))</f>
        <v>1900-01</v>
      </c>
      <c r="BR458" s="153" t="n">
        <f aca="false">J458</f>
        <v>0</v>
      </c>
      <c r="BS458" s="153" t="n">
        <f aca="false">IF(ISNUMBER(FIND("-", BR458)), LEFT(BR458, FIND("-", BR458) - 1), BR458)</f>
        <v>0</v>
      </c>
      <c r="BT458" s="189" t="n">
        <f aca="false">L458-M458+O458</f>
        <v>0</v>
      </c>
    </row>
    <row r="459" s="153" customFormat="true" ht="15" hidden="false" customHeight="false" outlineLevel="0" collapsed="false">
      <c r="AN459" s="153" t="e">
        <v>#NAME?</v>
      </c>
      <c r="AO459" s="153" t="e">
        <f aca="false">_xlfn.xlookup(AN459,A:A,F:F)</f>
        <v>#NAME?</v>
      </c>
      <c r="AP459" s="153" t="e">
        <f aca="false">_xlfn.xlookup(AN459,A:A,J:J)</f>
        <v>#NAME?</v>
      </c>
      <c r="AQ459" s="153" t="e">
        <f aca="false">_xlfn.xlookup(AN459,A:A,N:N)+_xlfn.xlookup(AN459,A:A,O:O)</f>
        <v>#NAME?</v>
      </c>
      <c r="AR459" s="150" t="e">
        <f aca="false">_xlfn.xlookup(AN459,A:A,AH:AH)</f>
        <v>#NAME?</v>
      </c>
      <c r="AS459" s="150" t="e">
        <f aca="false">_xlfn.xlookup(AN459,A:A,S:S)</f>
        <v>#NAME?</v>
      </c>
      <c r="AT459" s="150" t="e">
        <f aca="false">_xlfn.xlookup(AN459,A:A,AE:AE)</f>
        <v>#NAME?</v>
      </c>
      <c r="AU459" s="150" t="e">
        <f aca="false">_xlfn.xlookup(AN459,A:A,AF:AF)</f>
        <v>#NAME?</v>
      </c>
      <c r="AX459" s="146"/>
      <c r="AY459" s="150"/>
      <c r="AZ459" s="150"/>
      <c r="BA459" s="150"/>
      <c r="BB459" s="146"/>
      <c r="BC459" s="146"/>
      <c r="BD459" s="151"/>
      <c r="BE459" s="146"/>
      <c r="BF459" s="146"/>
      <c r="BH459" s="152" t="e">
        <f aca="false">_xlfn.xlookup(BG459,A:A,F:F)</f>
        <v>#NAME?</v>
      </c>
      <c r="BI459" s="153" t="e">
        <f aca="false">_xlfn.xlookup(BG459,A:A,J:J)</f>
        <v>#NAME?</v>
      </c>
      <c r="BJ459" s="153" t="e">
        <f aca="false">_xlfn.xlookup(BG459,A:A,N:N)+_xlfn.xlookup(BG459,A:A,O:O)</f>
        <v>#NAME?</v>
      </c>
      <c r="BK459" s="153" t="e">
        <f aca="false">_xlfn.xlookup(BG459,A408:A1402,AB408:AB1402)</f>
        <v>#NAME?</v>
      </c>
      <c r="BN459" s="146"/>
      <c r="BO459" s="150"/>
      <c r="BQ459" s="153" t="str">
        <f aca="false">IF(VALUE(MONTH(C459))&lt;10,YEAR(C459)&amp;"-0"&amp;MONTH(C459),YEAR(C459)&amp;"-"&amp;MONTH(C459))</f>
        <v>1900-01</v>
      </c>
      <c r="BR459" s="153" t="n">
        <f aca="false">J459</f>
        <v>0</v>
      </c>
      <c r="BS459" s="153" t="n">
        <f aca="false">IF(ISNUMBER(FIND("-", BR459)), LEFT(BR459, FIND("-", BR459) - 1), BR459)</f>
        <v>0</v>
      </c>
      <c r="BT459" s="189" t="n">
        <f aca="false">L459-M459+O459</f>
        <v>0</v>
      </c>
    </row>
    <row r="460" s="153" customFormat="true" ht="15" hidden="false" customHeight="false" outlineLevel="0" collapsed="false">
      <c r="AN460" s="153" t="e">
        <v>#NAME?</v>
      </c>
      <c r="AO460" s="153" t="e">
        <f aca="false">_xlfn.xlookup(AN460,A:A,F:F)</f>
        <v>#NAME?</v>
      </c>
      <c r="AP460" s="153" t="e">
        <f aca="false">_xlfn.xlookup(AN460,A:A,J:J)</f>
        <v>#NAME?</v>
      </c>
      <c r="AQ460" s="153" t="e">
        <f aca="false">_xlfn.xlookup(AN460,A:A,N:N)+_xlfn.xlookup(AN460,A:A,O:O)</f>
        <v>#NAME?</v>
      </c>
      <c r="AR460" s="150" t="e">
        <f aca="false">_xlfn.xlookup(AN460,A:A,AH:AH)</f>
        <v>#NAME?</v>
      </c>
      <c r="AS460" s="150" t="e">
        <f aca="false">_xlfn.xlookup(AN460,A:A,S:S)</f>
        <v>#NAME?</v>
      </c>
      <c r="AT460" s="150" t="e">
        <f aca="false">_xlfn.xlookup(AN460,A:A,AE:AE)</f>
        <v>#NAME?</v>
      </c>
      <c r="AU460" s="150" t="e">
        <f aca="false">_xlfn.xlookup(AN460,A:A,AF:AF)</f>
        <v>#NAME?</v>
      </c>
      <c r="AX460" s="146"/>
      <c r="AY460" s="150"/>
      <c r="AZ460" s="150"/>
      <c r="BA460" s="150"/>
      <c r="BB460" s="146"/>
      <c r="BC460" s="146"/>
      <c r="BD460" s="151"/>
      <c r="BE460" s="146"/>
      <c r="BF460" s="146"/>
      <c r="BH460" s="152" t="e">
        <f aca="false">_xlfn.xlookup(BG460,A:A,F:F)</f>
        <v>#NAME?</v>
      </c>
      <c r="BI460" s="153" t="e">
        <f aca="false">_xlfn.xlookup(BG460,A:A,J:J)</f>
        <v>#NAME?</v>
      </c>
      <c r="BJ460" s="153" t="e">
        <f aca="false">_xlfn.xlookup(BG460,A:A,N:N)+_xlfn.xlookup(BG460,A:A,O:O)</f>
        <v>#NAME?</v>
      </c>
      <c r="BK460" s="153" t="e">
        <f aca="false">_xlfn.xlookup(BG460,A409:A1403,AB409:AB1403)</f>
        <v>#NAME?</v>
      </c>
      <c r="BN460" s="146"/>
      <c r="BO460" s="150"/>
      <c r="BQ460" s="153" t="str">
        <f aca="false">IF(VALUE(MONTH(C460))&lt;10,YEAR(C460)&amp;"-0"&amp;MONTH(C460),YEAR(C460)&amp;"-"&amp;MONTH(C460))</f>
        <v>1900-01</v>
      </c>
      <c r="BR460" s="153" t="n">
        <f aca="false">J460</f>
        <v>0</v>
      </c>
      <c r="BS460" s="153" t="n">
        <f aca="false">IF(ISNUMBER(FIND("-", BR460)), LEFT(BR460, FIND("-", BR460) - 1), BR460)</f>
        <v>0</v>
      </c>
      <c r="BT460" s="189" t="n">
        <f aca="false">L460-M460+O460</f>
        <v>0</v>
      </c>
    </row>
    <row r="461" s="153" customFormat="true" ht="15" hidden="false" customHeight="false" outlineLevel="0" collapsed="false">
      <c r="AN461" s="153" t="e">
        <v>#NAME?</v>
      </c>
      <c r="AO461" s="153" t="e">
        <f aca="false">_xlfn.xlookup(AN461,A:A,F:F)</f>
        <v>#NAME?</v>
      </c>
      <c r="AP461" s="153" t="e">
        <f aca="false">_xlfn.xlookup(AN461,A:A,J:J)</f>
        <v>#NAME?</v>
      </c>
      <c r="AQ461" s="153" t="e">
        <f aca="false">_xlfn.xlookup(AN461,A:A,N:N)+_xlfn.xlookup(AN461,A:A,O:O)</f>
        <v>#NAME?</v>
      </c>
      <c r="AR461" s="150" t="e">
        <f aca="false">_xlfn.xlookup(AN461,A:A,AH:AH)</f>
        <v>#NAME?</v>
      </c>
      <c r="AS461" s="150" t="e">
        <f aca="false">_xlfn.xlookup(AN461,A:A,S:S)</f>
        <v>#NAME?</v>
      </c>
      <c r="AT461" s="150" t="e">
        <f aca="false">_xlfn.xlookup(AN461,A:A,AE:AE)</f>
        <v>#NAME?</v>
      </c>
      <c r="AU461" s="150" t="e">
        <f aca="false">_xlfn.xlookup(AN461,A:A,AF:AF)</f>
        <v>#NAME?</v>
      </c>
      <c r="AX461" s="146"/>
      <c r="AY461" s="150"/>
      <c r="AZ461" s="150"/>
      <c r="BA461" s="150"/>
      <c r="BB461" s="146"/>
      <c r="BC461" s="146"/>
      <c r="BD461" s="151"/>
      <c r="BE461" s="146"/>
      <c r="BF461" s="146"/>
      <c r="BH461" s="152" t="e">
        <f aca="false">_xlfn.xlookup(BG461,A:A,F:F)</f>
        <v>#NAME?</v>
      </c>
      <c r="BI461" s="153" t="e">
        <f aca="false">_xlfn.xlookup(BG461,A:A,J:J)</f>
        <v>#NAME?</v>
      </c>
      <c r="BJ461" s="153" t="e">
        <f aca="false">_xlfn.xlookup(BG461,A:A,N:N)+_xlfn.xlookup(BG461,A:A,O:O)</f>
        <v>#NAME?</v>
      </c>
      <c r="BK461" s="153" t="e">
        <f aca="false">_xlfn.xlookup(BG461,A410:A1404,AB410:AB1404)</f>
        <v>#NAME?</v>
      </c>
      <c r="BN461" s="146"/>
      <c r="BO461" s="150"/>
      <c r="BQ461" s="153" t="str">
        <f aca="false">IF(VALUE(MONTH(C461))&lt;10,YEAR(C461)&amp;"-0"&amp;MONTH(C461),YEAR(C461)&amp;"-"&amp;MONTH(C461))</f>
        <v>1900-01</v>
      </c>
      <c r="BR461" s="153" t="n">
        <f aca="false">J461</f>
        <v>0</v>
      </c>
      <c r="BS461" s="153" t="n">
        <f aca="false">IF(ISNUMBER(FIND("-", BR461)), LEFT(BR461, FIND("-", BR461) - 1), BR461)</f>
        <v>0</v>
      </c>
      <c r="BT461" s="189" t="n">
        <f aca="false">L461-M461+O461</f>
        <v>0</v>
      </c>
    </row>
    <row r="462" s="153" customFormat="true" ht="15" hidden="false" customHeight="false" outlineLevel="0" collapsed="false">
      <c r="AN462" s="153" t="e">
        <v>#NAME?</v>
      </c>
      <c r="AO462" s="153" t="e">
        <f aca="false">_xlfn.xlookup(AN462,A:A,F:F)</f>
        <v>#NAME?</v>
      </c>
      <c r="AP462" s="153" t="e">
        <f aca="false">_xlfn.xlookup(AN462,A:A,J:J)</f>
        <v>#NAME?</v>
      </c>
      <c r="AQ462" s="153" t="e">
        <f aca="false">_xlfn.xlookup(AN462,A:A,N:N)+_xlfn.xlookup(AN462,A:A,O:O)</f>
        <v>#NAME?</v>
      </c>
      <c r="AR462" s="150" t="e">
        <f aca="false">_xlfn.xlookup(AN462,A:A,AH:AH)</f>
        <v>#NAME?</v>
      </c>
      <c r="AS462" s="150" t="e">
        <f aca="false">_xlfn.xlookup(AN462,A:A,S:S)</f>
        <v>#NAME?</v>
      </c>
      <c r="AT462" s="150" t="e">
        <f aca="false">_xlfn.xlookup(AN462,A:A,AE:AE)</f>
        <v>#NAME?</v>
      </c>
      <c r="AU462" s="150" t="e">
        <f aca="false">_xlfn.xlookup(AN462,A:A,AF:AF)</f>
        <v>#NAME?</v>
      </c>
      <c r="AX462" s="146"/>
      <c r="AY462" s="150"/>
      <c r="AZ462" s="150"/>
      <c r="BA462" s="150"/>
      <c r="BB462" s="146"/>
      <c r="BC462" s="146"/>
      <c r="BD462" s="151"/>
      <c r="BE462" s="146"/>
      <c r="BF462" s="146"/>
      <c r="BH462" s="152" t="e">
        <f aca="false">_xlfn.xlookup(BG462,A:A,F:F)</f>
        <v>#NAME?</v>
      </c>
      <c r="BI462" s="153" t="e">
        <f aca="false">_xlfn.xlookup(BG462,A:A,J:J)</f>
        <v>#NAME?</v>
      </c>
      <c r="BJ462" s="153" t="e">
        <f aca="false">_xlfn.xlookup(BG462,A:A,N:N)+_xlfn.xlookup(BG462,A:A,O:O)</f>
        <v>#NAME?</v>
      </c>
      <c r="BK462" s="153" t="e">
        <f aca="false">_xlfn.xlookup(BG462,A411:A1405,AB411:AB1405)</f>
        <v>#NAME?</v>
      </c>
      <c r="BN462" s="146"/>
      <c r="BO462" s="150"/>
      <c r="BQ462" s="153" t="str">
        <f aca="false">IF(VALUE(MONTH(C462))&lt;10,YEAR(C462)&amp;"-0"&amp;MONTH(C462),YEAR(C462)&amp;"-"&amp;MONTH(C462))</f>
        <v>1900-01</v>
      </c>
      <c r="BR462" s="153" t="n">
        <f aca="false">J462</f>
        <v>0</v>
      </c>
      <c r="BS462" s="153" t="n">
        <f aca="false">IF(ISNUMBER(FIND("-", BR462)), LEFT(BR462, FIND("-", BR462) - 1), BR462)</f>
        <v>0</v>
      </c>
      <c r="BT462" s="189" t="n">
        <f aca="false">L462-M462+O462</f>
        <v>0</v>
      </c>
    </row>
    <row r="463" s="153" customFormat="true" ht="15" hidden="false" customHeight="false" outlineLevel="0" collapsed="false">
      <c r="AN463" s="153" t="e">
        <v>#NAME?</v>
      </c>
      <c r="AO463" s="153" t="e">
        <f aca="false">_xlfn.xlookup(AN463,A:A,F:F)</f>
        <v>#NAME?</v>
      </c>
      <c r="AP463" s="153" t="e">
        <f aca="false">_xlfn.xlookup(AN463,A:A,J:J)</f>
        <v>#NAME?</v>
      </c>
      <c r="AQ463" s="153" t="e">
        <f aca="false">_xlfn.xlookup(AN463,A:A,N:N)+_xlfn.xlookup(AN463,A:A,O:O)</f>
        <v>#NAME?</v>
      </c>
      <c r="AR463" s="150" t="e">
        <f aca="false">_xlfn.xlookup(AN463,A:A,AH:AH)</f>
        <v>#NAME?</v>
      </c>
      <c r="AS463" s="150" t="e">
        <f aca="false">_xlfn.xlookup(AN463,A:A,S:S)</f>
        <v>#NAME?</v>
      </c>
      <c r="AT463" s="150" t="e">
        <f aca="false">_xlfn.xlookup(AN463,A:A,AE:AE)</f>
        <v>#NAME?</v>
      </c>
      <c r="AU463" s="150" t="e">
        <f aca="false">_xlfn.xlookup(AN463,A:A,AF:AF)</f>
        <v>#NAME?</v>
      </c>
      <c r="AX463" s="146"/>
      <c r="AY463" s="150"/>
      <c r="AZ463" s="150"/>
      <c r="BA463" s="150"/>
      <c r="BB463" s="146"/>
      <c r="BC463" s="146"/>
      <c r="BD463" s="151"/>
      <c r="BE463" s="146"/>
      <c r="BF463" s="146"/>
      <c r="BH463" s="152" t="e">
        <f aca="false">_xlfn.xlookup(BG463,A:A,F:F)</f>
        <v>#NAME?</v>
      </c>
      <c r="BI463" s="153" t="e">
        <f aca="false">_xlfn.xlookup(BG463,A:A,J:J)</f>
        <v>#NAME?</v>
      </c>
      <c r="BJ463" s="153" t="e">
        <f aca="false">_xlfn.xlookup(BG463,A:A,N:N)+_xlfn.xlookup(BG463,A:A,O:O)</f>
        <v>#NAME?</v>
      </c>
      <c r="BK463" s="153" t="e">
        <f aca="false">_xlfn.xlookup(BG463,A412:A1406,AB412:AB1406)</f>
        <v>#NAME?</v>
      </c>
      <c r="BN463" s="146"/>
      <c r="BO463" s="150"/>
      <c r="BQ463" s="153" t="str">
        <f aca="false">IF(VALUE(MONTH(C463))&lt;10,YEAR(C463)&amp;"-0"&amp;MONTH(C463),YEAR(C463)&amp;"-"&amp;MONTH(C463))</f>
        <v>1900-01</v>
      </c>
      <c r="BR463" s="153" t="n">
        <f aca="false">J463</f>
        <v>0</v>
      </c>
      <c r="BS463" s="153" t="n">
        <f aca="false">IF(ISNUMBER(FIND("-", BR463)), LEFT(BR463, FIND("-", BR463) - 1), BR463)</f>
        <v>0</v>
      </c>
      <c r="BT463" s="189" t="n">
        <f aca="false">L463-M463+O463</f>
        <v>0</v>
      </c>
    </row>
    <row r="464" s="153" customFormat="true" ht="15" hidden="false" customHeight="false" outlineLevel="0" collapsed="false">
      <c r="AN464" s="153" t="e">
        <v>#NAME?</v>
      </c>
      <c r="AO464" s="153" t="e">
        <f aca="false">_xlfn.xlookup(AN464,A:A,F:F)</f>
        <v>#NAME?</v>
      </c>
      <c r="AP464" s="153" t="e">
        <f aca="false">_xlfn.xlookup(AN464,A:A,J:J)</f>
        <v>#NAME?</v>
      </c>
      <c r="AQ464" s="153" t="e">
        <f aca="false">_xlfn.xlookup(AN464,A:A,N:N)+_xlfn.xlookup(AN464,A:A,O:O)</f>
        <v>#NAME?</v>
      </c>
      <c r="AR464" s="150" t="e">
        <f aca="false">_xlfn.xlookup(AN464,A:A,AH:AH)</f>
        <v>#NAME?</v>
      </c>
      <c r="AS464" s="150" t="e">
        <f aca="false">_xlfn.xlookup(AN464,A:A,S:S)</f>
        <v>#NAME?</v>
      </c>
      <c r="AT464" s="150" t="e">
        <f aca="false">_xlfn.xlookup(AN464,A:A,AE:AE)</f>
        <v>#NAME?</v>
      </c>
      <c r="AU464" s="150" t="e">
        <f aca="false">_xlfn.xlookup(AN464,A:A,AF:AF)</f>
        <v>#NAME?</v>
      </c>
      <c r="AX464" s="146"/>
      <c r="AY464" s="150"/>
      <c r="AZ464" s="150"/>
      <c r="BA464" s="150"/>
      <c r="BB464" s="146"/>
      <c r="BC464" s="146"/>
      <c r="BD464" s="151"/>
      <c r="BE464" s="146"/>
      <c r="BF464" s="146"/>
      <c r="BH464" s="152" t="e">
        <f aca="false">_xlfn.xlookup(BG464,A:A,F:F)</f>
        <v>#NAME?</v>
      </c>
      <c r="BI464" s="153" t="e">
        <f aca="false">_xlfn.xlookup(BG464,A:A,J:J)</f>
        <v>#NAME?</v>
      </c>
      <c r="BJ464" s="153" t="e">
        <f aca="false">_xlfn.xlookup(BG464,A:A,N:N)+_xlfn.xlookup(BG464,A:A,O:O)</f>
        <v>#NAME?</v>
      </c>
      <c r="BK464" s="153" t="e">
        <f aca="false">_xlfn.xlookup(BG464,A413:A1407,AB413:AB1407)</f>
        <v>#NAME?</v>
      </c>
      <c r="BN464" s="146"/>
      <c r="BO464" s="150"/>
      <c r="BQ464" s="153" t="str">
        <f aca="false">IF(VALUE(MONTH(C464))&lt;10,YEAR(C464)&amp;"-0"&amp;MONTH(C464),YEAR(C464)&amp;"-"&amp;MONTH(C464))</f>
        <v>1900-01</v>
      </c>
      <c r="BR464" s="153" t="n">
        <f aca="false">J464</f>
        <v>0</v>
      </c>
      <c r="BS464" s="153" t="n">
        <f aca="false">IF(ISNUMBER(FIND("-", BR464)), LEFT(BR464, FIND("-", BR464) - 1), BR464)</f>
        <v>0</v>
      </c>
      <c r="BT464" s="189" t="n">
        <f aca="false">L464-M464+O464</f>
        <v>0</v>
      </c>
    </row>
    <row r="465" s="153" customFormat="true" ht="15" hidden="false" customHeight="false" outlineLevel="0" collapsed="false">
      <c r="AN465" s="153" t="e">
        <v>#NAME?</v>
      </c>
      <c r="AO465" s="153" t="e">
        <f aca="false">_xlfn.xlookup(AN465,A:A,F:F)</f>
        <v>#NAME?</v>
      </c>
      <c r="AP465" s="153" t="e">
        <f aca="false">_xlfn.xlookup(AN465,A:A,J:J)</f>
        <v>#NAME?</v>
      </c>
      <c r="AQ465" s="153" t="e">
        <f aca="false">_xlfn.xlookup(AN465,A:A,N:N)+_xlfn.xlookup(AN465,A:A,O:O)</f>
        <v>#NAME?</v>
      </c>
      <c r="AR465" s="150" t="e">
        <f aca="false">_xlfn.xlookup(AN465,A:A,AH:AH)</f>
        <v>#NAME?</v>
      </c>
      <c r="AS465" s="150" t="e">
        <f aca="false">_xlfn.xlookup(AN465,A:A,S:S)</f>
        <v>#NAME?</v>
      </c>
      <c r="AT465" s="150" t="e">
        <f aca="false">_xlfn.xlookup(AN465,A:A,AE:AE)</f>
        <v>#NAME?</v>
      </c>
      <c r="AU465" s="150" t="e">
        <f aca="false">_xlfn.xlookup(AN465,A:A,AF:AF)</f>
        <v>#NAME?</v>
      </c>
      <c r="AX465" s="146"/>
      <c r="AY465" s="150"/>
      <c r="AZ465" s="150"/>
      <c r="BA465" s="150"/>
      <c r="BB465" s="146"/>
      <c r="BC465" s="146"/>
      <c r="BD465" s="151"/>
      <c r="BE465" s="146"/>
      <c r="BF465" s="146"/>
      <c r="BH465" s="152" t="e">
        <f aca="false">_xlfn.xlookup(BG465,A:A,F:F)</f>
        <v>#NAME?</v>
      </c>
      <c r="BI465" s="153" t="e">
        <f aca="false">_xlfn.xlookup(BG465,A:A,J:J)</f>
        <v>#NAME?</v>
      </c>
      <c r="BJ465" s="153" t="e">
        <f aca="false">_xlfn.xlookup(BG465,A:A,N:N)+_xlfn.xlookup(BG465,A:A,O:O)</f>
        <v>#NAME?</v>
      </c>
      <c r="BK465" s="153" t="e">
        <f aca="false">_xlfn.xlookup(BG465,A414:A1408,AB414:AB1408)</f>
        <v>#NAME?</v>
      </c>
      <c r="BN465" s="146"/>
      <c r="BO465" s="150"/>
      <c r="BQ465" s="153" t="str">
        <f aca="false">IF(VALUE(MONTH(C465))&lt;10,YEAR(C465)&amp;"-0"&amp;MONTH(C465),YEAR(C465)&amp;"-"&amp;MONTH(C465))</f>
        <v>1900-01</v>
      </c>
      <c r="BR465" s="153" t="n">
        <f aca="false">J465</f>
        <v>0</v>
      </c>
      <c r="BS465" s="153" t="n">
        <f aca="false">IF(ISNUMBER(FIND("-", BR465)), LEFT(BR465, FIND("-", BR465) - 1), BR465)</f>
        <v>0</v>
      </c>
      <c r="BT465" s="189" t="n">
        <f aca="false">L465-M465+O465</f>
        <v>0</v>
      </c>
    </row>
    <row r="466" s="153" customFormat="true" ht="15" hidden="false" customHeight="false" outlineLevel="0" collapsed="false">
      <c r="AN466" s="153" t="e">
        <v>#NAME?</v>
      </c>
      <c r="AO466" s="153" t="e">
        <f aca="false">_xlfn.xlookup(AN466,A:A,F:F)</f>
        <v>#NAME?</v>
      </c>
      <c r="AP466" s="153" t="e">
        <f aca="false">_xlfn.xlookup(AN466,A:A,J:J)</f>
        <v>#NAME?</v>
      </c>
      <c r="AQ466" s="153" t="e">
        <f aca="false">_xlfn.xlookup(AN466,A:A,N:N)+_xlfn.xlookup(AN466,A:A,O:O)</f>
        <v>#NAME?</v>
      </c>
      <c r="AR466" s="150" t="e">
        <f aca="false">_xlfn.xlookup(AN466,A:A,AH:AH)</f>
        <v>#NAME?</v>
      </c>
      <c r="AS466" s="150" t="e">
        <f aca="false">_xlfn.xlookup(AN466,A:A,S:S)</f>
        <v>#NAME?</v>
      </c>
      <c r="AT466" s="150" t="e">
        <f aca="false">_xlfn.xlookup(AN466,A:A,AE:AE)</f>
        <v>#NAME?</v>
      </c>
      <c r="AU466" s="150" t="e">
        <f aca="false">_xlfn.xlookup(AN466,A:A,AF:AF)</f>
        <v>#NAME?</v>
      </c>
      <c r="AX466" s="146"/>
      <c r="AY466" s="150"/>
      <c r="AZ466" s="150"/>
      <c r="BA466" s="150"/>
      <c r="BB466" s="146"/>
      <c r="BC466" s="146"/>
      <c r="BD466" s="151"/>
      <c r="BE466" s="146"/>
      <c r="BF466" s="146"/>
      <c r="BH466" s="152" t="e">
        <f aca="false">_xlfn.xlookup(BG466,A:A,F:F)</f>
        <v>#NAME?</v>
      </c>
      <c r="BI466" s="153" t="e">
        <f aca="false">_xlfn.xlookup(BG466,A:A,J:J)</f>
        <v>#NAME?</v>
      </c>
      <c r="BJ466" s="153" t="e">
        <f aca="false">_xlfn.xlookup(BG466,A:A,N:N)+_xlfn.xlookup(BG466,A:A,O:O)</f>
        <v>#NAME?</v>
      </c>
      <c r="BK466" s="153" t="e">
        <f aca="false">_xlfn.xlookup(BG466,A415:A1409,AB415:AB1409)</f>
        <v>#NAME?</v>
      </c>
      <c r="BN466" s="146"/>
      <c r="BO466" s="150"/>
      <c r="BQ466" s="153" t="str">
        <f aca="false">IF(VALUE(MONTH(C466))&lt;10,YEAR(C466)&amp;"-0"&amp;MONTH(C466),YEAR(C466)&amp;"-"&amp;MONTH(C466))</f>
        <v>1900-01</v>
      </c>
      <c r="BR466" s="153" t="n">
        <f aca="false">J466</f>
        <v>0</v>
      </c>
      <c r="BS466" s="153" t="n">
        <f aca="false">IF(ISNUMBER(FIND("-", BR466)), LEFT(BR466, FIND("-", BR466) - 1), BR466)</f>
        <v>0</v>
      </c>
      <c r="BT466" s="189" t="n">
        <f aca="false">L466-M466+O466</f>
        <v>0</v>
      </c>
    </row>
    <row r="467" s="153" customFormat="true" ht="15" hidden="false" customHeight="false" outlineLevel="0" collapsed="false">
      <c r="AN467" s="153" t="e">
        <v>#NAME?</v>
      </c>
      <c r="AO467" s="153" t="e">
        <f aca="false">_xlfn.xlookup(AN467,A:A,F:F)</f>
        <v>#NAME?</v>
      </c>
      <c r="AP467" s="153" t="e">
        <f aca="false">_xlfn.xlookup(AN467,A:A,J:J)</f>
        <v>#NAME?</v>
      </c>
      <c r="AQ467" s="153" t="e">
        <f aca="false">_xlfn.xlookup(AN467,A:A,N:N)+_xlfn.xlookup(AN467,A:A,O:O)</f>
        <v>#NAME?</v>
      </c>
      <c r="AR467" s="150" t="e">
        <f aca="false">_xlfn.xlookup(AN467,A:A,AH:AH)</f>
        <v>#NAME?</v>
      </c>
      <c r="AS467" s="150" t="e">
        <f aca="false">_xlfn.xlookup(AN467,A:A,S:S)</f>
        <v>#NAME?</v>
      </c>
      <c r="AT467" s="150" t="e">
        <f aca="false">_xlfn.xlookup(AN467,A:A,AE:AE)</f>
        <v>#NAME?</v>
      </c>
      <c r="AU467" s="150" t="e">
        <f aca="false">_xlfn.xlookup(AN467,A:A,AF:AF)</f>
        <v>#NAME?</v>
      </c>
      <c r="AX467" s="146"/>
      <c r="AY467" s="150"/>
      <c r="AZ467" s="150"/>
      <c r="BA467" s="150"/>
      <c r="BB467" s="146"/>
      <c r="BC467" s="146"/>
      <c r="BD467" s="151"/>
      <c r="BE467" s="146"/>
      <c r="BF467" s="146"/>
      <c r="BH467" s="152" t="e">
        <f aca="false">_xlfn.xlookup(BG467,A:A,F:F)</f>
        <v>#NAME?</v>
      </c>
      <c r="BI467" s="153" t="e">
        <f aca="false">_xlfn.xlookup(BG467,A:A,J:J)</f>
        <v>#NAME?</v>
      </c>
      <c r="BJ467" s="153" t="e">
        <f aca="false">_xlfn.xlookup(BG467,A:A,N:N)+_xlfn.xlookup(BG467,A:A,O:O)</f>
        <v>#NAME?</v>
      </c>
      <c r="BK467" s="153" t="e">
        <f aca="false">_xlfn.xlookup(BG467,A416:A1410,AB416:AB1410)</f>
        <v>#NAME?</v>
      </c>
      <c r="BN467" s="146"/>
      <c r="BO467" s="150"/>
      <c r="BQ467" s="153" t="str">
        <f aca="false">IF(VALUE(MONTH(C467))&lt;10,YEAR(C467)&amp;"-0"&amp;MONTH(C467),YEAR(C467)&amp;"-"&amp;MONTH(C467))</f>
        <v>1900-01</v>
      </c>
      <c r="BR467" s="153" t="n">
        <f aca="false">J467</f>
        <v>0</v>
      </c>
      <c r="BS467" s="153" t="n">
        <f aca="false">IF(ISNUMBER(FIND("-", BR467)), LEFT(BR467, FIND("-", BR467) - 1), BR467)</f>
        <v>0</v>
      </c>
      <c r="BT467" s="189" t="n">
        <f aca="false">L467-M467+O467</f>
        <v>0</v>
      </c>
    </row>
    <row r="468" s="153" customFormat="true" ht="15" hidden="false" customHeight="false" outlineLevel="0" collapsed="false">
      <c r="AN468" s="153" t="e">
        <v>#NAME?</v>
      </c>
      <c r="AO468" s="153" t="e">
        <f aca="false">_xlfn.xlookup(AN468,A:A,F:F)</f>
        <v>#NAME?</v>
      </c>
      <c r="AP468" s="153" t="e">
        <f aca="false">_xlfn.xlookup(AN468,A:A,J:J)</f>
        <v>#NAME?</v>
      </c>
      <c r="AQ468" s="153" t="e">
        <f aca="false">_xlfn.xlookup(AN468,A:A,N:N)+_xlfn.xlookup(AN468,A:A,O:O)</f>
        <v>#NAME?</v>
      </c>
      <c r="AR468" s="150" t="e">
        <f aca="false">_xlfn.xlookup(AN468,A:A,AH:AH)</f>
        <v>#NAME?</v>
      </c>
      <c r="AS468" s="150" t="e">
        <f aca="false">_xlfn.xlookup(AN468,A:A,S:S)</f>
        <v>#NAME?</v>
      </c>
      <c r="AT468" s="150" t="e">
        <f aca="false">_xlfn.xlookup(AN468,A:A,AE:AE)</f>
        <v>#NAME?</v>
      </c>
      <c r="AU468" s="150" t="e">
        <f aca="false">_xlfn.xlookup(AN468,A:A,AF:AF)</f>
        <v>#NAME?</v>
      </c>
      <c r="AX468" s="146"/>
      <c r="AY468" s="150"/>
      <c r="AZ468" s="150"/>
      <c r="BA468" s="150"/>
      <c r="BB468" s="146"/>
      <c r="BC468" s="146"/>
      <c r="BD468" s="151"/>
      <c r="BE468" s="146"/>
      <c r="BF468" s="146"/>
      <c r="BH468" s="152" t="e">
        <f aca="false">_xlfn.xlookup(BG468,A:A,F:F)</f>
        <v>#NAME?</v>
      </c>
      <c r="BI468" s="153" t="e">
        <f aca="false">_xlfn.xlookup(BG468,A:A,J:J)</f>
        <v>#NAME?</v>
      </c>
      <c r="BJ468" s="153" t="e">
        <f aca="false">_xlfn.xlookup(BG468,A:A,N:N)+_xlfn.xlookup(BG468,A:A,O:O)</f>
        <v>#NAME?</v>
      </c>
      <c r="BK468" s="153" t="e">
        <f aca="false">_xlfn.xlookup(BG468,A417:A1411,AB417:AB1411)</f>
        <v>#NAME?</v>
      </c>
      <c r="BN468" s="146"/>
      <c r="BO468" s="150"/>
      <c r="BQ468" s="153" t="str">
        <f aca="false">IF(VALUE(MONTH(C468))&lt;10,YEAR(C468)&amp;"-0"&amp;MONTH(C468),YEAR(C468)&amp;"-"&amp;MONTH(C468))</f>
        <v>1900-01</v>
      </c>
      <c r="BR468" s="153" t="n">
        <f aca="false">J468</f>
        <v>0</v>
      </c>
      <c r="BS468" s="153" t="n">
        <f aca="false">IF(ISNUMBER(FIND("-", BR468)), LEFT(BR468, FIND("-", BR468) - 1), BR468)</f>
        <v>0</v>
      </c>
      <c r="BT468" s="189" t="n">
        <f aca="false">L468-M468+O468</f>
        <v>0</v>
      </c>
    </row>
    <row r="469" s="153" customFormat="true" ht="15" hidden="false" customHeight="false" outlineLevel="0" collapsed="false">
      <c r="AN469" s="153" t="e">
        <v>#NAME?</v>
      </c>
      <c r="AO469" s="153" t="e">
        <f aca="false">_xlfn.xlookup(AN469,A:A,F:F)</f>
        <v>#NAME?</v>
      </c>
      <c r="AP469" s="153" t="e">
        <f aca="false">_xlfn.xlookup(AN469,A:A,J:J)</f>
        <v>#NAME?</v>
      </c>
      <c r="AQ469" s="153" t="e">
        <f aca="false">_xlfn.xlookup(AN469,A:A,N:N)+_xlfn.xlookup(AN469,A:A,O:O)</f>
        <v>#NAME?</v>
      </c>
      <c r="AR469" s="150" t="e">
        <f aca="false">_xlfn.xlookup(AN469,A:A,AH:AH)</f>
        <v>#NAME?</v>
      </c>
      <c r="AS469" s="150" t="e">
        <f aca="false">_xlfn.xlookup(AN469,A:A,S:S)</f>
        <v>#NAME?</v>
      </c>
      <c r="AT469" s="150" t="e">
        <f aca="false">_xlfn.xlookup(AN469,A:A,AE:AE)</f>
        <v>#NAME?</v>
      </c>
      <c r="AU469" s="150" t="e">
        <f aca="false">_xlfn.xlookup(AN469,A:A,AF:AF)</f>
        <v>#NAME?</v>
      </c>
      <c r="AX469" s="146"/>
      <c r="AY469" s="150"/>
      <c r="AZ469" s="150"/>
      <c r="BA469" s="150"/>
      <c r="BB469" s="146"/>
      <c r="BC469" s="146"/>
      <c r="BD469" s="151"/>
      <c r="BE469" s="146"/>
      <c r="BF469" s="146"/>
      <c r="BH469" s="152" t="e">
        <f aca="false">_xlfn.xlookup(BG469,A:A,F:F)</f>
        <v>#NAME?</v>
      </c>
      <c r="BI469" s="153" t="e">
        <f aca="false">_xlfn.xlookup(BG469,A:A,J:J)</f>
        <v>#NAME?</v>
      </c>
      <c r="BJ469" s="153" t="e">
        <f aca="false">_xlfn.xlookup(BG469,A:A,N:N)+_xlfn.xlookup(BG469,A:A,O:O)</f>
        <v>#NAME?</v>
      </c>
      <c r="BK469" s="153" t="e">
        <f aca="false">_xlfn.xlookup(BG469,A418:A1412,AB418:AB1412)</f>
        <v>#NAME?</v>
      </c>
      <c r="BN469" s="146"/>
      <c r="BO469" s="150"/>
      <c r="BQ469" s="153" t="str">
        <f aca="false">IF(VALUE(MONTH(C469))&lt;10,YEAR(C469)&amp;"-0"&amp;MONTH(C469),YEAR(C469)&amp;"-"&amp;MONTH(C469))</f>
        <v>1900-01</v>
      </c>
      <c r="BR469" s="153" t="n">
        <f aca="false">J469</f>
        <v>0</v>
      </c>
      <c r="BS469" s="153" t="n">
        <f aca="false">IF(ISNUMBER(FIND("-", BR469)), LEFT(BR469, FIND("-", BR469) - 1), BR469)</f>
        <v>0</v>
      </c>
      <c r="BT469" s="189" t="n">
        <f aca="false">L469-M469+O469</f>
        <v>0</v>
      </c>
    </row>
    <row r="470" s="153" customFormat="true" ht="15" hidden="false" customHeight="false" outlineLevel="0" collapsed="false">
      <c r="AN470" s="153" t="e">
        <v>#NAME?</v>
      </c>
      <c r="AO470" s="153" t="e">
        <f aca="false">_xlfn.xlookup(AN470,A:A,F:F)</f>
        <v>#NAME?</v>
      </c>
      <c r="AP470" s="153" t="e">
        <f aca="false">_xlfn.xlookup(AN470,A:A,J:J)</f>
        <v>#NAME?</v>
      </c>
      <c r="AQ470" s="153" t="e">
        <f aca="false">_xlfn.xlookup(AN470,A:A,N:N)+_xlfn.xlookup(AN470,A:A,O:O)</f>
        <v>#NAME?</v>
      </c>
      <c r="AR470" s="150" t="e">
        <f aca="false">_xlfn.xlookup(AN470,A:A,AH:AH)</f>
        <v>#NAME?</v>
      </c>
      <c r="AS470" s="150" t="e">
        <f aca="false">_xlfn.xlookup(AN470,A:A,S:S)</f>
        <v>#NAME?</v>
      </c>
      <c r="AT470" s="150" t="e">
        <f aca="false">_xlfn.xlookup(AN470,A:A,AE:AE)</f>
        <v>#NAME?</v>
      </c>
      <c r="AU470" s="150" t="e">
        <f aca="false">_xlfn.xlookup(AN470,A:A,AF:AF)</f>
        <v>#NAME?</v>
      </c>
      <c r="AX470" s="146"/>
      <c r="AY470" s="150"/>
      <c r="AZ470" s="150"/>
      <c r="BA470" s="150"/>
      <c r="BB470" s="146"/>
      <c r="BC470" s="146"/>
      <c r="BD470" s="151"/>
      <c r="BE470" s="146"/>
      <c r="BF470" s="146"/>
      <c r="BH470" s="152" t="e">
        <f aca="false">_xlfn.xlookup(BG470,A:A,F:F)</f>
        <v>#NAME?</v>
      </c>
      <c r="BI470" s="153" t="e">
        <f aca="false">_xlfn.xlookup(BG470,A:A,J:J)</f>
        <v>#NAME?</v>
      </c>
      <c r="BJ470" s="153" t="e">
        <f aca="false">_xlfn.xlookup(BG470,A:A,N:N)+_xlfn.xlookup(BG470,A:A,O:O)</f>
        <v>#NAME?</v>
      </c>
      <c r="BK470" s="153" t="e">
        <f aca="false">_xlfn.xlookup(BG470,A419:A1413,AB419:AB1413)</f>
        <v>#NAME?</v>
      </c>
      <c r="BN470" s="146"/>
      <c r="BO470" s="150"/>
      <c r="BQ470" s="153" t="str">
        <f aca="false">IF(VALUE(MONTH(C470))&lt;10,YEAR(C470)&amp;"-0"&amp;MONTH(C470),YEAR(C470)&amp;"-"&amp;MONTH(C470))</f>
        <v>1900-01</v>
      </c>
      <c r="BR470" s="153" t="n">
        <f aca="false">J470</f>
        <v>0</v>
      </c>
      <c r="BS470" s="153" t="n">
        <f aca="false">IF(ISNUMBER(FIND("-", BR470)), LEFT(BR470, FIND("-", BR470) - 1), BR470)</f>
        <v>0</v>
      </c>
      <c r="BT470" s="189" t="n">
        <f aca="false">L470-M470+O470</f>
        <v>0</v>
      </c>
    </row>
    <row r="471" s="153" customFormat="true" ht="15" hidden="false" customHeight="false" outlineLevel="0" collapsed="false">
      <c r="AN471" s="153" t="e">
        <v>#NAME?</v>
      </c>
      <c r="AO471" s="153" t="e">
        <f aca="false">_xlfn.xlookup(AN471,A:A,F:F)</f>
        <v>#NAME?</v>
      </c>
      <c r="AP471" s="153" t="e">
        <f aca="false">_xlfn.xlookup(AN471,A:A,J:J)</f>
        <v>#NAME?</v>
      </c>
      <c r="AQ471" s="153" t="e">
        <f aca="false">_xlfn.xlookup(AN471,A:A,N:N)+_xlfn.xlookup(AN471,A:A,O:O)</f>
        <v>#NAME?</v>
      </c>
      <c r="AR471" s="150" t="e">
        <f aca="false">_xlfn.xlookup(AN471,A:A,AH:AH)</f>
        <v>#NAME?</v>
      </c>
      <c r="AS471" s="150" t="e">
        <f aca="false">_xlfn.xlookup(AN471,A:A,S:S)</f>
        <v>#NAME?</v>
      </c>
      <c r="AT471" s="150" t="e">
        <f aca="false">_xlfn.xlookup(AN471,A:A,AE:AE)</f>
        <v>#NAME?</v>
      </c>
      <c r="AU471" s="150" t="e">
        <f aca="false">_xlfn.xlookup(AN471,A:A,AF:AF)</f>
        <v>#NAME?</v>
      </c>
      <c r="AX471" s="146"/>
      <c r="AY471" s="150"/>
      <c r="AZ471" s="150"/>
      <c r="BA471" s="150"/>
      <c r="BB471" s="146"/>
      <c r="BC471" s="146"/>
      <c r="BD471" s="151"/>
      <c r="BE471" s="146"/>
      <c r="BF471" s="146"/>
      <c r="BH471" s="152" t="e">
        <f aca="false">_xlfn.xlookup(BG471,A:A,F:F)</f>
        <v>#NAME?</v>
      </c>
      <c r="BI471" s="153" t="e">
        <f aca="false">_xlfn.xlookup(BG471,A:A,J:J)</f>
        <v>#NAME?</v>
      </c>
      <c r="BJ471" s="153" t="e">
        <f aca="false">_xlfn.xlookup(BG471,A:A,N:N)+_xlfn.xlookup(BG471,A:A,O:O)</f>
        <v>#NAME?</v>
      </c>
      <c r="BK471" s="153" t="e">
        <f aca="false">_xlfn.xlookup(BG471,A420:A1414,AB420:AB1414)</f>
        <v>#NAME?</v>
      </c>
      <c r="BN471" s="146"/>
      <c r="BO471" s="150"/>
      <c r="BQ471" s="153" t="str">
        <f aca="false">IF(VALUE(MONTH(C471))&lt;10,YEAR(C471)&amp;"-0"&amp;MONTH(C471),YEAR(C471)&amp;"-"&amp;MONTH(C471))</f>
        <v>1900-01</v>
      </c>
      <c r="BR471" s="153" t="n">
        <f aca="false">J471</f>
        <v>0</v>
      </c>
      <c r="BS471" s="153" t="n">
        <f aca="false">IF(ISNUMBER(FIND("-", BR471)), LEFT(BR471, FIND("-", BR471) - 1), BR471)</f>
        <v>0</v>
      </c>
      <c r="BT471" s="189" t="n">
        <f aca="false">L471-M471+O471</f>
        <v>0</v>
      </c>
    </row>
    <row r="472" s="153" customFormat="true" ht="15" hidden="false" customHeight="false" outlineLevel="0" collapsed="false">
      <c r="AN472" s="153" t="e">
        <v>#NAME?</v>
      </c>
      <c r="AO472" s="153" t="e">
        <f aca="false">_xlfn.xlookup(AN472,A:A,F:F)</f>
        <v>#NAME?</v>
      </c>
      <c r="AP472" s="153" t="e">
        <f aca="false">_xlfn.xlookup(AN472,A:A,J:J)</f>
        <v>#NAME?</v>
      </c>
      <c r="AQ472" s="153" t="e">
        <f aca="false">_xlfn.xlookup(AN472,A:A,N:N)+_xlfn.xlookup(AN472,A:A,O:O)</f>
        <v>#NAME?</v>
      </c>
      <c r="AR472" s="150" t="e">
        <f aca="false">_xlfn.xlookup(AN472,A:A,AH:AH)</f>
        <v>#NAME?</v>
      </c>
      <c r="AS472" s="150" t="e">
        <f aca="false">_xlfn.xlookup(AN472,A:A,S:S)</f>
        <v>#NAME?</v>
      </c>
      <c r="AT472" s="150" t="e">
        <f aca="false">_xlfn.xlookup(AN472,A:A,AE:AE)</f>
        <v>#NAME?</v>
      </c>
      <c r="AU472" s="150" t="e">
        <f aca="false">_xlfn.xlookup(AN472,A:A,AF:AF)</f>
        <v>#NAME?</v>
      </c>
      <c r="AX472" s="146"/>
      <c r="AY472" s="150"/>
      <c r="AZ472" s="150"/>
      <c r="BA472" s="150"/>
      <c r="BB472" s="146"/>
      <c r="BC472" s="146"/>
      <c r="BD472" s="151"/>
      <c r="BE472" s="146"/>
      <c r="BF472" s="146"/>
      <c r="BH472" s="152" t="e">
        <f aca="false">_xlfn.xlookup(BG472,A:A,F:F)</f>
        <v>#NAME?</v>
      </c>
      <c r="BI472" s="153" t="e">
        <f aca="false">_xlfn.xlookup(BG472,A:A,J:J)</f>
        <v>#NAME?</v>
      </c>
      <c r="BJ472" s="153" t="e">
        <f aca="false">_xlfn.xlookup(BG472,A:A,N:N)+_xlfn.xlookup(BG472,A:A,O:O)</f>
        <v>#NAME?</v>
      </c>
      <c r="BK472" s="153" t="e">
        <f aca="false">_xlfn.xlookup(BG472,A421:A1415,AB421:AB1415)</f>
        <v>#NAME?</v>
      </c>
      <c r="BN472" s="146"/>
      <c r="BO472" s="150"/>
      <c r="BQ472" s="153" t="str">
        <f aca="false">IF(VALUE(MONTH(C472))&lt;10,YEAR(C472)&amp;"-0"&amp;MONTH(C472),YEAR(C472)&amp;"-"&amp;MONTH(C472))</f>
        <v>1900-01</v>
      </c>
      <c r="BR472" s="153" t="n">
        <f aca="false">J472</f>
        <v>0</v>
      </c>
      <c r="BS472" s="153" t="n">
        <f aca="false">IF(ISNUMBER(FIND("-", BR472)), LEFT(BR472, FIND("-", BR472) - 1), BR472)</f>
        <v>0</v>
      </c>
      <c r="BT472" s="189" t="n">
        <f aca="false">L472-M472+O472</f>
        <v>0</v>
      </c>
    </row>
    <row r="473" s="153" customFormat="true" ht="15" hidden="false" customHeight="false" outlineLevel="0" collapsed="false">
      <c r="AN473" s="153" t="e">
        <v>#NAME?</v>
      </c>
      <c r="AO473" s="153" t="e">
        <f aca="false">_xlfn.xlookup(AN473,A:A,F:F)</f>
        <v>#NAME?</v>
      </c>
      <c r="AP473" s="153" t="e">
        <f aca="false">_xlfn.xlookup(AN473,A:A,J:J)</f>
        <v>#NAME?</v>
      </c>
      <c r="AQ473" s="153" t="e">
        <f aca="false">_xlfn.xlookup(AN473,A:A,N:N)+_xlfn.xlookup(AN473,A:A,O:O)</f>
        <v>#NAME?</v>
      </c>
      <c r="AR473" s="150" t="e">
        <f aca="false">_xlfn.xlookup(AN473,A:A,AH:AH)</f>
        <v>#NAME?</v>
      </c>
      <c r="AS473" s="150" t="e">
        <f aca="false">_xlfn.xlookup(AN473,A:A,S:S)</f>
        <v>#NAME?</v>
      </c>
      <c r="AT473" s="150" t="e">
        <f aca="false">_xlfn.xlookup(AN473,A:A,AE:AE)</f>
        <v>#NAME?</v>
      </c>
      <c r="AU473" s="150" t="e">
        <f aca="false">_xlfn.xlookup(AN473,A:A,AF:AF)</f>
        <v>#NAME?</v>
      </c>
      <c r="AX473" s="146"/>
      <c r="AY473" s="150"/>
      <c r="AZ473" s="150"/>
      <c r="BA473" s="150"/>
      <c r="BB473" s="146"/>
      <c r="BC473" s="146"/>
      <c r="BD473" s="151"/>
      <c r="BE473" s="146"/>
      <c r="BF473" s="146"/>
      <c r="BH473" s="152" t="e">
        <f aca="false">_xlfn.xlookup(BG473,A:A,F:F)</f>
        <v>#NAME?</v>
      </c>
      <c r="BI473" s="153" t="e">
        <f aca="false">_xlfn.xlookup(BG473,A:A,J:J)</f>
        <v>#NAME?</v>
      </c>
      <c r="BJ473" s="153" t="e">
        <f aca="false">_xlfn.xlookup(BG473,A:A,N:N)+_xlfn.xlookup(BG473,A:A,O:O)</f>
        <v>#NAME?</v>
      </c>
      <c r="BK473" s="153" t="e">
        <f aca="false">_xlfn.xlookup(BG473,A422:A1416,AB422:AB1416)</f>
        <v>#NAME?</v>
      </c>
      <c r="BN473" s="146"/>
      <c r="BO473" s="150"/>
      <c r="BQ473" s="153" t="str">
        <f aca="false">IF(VALUE(MONTH(C473))&lt;10,YEAR(C473)&amp;"-0"&amp;MONTH(C473),YEAR(C473)&amp;"-"&amp;MONTH(C473))</f>
        <v>1900-01</v>
      </c>
      <c r="BR473" s="153" t="n">
        <f aca="false">J473</f>
        <v>0</v>
      </c>
      <c r="BS473" s="153" t="n">
        <f aca="false">IF(ISNUMBER(FIND("-", BR473)), LEFT(BR473, FIND("-", BR473) - 1), BR473)</f>
        <v>0</v>
      </c>
      <c r="BT473" s="189" t="n">
        <f aca="false">L473-M473+O473</f>
        <v>0</v>
      </c>
    </row>
    <row r="474" s="153" customFormat="true" ht="15" hidden="false" customHeight="false" outlineLevel="0" collapsed="false">
      <c r="AN474" s="153" t="e">
        <v>#NAME?</v>
      </c>
      <c r="AO474" s="153" t="e">
        <f aca="false">_xlfn.xlookup(AN474,A:A,F:F)</f>
        <v>#NAME?</v>
      </c>
      <c r="AP474" s="153" t="e">
        <f aca="false">_xlfn.xlookup(AN474,A:A,J:J)</f>
        <v>#NAME?</v>
      </c>
      <c r="AQ474" s="153" t="e">
        <f aca="false">_xlfn.xlookup(AN474,A:A,N:N)+_xlfn.xlookup(AN474,A:A,O:O)</f>
        <v>#NAME?</v>
      </c>
      <c r="AR474" s="150" t="e">
        <f aca="false">_xlfn.xlookup(AN474,A:A,AH:AH)</f>
        <v>#NAME?</v>
      </c>
      <c r="AS474" s="150" t="e">
        <f aca="false">_xlfn.xlookup(AN474,A:A,S:S)</f>
        <v>#NAME?</v>
      </c>
      <c r="AT474" s="150" t="e">
        <f aca="false">_xlfn.xlookup(AN474,A:A,AE:AE)</f>
        <v>#NAME?</v>
      </c>
      <c r="AU474" s="150" t="e">
        <f aca="false">_xlfn.xlookup(AN474,A:A,AF:AF)</f>
        <v>#NAME?</v>
      </c>
      <c r="AX474" s="146"/>
      <c r="AY474" s="150"/>
      <c r="AZ474" s="150"/>
      <c r="BA474" s="150"/>
      <c r="BB474" s="146"/>
      <c r="BC474" s="146"/>
      <c r="BD474" s="151"/>
      <c r="BE474" s="146"/>
      <c r="BF474" s="146"/>
      <c r="BH474" s="152" t="e">
        <f aca="false">_xlfn.xlookup(BG474,A:A,F:F)</f>
        <v>#NAME?</v>
      </c>
      <c r="BI474" s="153" t="e">
        <f aca="false">_xlfn.xlookup(BG474,A:A,J:J)</f>
        <v>#NAME?</v>
      </c>
      <c r="BJ474" s="153" t="e">
        <f aca="false">_xlfn.xlookup(BG474,A:A,N:N)+_xlfn.xlookup(BG474,A:A,O:O)</f>
        <v>#NAME?</v>
      </c>
      <c r="BK474" s="153" t="e">
        <f aca="false">_xlfn.xlookup(BG474,A423:A1417,AB423:AB1417)</f>
        <v>#NAME?</v>
      </c>
      <c r="BN474" s="146"/>
      <c r="BO474" s="150"/>
      <c r="BQ474" s="153" t="str">
        <f aca="false">IF(VALUE(MONTH(C474))&lt;10,YEAR(C474)&amp;"-0"&amp;MONTH(C474),YEAR(C474)&amp;"-"&amp;MONTH(C474))</f>
        <v>1900-01</v>
      </c>
      <c r="BR474" s="153" t="n">
        <f aca="false">J474</f>
        <v>0</v>
      </c>
      <c r="BS474" s="153" t="n">
        <f aca="false">IF(ISNUMBER(FIND("-", BR474)), LEFT(BR474, FIND("-", BR474) - 1), BR474)</f>
        <v>0</v>
      </c>
      <c r="BT474" s="189" t="n">
        <f aca="false">L474-M474+O474</f>
        <v>0</v>
      </c>
    </row>
    <row r="475" s="153" customFormat="true" ht="15" hidden="false" customHeight="false" outlineLevel="0" collapsed="false">
      <c r="AN475" s="153" t="e">
        <v>#NAME?</v>
      </c>
      <c r="AO475" s="153" t="e">
        <f aca="false">_xlfn.xlookup(AN475,A:A,F:F)</f>
        <v>#NAME?</v>
      </c>
      <c r="AP475" s="153" t="e">
        <f aca="false">_xlfn.xlookup(AN475,A:A,J:J)</f>
        <v>#NAME?</v>
      </c>
      <c r="AQ475" s="153" t="e">
        <f aca="false">_xlfn.xlookup(AN475,A:A,N:N)+_xlfn.xlookup(AN475,A:A,O:O)</f>
        <v>#NAME?</v>
      </c>
      <c r="AR475" s="150" t="e">
        <f aca="false">_xlfn.xlookup(AN475,A:A,AH:AH)</f>
        <v>#NAME?</v>
      </c>
      <c r="AS475" s="150" t="e">
        <f aca="false">_xlfn.xlookup(AN475,A:A,S:S)</f>
        <v>#NAME?</v>
      </c>
      <c r="AT475" s="150" t="e">
        <f aca="false">_xlfn.xlookup(AN475,A:A,AE:AE)</f>
        <v>#NAME?</v>
      </c>
      <c r="AU475" s="150" t="e">
        <f aca="false">_xlfn.xlookup(AN475,A:A,AF:AF)</f>
        <v>#NAME?</v>
      </c>
      <c r="AX475" s="146"/>
      <c r="AY475" s="150"/>
      <c r="AZ475" s="150"/>
      <c r="BA475" s="150"/>
      <c r="BB475" s="146"/>
      <c r="BC475" s="146"/>
      <c r="BD475" s="151"/>
      <c r="BE475" s="146"/>
      <c r="BF475" s="146"/>
      <c r="BH475" s="152" t="e">
        <f aca="false">_xlfn.xlookup(BG475,A:A,F:F)</f>
        <v>#NAME?</v>
      </c>
      <c r="BI475" s="153" t="e">
        <f aca="false">_xlfn.xlookup(BG475,A:A,J:J)</f>
        <v>#NAME?</v>
      </c>
      <c r="BJ475" s="153" t="e">
        <f aca="false">_xlfn.xlookup(BG475,A:A,N:N)+_xlfn.xlookup(BG475,A:A,O:O)</f>
        <v>#NAME?</v>
      </c>
      <c r="BK475" s="153" t="e">
        <f aca="false">_xlfn.xlookup(BG475,A424:A1418,AB424:AB1418)</f>
        <v>#NAME?</v>
      </c>
      <c r="BN475" s="146"/>
      <c r="BO475" s="150"/>
      <c r="BQ475" s="153" t="str">
        <f aca="false">IF(VALUE(MONTH(C475))&lt;10,YEAR(C475)&amp;"-0"&amp;MONTH(C475),YEAR(C475)&amp;"-"&amp;MONTH(C475))</f>
        <v>1900-01</v>
      </c>
      <c r="BR475" s="153" t="n">
        <f aca="false">J475</f>
        <v>0</v>
      </c>
      <c r="BS475" s="153" t="n">
        <f aca="false">IF(ISNUMBER(FIND("-", BR475)), LEFT(BR475, FIND("-", BR475) - 1), BR475)</f>
        <v>0</v>
      </c>
      <c r="BT475" s="189" t="n">
        <f aca="false">L475-M475+O475</f>
        <v>0</v>
      </c>
    </row>
    <row r="476" s="153" customFormat="true" ht="15" hidden="false" customHeight="false" outlineLevel="0" collapsed="false">
      <c r="AN476" s="153" t="e">
        <v>#NAME?</v>
      </c>
      <c r="AO476" s="153" t="e">
        <f aca="false">_xlfn.xlookup(AN476,A:A,F:F)</f>
        <v>#NAME?</v>
      </c>
      <c r="AP476" s="153" t="e">
        <f aca="false">_xlfn.xlookup(AN476,A:A,J:J)</f>
        <v>#NAME?</v>
      </c>
      <c r="AQ476" s="153" t="e">
        <f aca="false">_xlfn.xlookup(AN476,A:A,N:N)+_xlfn.xlookup(AN476,A:A,O:O)</f>
        <v>#NAME?</v>
      </c>
      <c r="AR476" s="150" t="e">
        <f aca="false">_xlfn.xlookup(AN476,A:A,AH:AH)</f>
        <v>#NAME?</v>
      </c>
      <c r="AS476" s="150" t="e">
        <f aca="false">_xlfn.xlookup(AN476,A:A,S:S)</f>
        <v>#NAME?</v>
      </c>
      <c r="AT476" s="150" t="e">
        <f aca="false">_xlfn.xlookup(AN476,A:A,AE:AE)</f>
        <v>#NAME?</v>
      </c>
      <c r="AU476" s="150" t="e">
        <f aca="false">_xlfn.xlookup(AN476,A:A,AF:AF)</f>
        <v>#NAME?</v>
      </c>
      <c r="AX476" s="146"/>
      <c r="AY476" s="150"/>
      <c r="AZ476" s="150"/>
      <c r="BA476" s="150"/>
      <c r="BB476" s="146"/>
      <c r="BC476" s="146"/>
      <c r="BD476" s="151"/>
      <c r="BE476" s="146"/>
      <c r="BF476" s="146"/>
      <c r="BH476" s="152" t="e">
        <f aca="false">_xlfn.xlookup(BG476,A:A,F:F)</f>
        <v>#NAME?</v>
      </c>
      <c r="BI476" s="153" t="e">
        <f aca="false">_xlfn.xlookup(BG476,A:A,J:J)</f>
        <v>#NAME?</v>
      </c>
      <c r="BJ476" s="153" t="e">
        <f aca="false">_xlfn.xlookup(BG476,A:A,N:N)+_xlfn.xlookup(BG476,A:A,O:O)</f>
        <v>#NAME?</v>
      </c>
      <c r="BK476" s="153" t="e">
        <f aca="false">_xlfn.xlookup(BG476,A425:A1419,AB425:AB1419)</f>
        <v>#NAME?</v>
      </c>
      <c r="BN476" s="146"/>
      <c r="BO476" s="150"/>
      <c r="BQ476" s="153" t="str">
        <f aca="false">IF(VALUE(MONTH(C476))&lt;10,YEAR(C476)&amp;"-0"&amp;MONTH(C476),YEAR(C476)&amp;"-"&amp;MONTH(C476))</f>
        <v>1900-01</v>
      </c>
      <c r="BR476" s="153" t="n">
        <f aca="false">J476</f>
        <v>0</v>
      </c>
      <c r="BS476" s="153" t="n">
        <f aca="false">IF(ISNUMBER(FIND("-", BR476)), LEFT(BR476, FIND("-", BR476) - 1), BR476)</f>
        <v>0</v>
      </c>
      <c r="BT476" s="189" t="n">
        <f aca="false">L476-M476+O476</f>
        <v>0</v>
      </c>
    </row>
    <row r="477" s="153" customFormat="true" ht="15" hidden="false" customHeight="false" outlineLevel="0" collapsed="false">
      <c r="AN477" s="153" t="e">
        <v>#NAME?</v>
      </c>
      <c r="AO477" s="153" t="e">
        <f aca="false">_xlfn.xlookup(AN477,A:A,F:F)</f>
        <v>#NAME?</v>
      </c>
      <c r="AP477" s="153" t="e">
        <f aca="false">_xlfn.xlookup(AN477,A:A,J:J)</f>
        <v>#NAME?</v>
      </c>
      <c r="AQ477" s="153" t="e">
        <f aca="false">_xlfn.xlookup(AN477,A:A,N:N)+_xlfn.xlookup(AN477,A:A,O:O)</f>
        <v>#NAME?</v>
      </c>
      <c r="AR477" s="150" t="e">
        <f aca="false">_xlfn.xlookup(AN477,A:A,AH:AH)</f>
        <v>#NAME?</v>
      </c>
      <c r="AS477" s="150" t="e">
        <f aca="false">_xlfn.xlookup(AN477,A:A,S:S)</f>
        <v>#NAME?</v>
      </c>
      <c r="AT477" s="150" t="e">
        <f aca="false">_xlfn.xlookup(AN477,A:A,AE:AE)</f>
        <v>#NAME?</v>
      </c>
      <c r="AU477" s="150" t="e">
        <f aca="false">_xlfn.xlookup(AN477,A:A,AF:AF)</f>
        <v>#NAME?</v>
      </c>
      <c r="AX477" s="146"/>
      <c r="AY477" s="150"/>
      <c r="AZ477" s="150"/>
      <c r="BA477" s="150"/>
      <c r="BB477" s="146"/>
      <c r="BC477" s="146"/>
      <c r="BD477" s="151"/>
      <c r="BE477" s="146"/>
      <c r="BF477" s="146"/>
      <c r="BH477" s="152" t="e">
        <f aca="false">_xlfn.xlookup(BG477,A:A,F:F)</f>
        <v>#NAME?</v>
      </c>
      <c r="BI477" s="153" t="e">
        <f aca="false">_xlfn.xlookup(BG477,A:A,J:J)</f>
        <v>#NAME?</v>
      </c>
      <c r="BJ477" s="153" t="e">
        <f aca="false">_xlfn.xlookup(BG477,A:A,N:N)+_xlfn.xlookup(BG477,A:A,O:O)</f>
        <v>#NAME?</v>
      </c>
      <c r="BK477" s="153" t="e">
        <f aca="false">_xlfn.xlookup(BG477,A426:A1420,AB426:AB1420)</f>
        <v>#NAME?</v>
      </c>
      <c r="BN477" s="146"/>
      <c r="BO477" s="150"/>
      <c r="BQ477" s="153" t="str">
        <f aca="false">IF(VALUE(MONTH(C477))&lt;10,YEAR(C477)&amp;"-0"&amp;MONTH(C477),YEAR(C477)&amp;"-"&amp;MONTH(C477))</f>
        <v>1900-01</v>
      </c>
      <c r="BR477" s="153" t="n">
        <f aca="false">J477</f>
        <v>0</v>
      </c>
      <c r="BS477" s="153" t="n">
        <f aca="false">IF(ISNUMBER(FIND("-", BR477)), LEFT(BR477, FIND("-", BR477) - 1), BR477)</f>
        <v>0</v>
      </c>
      <c r="BT477" s="189" t="n">
        <f aca="false">L477-M477+O477</f>
        <v>0</v>
      </c>
    </row>
    <row r="478" s="153" customFormat="true" ht="15" hidden="false" customHeight="false" outlineLevel="0" collapsed="false">
      <c r="AN478" s="153" t="e">
        <v>#NAME?</v>
      </c>
      <c r="AO478" s="153" t="e">
        <f aca="false">_xlfn.xlookup(AN478,A:A,F:F)</f>
        <v>#NAME?</v>
      </c>
      <c r="AP478" s="153" t="e">
        <f aca="false">_xlfn.xlookup(AN478,A:A,J:J)</f>
        <v>#NAME?</v>
      </c>
      <c r="AQ478" s="153" t="e">
        <f aca="false">_xlfn.xlookup(AN478,A:A,N:N)+_xlfn.xlookup(AN478,A:A,O:O)</f>
        <v>#NAME?</v>
      </c>
      <c r="AR478" s="150" t="e">
        <f aca="false">_xlfn.xlookup(AN478,A:A,AH:AH)</f>
        <v>#NAME?</v>
      </c>
      <c r="AS478" s="150" t="e">
        <f aca="false">_xlfn.xlookup(AN478,A:A,S:S)</f>
        <v>#NAME?</v>
      </c>
      <c r="AT478" s="150" t="e">
        <f aca="false">_xlfn.xlookup(AN478,A:A,AE:AE)</f>
        <v>#NAME?</v>
      </c>
      <c r="AU478" s="150" t="e">
        <f aca="false">_xlfn.xlookup(AN478,A:A,AF:AF)</f>
        <v>#NAME?</v>
      </c>
      <c r="AX478" s="146"/>
      <c r="AY478" s="150"/>
      <c r="AZ478" s="150"/>
      <c r="BA478" s="150"/>
      <c r="BB478" s="146"/>
      <c r="BC478" s="146"/>
      <c r="BD478" s="151"/>
      <c r="BE478" s="146"/>
      <c r="BF478" s="146"/>
      <c r="BH478" s="152" t="e">
        <f aca="false">_xlfn.xlookup(BG478,A:A,F:F)</f>
        <v>#NAME?</v>
      </c>
      <c r="BI478" s="153" t="e">
        <f aca="false">_xlfn.xlookup(BG478,A:A,J:J)</f>
        <v>#NAME?</v>
      </c>
      <c r="BJ478" s="153" t="e">
        <f aca="false">_xlfn.xlookup(BG478,A:A,N:N)+_xlfn.xlookup(BG478,A:A,O:O)</f>
        <v>#NAME?</v>
      </c>
      <c r="BK478" s="153" t="e">
        <f aca="false">_xlfn.xlookup(BG478,A427:A1421,AB427:AB1421)</f>
        <v>#NAME?</v>
      </c>
      <c r="BN478" s="146"/>
      <c r="BO478" s="150"/>
      <c r="BQ478" s="153" t="str">
        <f aca="false">IF(VALUE(MONTH(C478))&lt;10,YEAR(C478)&amp;"-0"&amp;MONTH(C478),YEAR(C478)&amp;"-"&amp;MONTH(C478))</f>
        <v>1900-01</v>
      </c>
      <c r="BR478" s="153" t="n">
        <f aca="false">J478</f>
        <v>0</v>
      </c>
      <c r="BS478" s="153" t="n">
        <f aca="false">IF(ISNUMBER(FIND("-", BR478)), LEFT(BR478, FIND("-", BR478) - 1), BR478)</f>
        <v>0</v>
      </c>
      <c r="BT478" s="189" t="n">
        <f aca="false">L478-M478+O478</f>
        <v>0</v>
      </c>
    </row>
    <row r="479" s="153" customFormat="true" ht="15" hidden="false" customHeight="false" outlineLevel="0" collapsed="false">
      <c r="AN479" s="153" t="e">
        <v>#NAME?</v>
      </c>
      <c r="AO479" s="153" t="e">
        <f aca="false">_xlfn.xlookup(AN479,A:A,F:F)</f>
        <v>#NAME?</v>
      </c>
      <c r="AP479" s="153" t="e">
        <f aca="false">_xlfn.xlookup(AN479,A:A,J:J)</f>
        <v>#NAME?</v>
      </c>
      <c r="AQ479" s="153" t="e">
        <f aca="false">_xlfn.xlookup(AN479,A:A,N:N)+_xlfn.xlookup(AN479,A:A,O:O)</f>
        <v>#NAME?</v>
      </c>
      <c r="AR479" s="150" t="e">
        <f aca="false">_xlfn.xlookup(AN479,A:A,AH:AH)</f>
        <v>#NAME?</v>
      </c>
      <c r="AS479" s="150" t="e">
        <f aca="false">_xlfn.xlookup(AN479,A:A,S:S)</f>
        <v>#NAME?</v>
      </c>
      <c r="AT479" s="150" t="e">
        <f aca="false">_xlfn.xlookup(AN479,A:A,AE:AE)</f>
        <v>#NAME?</v>
      </c>
      <c r="AU479" s="150" t="e">
        <f aca="false">_xlfn.xlookup(AN479,A:A,AF:AF)</f>
        <v>#NAME?</v>
      </c>
      <c r="AX479" s="146"/>
      <c r="AY479" s="150"/>
      <c r="AZ479" s="150"/>
      <c r="BA479" s="150"/>
      <c r="BB479" s="146"/>
      <c r="BC479" s="146"/>
      <c r="BD479" s="151"/>
      <c r="BE479" s="146"/>
      <c r="BF479" s="146"/>
      <c r="BH479" s="152" t="e">
        <f aca="false">_xlfn.xlookup(BG479,A:A,F:F)</f>
        <v>#NAME?</v>
      </c>
      <c r="BI479" s="153" t="e">
        <f aca="false">_xlfn.xlookup(BG479,A:A,J:J)</f>
        <v>#NAME?</v>
      </c>
      <c r="BJ479" s="153" t="e">
        <f aca="false">_xlfn.xlookup(BG479,A:A,N:N)+_xlfn.xlookup(BG479,A:A,O:O)</f>
        <v>#NAME?</v>
      </c>
      <c r="BK479" s="153" t="e">
        <f aca="false">_xlfn.xlookup(BG479,A428:A1422,AB428:AB1422)</f>
        <v>#NAME?</v>
      </c>
      <c r="BN479" s="146"/>
      <c r="BO479" s="150"/>
      <c r="BQ479" s="153" t="str">
        <f aca="false">IF(VALUE(MONTH(C479))&lt;10,YEAR(C479)&amp;"-0"&amp;MONTH(C479),YEAR(C479)&amp;"-"&amp;MONTH(C479))</f>
        <v>1900-01</v>
      </c>
      <c r="BR479" s="153" t="n">
        <f aca="false">J479</f>
        <v>0</v>
      </c>
      <c r="BS479" s="153" t="n">
        <f aca="false">IF(ISNUMBER(FIND("-", BR479)), LEFT(BR479, FIND("-", BR479) - 1), BR479)</f>
        <v>0</v>
      </c>
      <c r="BT479" s="189" t="n">
        <f aca="false">L479-M479+O479</f>
        <v>0</v>
      </c>
    </row>
    <row r="480" s="153" customFormat="true" ht="15" hidden="false" customHeight="false" outlineLevel="0" collapsed="false">
      <c r="AN480" s="153" t="e">
        <v>#NAME?</v>
      </c>
      <c r="AO480" s="153" t="e">
        <f aca="false">_xlfn.xlookup(AN480,A:A,F:F)</f>
        <v>#NAME?</v>
      </c>
      <c r="AP480" s="153" t="e">
        <f aca="false">_xlfn.xlookup(AN480,A:A,J:J)</f>
        <v>#NAME?</v>
      </c>
      <c r="AQ480" s="153" t="e">
        <f aca="false">_xlfn.xlookup(AN480,A:A,N:N)+_xlfn.xlookup(AN480,A:A,O:O)</f>
        <v>#NAME?</v>
      </c>
      <c r="AR480" s="150" t="e">
        <f aca="false">_xlfn.xlookup(AN480,A:A,AH:AH)</f>
        <v>#NAME?</v>
      </c>
      <c r="AS480" s="150" t="e">
        <f aca="false">_xlfn.xlookup(AN480,A:A,S:S)</f>
        <v>#NAME?</v>
      </c>
      <c r="AT480" s="150" t="e">
        <f aca="false">_xlfn.xlookup(AN480,A:A,AE:AE)</f>
        <v>#NAME?</v>
      </c>
      <c r="AU480" s="150" t="e">
        <f aca="false">_xlfn.xlookup(AN480,A:A,AF:AF)</f>
        <v>#NAME?</v>
      </c>
      <c r="AX480" s="146"/>
      <c r="AY480" s="150"/>
      <c r="AZ480" s="150"/>
      <c r="BA480" s="150"/>
      <c r="BB480" s="146"/>
      <c r="BC480" s="146"/>
      <c r="BD480" s="151"/>
      <c r="BE480" s="146"/>
      <c r="BF480" s="146"/>
      <c r="BH480" s="152" t="e">
        <f aca="false">_xlfn.xlookup(BG480,A:A,F:F)</f>
        <v>#NAME?</v>
      </c>
      <c r="BI480" s="153" t="e">
        <f aca="false">_xlfn.xlookup(BG480,A:A,J:J)</f>
        <v>#NAME?</v>
      </c>
      <c r="BJ480" s="153" t="e">
        <f aca="false">_xlfn.xlookup(BG480,A:A,N:N)+_xlfn.xlookup(BG480,A:A,O:O)</f>
        <v>#NAME?</v>
      </c>
      <c r="BK480" s="153" t="e">
        <f aca="false">_xlfn.xlookup(BG480,A429:A1423,AB429:AB1423)</f>
        <v>#NAME?</v>
      </c>
      <c r="BN480" s="146"/>
      <c r="BO480" s="150"/>
      <c r="BQ480" s="153" t="str">
        <f aca="false">IF(VALUE(MONTH(C480))&lt;10,YEAR(C480)&amp;"-0"&amp;MONTH(C480),YEAR(C480)&amp;"-"&amp;MONTH(C480))</f>
        <v>1900-01</v>
      </c>
      <c r="BR480" s="153" t="n">
        <f aca="false">J480</f>
        <v>0</v>
      </c>
      <c r="BS480" s="153" t="n">
        <f aca="false">IF(ISNUMBER(FIND("-", BR480)), LEFT(BR480, FIND("-", BR480) - 1), BR480)</f>
        <v>0</v>
      </c>
      <c r="BT480" s="189" t="n">
        <f aca="false">L480-M480+O480</f>
        <v>0</v>
      </c>
    </row>
    <row r="481" s="153" customFormat="true" ht="15" hidden="false" customHeight="false" outlineLevel="0" collapsed="false">
      <c r="AN481" s="153" t="e">
        <v>#NAME?</v>
      </c>
      <c r="AO481" s="153" t="e">
        <f aca="false">_xlfn.xlookup(AN481,A:A,F:F)</f>
        <v>#NAME?</v>
      </c>
      <c r="AP481" s="153" t="e">
        <f aca="false">_xlfn.xlookup(AN481,A:A,J:J)</f>
        <v>#NAME?</v>
      </c>
      <c r="AQ481" s="153" t="e">
        <f aca="false">_xlfn.xlookup(AN481,A:A,N:N)+_xlfn.xlookup(AN481,A:A,O:O)</f>
        <v>#NAME?</v>
      </c>
      <c r="AR481" s="150" t="e">
        <f aca="false">_xlfn.xlookup(AN481,A:A,AH:AH)</f>
        <v>#NAME?</v>
      </c>
      <c r="AS481" s="150" t="e">
        <f aca="false">_xlfn.xlookup(AN481,A:A,S:S)</f>
        <v>#NAME?</v>
      </c>
      <c r="AT481" s="150" t="e">
        <f aca="false">_xlfn.xlookup(AN481,A:A,AE:AE)</f>
        <v>#NAME?</v>
      </c>
      <c r="AU481" s="150" t="e">
        <f aca="false">_xlfn.xlookup(AN481,A:A,AF:AF)</f>
        <v>#NAME?</v>
      </c>
      <c r="AX481" s="146"/>
      <c r="AY481" s="150"/>
      <c r="AZ481" s="150"/>
      <c r="BA481" s="150"/>
      <c r="BB481" s="146"/>
      <c r="BC481" s="146"/>
      <c r="BD481" s="151"/>
      <c r="BE481" s="146"/>
      <c r="BF481" s="146"/>
      <c r="BH481" s="152" t="e">
        <f aca="false">_xlfn.xlookup(BG481,A:A,F:F)</f>
        <v>#NAME?</v>
      </c>
      <c r="BI481" s="153" t="e">
        <f aca="false">_xlfn.xlookup(BG481,A:A,J:J)</f>
        <v>#NAME?</v>
      </c>
      <c r="BJ481" s="153" t="e">
        <f aca="false">_xlfn.xlookup(BG481,A:A,N:N)+_xlfn.xlookup(BG481,A:A,O:O)</f>
        <v>#NAME?</v>
      </c>
      <c r="BK481" s="153" t="e">
        <f aca="false">_xlfn.xlookup(BG481,A430:A1424,AB430:AB1424)</f>
        <v>#NAME?</v>
      </c>
      <c r="BN481" s="146"/>
      <c r="BO481" s="150"/>
      <c r="BQ481" s="153" t="str">
        <f aca="false">IF(VALUE(MONTH(C481))&lt;10,YEAR(C481)&amp;"-0"&amp;MONTH(C481),YEAR(C481)&amp;"-"&amp;MONTH(C481))</f>
        <v>1900-01</v>
      </c>
      <c r="BR481" s="153" t="n">
        <f aca="false">J481</f>
        <v>0</v>
      </c>
      <c r="BS481" s="153" t="n">
        <f aca="false">IF(ISNUMBER(FIND("-", BR481)), LEFT(BR481, FIND("-", BR481) - 1), BR481)</f>
        <v>0</v>
      </c>
      <c r="BT481" s="189" t="n">
        <f aca="false">L481-M481+O481</f>
        <v>0</v>
      </c>
    </row>
    <row r="482" s="153" customFormat="true" ht="15" hidden="false" customHeight="false" outlineLevel="0" collapsed="false">
      <c r="AN482" s="153" t="e">
        <v>#NAME?</v>
      </c>
      <c r="AO482" s="153" t="e">
        <f aca="false">_xlfn.xlookup(AN482,A:A,F:F)</f>
        <v>#NAME?</v>
      </c>
      <c r="AP482" s="153" t="e">
        <f aca="false">_xlfn.xlookup(AN482,A:A,J:J)</f>
        <v>#NAME?</v>
      </c>
      <c r="AQ482" s="153" t="e">
        <f aca="false">_xlfn.xlookup(AN482,A:A,N:N)+_xlfn.xlookup(AN482,A:A,O:O)</f>
        <v>#NAME?</v>
      </c>
      <c r="AR482" s="150" t="e">
        <f aca="false">_xlfn.xlookup(AN482,A:A,AH:AH)</f>
        <v>#NAME?</v>
      </c>
      <c r="AS482" s="150" t="e">
        <f aca="false">_xlfn.xlookup(AN482,A:A,S:S)</f>
        <v>#NAME?</v>
      </c>
      <c r="AT482" s="150" t="e">
        <f aca="false">_xlfn.xlookup(AN482,A:A,AE:AE)</f>
        <v>#NAME?</v>
      </c>
      <c r="AU482" s="150" t="e">
        <f aca="false">_xlfn.xlookup(AN482,A:A,AF:AF)</f>
        <v>#NAME?</v>
      </c>
      <c r="AX482" s="146"/>
      <c r="AY482" s="150"/>
      <c r="AZ482" s="150"/>
      <c r="BA482" s="150"/>
      <c r="BB482" s="146"/>
      <c r="BC482" s="146"/>
      <c r="BD482" s="151"/>
      <c r="BE482" s="146"/>
      <c r="BF482" s="146"/>
      <c r="BH482" s="152" t="e">
        <f aca="false">_xlfn.xlookup(BG482,A:A,F:F)</f>
        <v>#NAME?</v>
      </c>
      <c r="BI482" s="153" t="e">
        <f aca="false">_xlfn.xlookup(BG482,A:A,J:J)</f>
        <v>#NAME?</v>
      </c>
      <c r="BJ482" s="153" t="e">
        <f aca="false">_xlfn.xlookup(BG482,A:A,N:N)+_xlfn.xlookup(BG482,A:A,O:O)</f>
        <v>#NAME?</v>
      </c>
      <c r="BK482" s="153" t="e">
        <f aca="false">_xlfn.xlookup(BG482,A431:A1425,AB431:AB1425)</f>
        <v>#NAME?</v>
      </c>
      <c r="BN482" s="146"/>
      <c r="BO482" s="150"/>
      <c r="BQ482" s="153" t="str">
        <f aca="false">IF(VALUE(MONTH(C482))&lt;10,YEAR(C482)&amp;"-0"&amp;MONTH(C482),YEAR(C482)&amp;"-"&amp;MONTH(C482))</f>
        <v>1900-01</v>
      </c>
      <c r="BR482" s="153" t="n">
        <f aca="false">J482</f>
        <v>0</v>
      </c>
      <c r="BS482" s="153" t="n">
        <f aca="false">IF(ISNUMBER(FIND("-", BR482)), LEFT(BR482, FIND("-", BR482) - 1), BR482)</f>
        <v>0</v>
      </c>
      <c r="BT482" s="189" t="n">
        <f aca="false">L482-M482+O482</f>
        <v>0</v>
      </c>
    </row>
    <row r="483" s="153" customFormat="true" ht="15" hidden="false" customHeight="false" outlineLevel="0" collapsed="false">
      <c r="AN483" s="153" t="e">
        <v>#NAME?</v>
      </c>
      <c r="AO483" s="153" t="e">
        <f aca="false">_xlfn.xlookup(AN483,A:A,F:F)</f>
        <v>#NAME?</v>
      </c>
      <c r="AP483" s="153" t="e">
        <f aca="false">_xlfn.xlookup(AN483,A:A,J:J)</f>
        <v>#NAME?</v>
      </c>
      <c r="AQ483" s="153" t="e">
        <f aca="false">_xlfn.xlookup(AN483,A:A,N:N)+_xlfn.xlookup(AN483,A:A,O:O)</f>
        <v>#NAME?</v>
      </c>
      <c r="AR483" s="150" t="e">
        <f aca="false">_xlfn.xlookup(AN483,A:A,AH:AH)</f>
        <v>#NAME?</v>
      </c>
      <c r="AS483" s="150" t="e">
        <f aca="false">_xlfn.xlookup(AN483,A:A,S:S)</f>
        <v>#NAME?</v>
      </c>
      <c r="AT483" s="150" t="e">
        <f aca="false">_xlfn.xlookup(AN483,A:A,AE:AE)</f>
        <v>#NAME?</v>
      </c>
      <c r="AU483" s="150" t="e">
        <f aca="false">_xlfn.xlookup(AN483,A:A,AF:AF)</f>
        <v>#NAME?</v>
      </c>
      <c r="AX483" s="146"/>
      <c r="AY483" s="150"/>
      <c r="AZ483" s="150"/>
      <c r="BA483" s="150"/>
      <c r="BB483" s="146"/>
      <c r="BC483" s="146"/>
      <c r="BD483" s="151"/>
      <c r="BE483" s="146"/>
      <c r="BF483" s="146"/>
      <c r="BH483" s="152" t="e">
        <f aca="false">_xlfn.xlookup(BG483,A:A,F:F)</f>
        <v>#NAME?</v>
      </c>
      <c r="BI483" s="153" t="e">
        <f aca="false">_xlfn.xlookup(BG483,A:A,J:J)</f>
        <v>#NAME?</v>
      </c>
      <c r="BJ483" s="153" t="e">
        <f aca="false">_xlfn.xlookup(BG483,A:A,N:N)+_xlfn.xlookup(BG483,A:A,O:O)</f>
        <v>#NAME?</v>
      </c>
      <c r="BK483" s="153" t="e">
        <f aca="false">_xlfn.xlookup(BG483,A432:A1426,AB432:AB1426)</f>
        <v>#NAME?</v>
      </c>
      <c r="BN483" s="146"/>
      <c r="BO483" s="150"/>
      <c r="BQ483" s="153" t="str">
        <f aca="false">IF(VALUE(MONTH(C483))&lt;10,YEAR(C483)&amp;"-0"&amp;MONTH(C483),YEAR(C483)&amp;"-"&amp;MONTH(C483))</f>
        <v>1900-01</v>
      </c>
      <c r="BR483" s="153" t="n">
        <f aca="false">J483</f>
        <v>0</v>
      </c>
      <c r="BS483" s="153" t="n">
        <f aca="false">IF(ISNUMBER(FIND("-", BR483)), LEFT(BR483, FIND("-", BR483) - 1), BR483)</f>
        <v>0</v>
      </c>
      <c r="BT483" s="189" t="n">
        <f aca="false">L483-M483+O483</f>
        <v>0</v>
      </c>
    </row>
    <row r="484" s="153" customFormat="true" ht="15" hidden="false" customHeight="false" outlineLevel="0" collapsed="false">
      <c r="AN484" s="153" t="e">
        <v>#NAME?</v>
      </c>
      <c r="AO484" s="153" t="e">
        <f aca="false">_xlfn.xlookup(AN484,A:A,F:F)</f>
        <v>#NAME?</v>
      </c>
      <c r="AP484" s="153" t="e">
        <f aca="false">_xlfn.xlookup(AN484,A:A,J:J)</f>
        <v>#NAME?</v>
      </c>
      <c r="AQ484" s="153" t="e">
        <f aca="false">_xlfn.xlookup(AN484,A:A,N:N)+_xlfn.xlookup(AN484,A:A,O:O)</f>
        <v>#NAME?</v>
      </c>
      <c r="AR484" s="150" t="e">
        <f aca="false">_xlfn.xlookup(AN484,A:A,AH:AH)</f>
        <v>#NAME?</v>
      </c>
      <c r="AS484" s="150" t="e">
        <f aca="false">_xlfn.xlookup(AN484,A:A,S:S)</f>
        <v>#NAME?</v>
      </c>
      <c r="AT484" s="150" t="e">
        <f aca="false">_xlfn.xlookup(AN484,A:A,AE:AE)</f>
        <v>#NAME?</v>
      </c>
      <c r="AU484" s="150" t="e">
        <f aca="false">_xlfn.xlookup(AN484,A:A,AF:AF)</f>
        <v>#NAME?</v>
      </c>
      <c r="AX484" s="146"/>
      <c r="AY484" s="150"/>
      <c r="AZ484" s="150"/>
      <c r="BA484" s="150"/>
      <c r="BB484" s="146"/>
      <c r="BC484" s="146"/>
      <c r="BD484" s="151"/>
      <c r="BE484" s="146"/>
      <c r="BF484" s="146"/>
      <c r="BH484" s="152" t="e">
        <f aca="false">_xlfn.xlookup(BG484,A:A,F:F)</f>
        <v>#NAME?</v>
      </c>
      <c r="BI484" s="153" t="e">
        <f aca="false">_xlfn.xlookup(BG484,A:A,J:J)</f>
        <v>#NAME?</v>
      </c>
      <c r="BJ484" s="153" t="e">
        <f aca="false">_xlfn.xlookup(BG484,A:A,N:N)+_xlfn.xlookup(BG484,A:A,O:O)</f>
        <v>#NAME?</v>
      </c>
      <c r="BK484" s="153" t="e">
        <f aca="false">_xlfn.xlookup(BG484,A433:A1427,AB433:AB1427)</f>
        <v>#NAME?</v>
      </c>
      <c r="BN484" s="146"/>
      <c r="BO484" s="150"/>
      <c r="BQ484" s="153" t="str">
        <f aca="false">IF(VALUE(MONTH(C484))&lt;10,YEAR(C484)&amp;"-0"&amp;MONTH(C484),YEAR(C484)&amp;"-"&amp;MONTH(C484))</f>
        <v>1900-01</v>
      </c>
      <c r="BR484" s="153" t="n">
        <f aca="false">J484</f>
        <v>0</v>
      </c>
      <c r="BS484" s="153" t="n">
        <f aca="false">IF(ISNUMBER(FIND("-", BR484)), LEFT(BR484, FIND("-", BR484) - 1), BR484)</f>
        <v>0</v>
      </c>
      <c r="BT484" s="189" t="n">
        <f aca="false">L484-M484+O484</f>
        <v>0</v>
      </c>
    </row>
    <row r="485" s="153" customFormat="true" ht="15" hidden="false" customHeight="false" outlineLevel="0" collapsed="false">
      <c r="AN485" s="153" t="e">
        <v>#NAME?</v>
      </c>
      <c r="AO485" s="153" t="e">
        <f aca="false">_xlfn.xlookup(AN485,A:A,F:F)</f>
        <v>#NAME?</v>
      </c>
      <c r="AP485" s="153" t="e">
        <f aca="false">_xlfn.xlookup(AN485,A:A,J:J)</f>
        <v>#NAME?</v>
      </c>
      <c r="AQ485" s="153" t="e">
        <f aca="false">_xlfn.xlookup(AN485,A:A,N:N)+_xlfn.xlookup(AN485,A:A,O:O)</f>
        <v>#NAME?</v>
      </c>
      <c r="AR485" s="150" t="e">
        <f aca="false">_xlfn.xlookup(AN485,A:A,AH:AH)</f>
        <v>#NAME?</v>
      </c>
      <c r="AS485" s="150" t="e">
        <f aca="false">_xlfn.xlookup(AN485,A:A,S:S)</f>
        <v>#NAME?</v>
      </c>
      <c r="AT485" s="150" t="e">
        <f aca="false">_xlfn.xlookup(AN485,A:A,AE:AE)</f>
        <v>#NAME?</v>
      </c>
      <c r="AU485" s="150" t="e">
        <f aca="false">_xlfn.xlookup(AN485,A:A,AF:AF)</f>
        <v>#NAME?</v>
      </c>
      <c r="AX485" s="146"/>
      <c r="AY485" s="150"/>
      <c r="AZ485" s="150"/>
      <c r="BA485" s="150"/>
      <c r="BB485" s="146"/>
      <c r="BC485" s="146"/>
      <c r="BD485" s="151"/>
      <c r="BE485" s="146"/>
      <c r="BF485" s="146"/>
      <c r="BH485" s="152" t="e">
        <f aca="false">_xlfn.xlookup(BG485,A:A,F:F)</f>
        <v>#NAME?</v>
      </c>
      <c r="BI485" s="153" t="e">
        <f aca="false">_xlfn.xlookup(BG485,A:A,J:J)</f>
        <v>#NAME?</v>
      </c>
      <c r="BJ485" s="153" t="e">
        <f aca="false">_xlfn.xlookup(BG485,A:A,N:N)+_xlfn.xlookup(BG485,A:A,O:O)</f>
        <v>#NAME?</v>
      </c>
      <c r="BK485" s="153" t="e">
        <f aca="false">_xlfn.xlookup(BG485,A434:A1428,AB434:AB1428)</f>
        <v>#NAME?</v>
      </c>
      <c r="BN485" s="146"/>
      <c r="BO485" s="150"/>
      <c r="BQ485" s="153" t="str">
        <f aca="false">IF(VALUE(MONTH(C485))&lt;10,YEAR(C485)&amp;"-0"&amp;MONTH(C485),YEAR(C485)&amp;"-"&amp;MONTH(C485))</f>
        <v>1900-01</v>
      </c>
      <c r="BR485" s="153" t="n">
        <f aca="false">J485</f>
        <v>0</v>
      </c>
      <c r="BS485" s="153" t="n">
        <f aca="false">IF(ISNUMBER(FIND("-", BR485)), LEFT(BR485, FIND("-", BR485) - 1), BR485)</f>
        <v>0</v>
      </c>
      <c r="BT485" s="189" t="n">
        <f aca="false">L485-M485+O485</f>
        <v>0</v>
      </c>
    </row>
    <row r="486" s="153" customFormat="true" ht="15" hidden="false" customHeight="false" outlineLevel="0" collapsed="false">
      <c r="AN486" s="153" t="e">
        <v>#NAME?</v>
      </c>
      <c r="AO486" s="153" t="e">
        <f aca="false">_xlfn.xlookup(AN486,A:A,F:F)</f>
        <v>#NAME?</v>
      </c>
      <c r="AP486" s="153" t="e">
        <f aca="false">_xlfn.xlookup(AN486,A:A,J:J)</f>
        <v>#NAME?</v>
      </c>
      <c r="AQ486" s="153" t="e">
        <f aca="false">_xlfn.xlookup(AN486,A:A,N:N)+_xlfn.xlookup(AN486,A:A,O:O)</f>
        <v>#NAME?</v>
      </c>
      <c r="AR486" s="150" t="e">
        <f aca="false">_xlfn.xlookup(AN486,A:A,AH:AH)</f>
        <v>#NAME?</v>
      </c>
      <c r="AS486" s="150" t="e">
        <f aca="false">_xlfn.xlookup(AN486,A:A,S:S)</f>
        <v>#NAME?</v>
      </c>
      <c r="AT486" s="150" t="e">
        <f aca="false">_xlfn.xlookup(AN486,A:A,AE:AE)</f>
        <v>#NAME?</v>
      </c>
      <c r="AU486" s="150" t="e">
        <f aca="false">_xlfn.xlookup(AN486,A:A,AF:AF)</f>
        <v>#NAME?</v>
      </c>
      <c r="AX486" s="146"/>
      <c r="AY486" s="150"/>
      <c r="AZ486" s="150"/>
      <c r="BA486" s="150"/>
      <c r="BB486" s="146"/>
      <c r="BC486" s="146"/>
      <c r="BD486" s="151"/>
      <c r="BE486" s="146"/>
      <c r="BF486" s="146"/>
      <c r="BH486" s="152" t="e">
        <f aca="false">_xlfn.xlookup(BG486,A:A,F:F)</f>
        <v>#NAME?</v>
      </c>
      <c r="BI486" s="153" t="e">
        <f aca="false">_xlfn.xlookup(BG486,A:A,J:J)</f>
        <v>#NAME?</v>
      </c>
      <c r="BJ486" s="153" t="e">
        <f aca="false">_xlfn.xlookup(BG486,A:A,N:N)+_xlfn.xlookup(BG486,A:A,O:O)</f>
        <v>#NAME?</v>
      </c>
      <c r="BK486" s="153" t="e">
        <f aca="false">_xlfn.xlookup(BG486,A435:A1429,AB435:AB1429)</f>
        <v>#NAME?</v>
      </c>
      <c r="BN486" s="146"/>
      <c r="BO486" s="150"/>
      <c r="BQ486" s="153" t="str">
        <f aca="false">IF(VALUE(MONTH(C486))&lt;10,YEAR(C486)&amp;"-0"&amp;MONTH(C486),YEAR(C486)&amp;"-"&amp;MONTH(C486))</f>
        <v>1900-01</v>
      </c>
      <c r="BR486" s="153" t="n">
        <f aca="false">J486</f>
        <v>0</v>
      </c>
      <c r="BS486" s="153" t="n">
        <f aca="false">IF(ISNUMBER(FIND("-", BR486)), LEFT(BR486, FIND("-", BR486) - 1), BR486)</f>
        <v>0</v>
      </c>
      <c r="BT486" s="189" t="n">
        <f aca="false">L486-M486+O486</f>
        <v>0</v>
      </c>
    </row>
    <row r="487" s="153" customFormat="true" ht="15" hidden="false" customHeight="false" outlineLevel="0" collapsed="false">
      <c r="AN487" s="153" t="e">
        <v>#NAME?</v>
      </c>
      <c r="AO487" s="153" t="e">
        <f aca="false">_xlfn.xlookup(AN487,A:A,F:F)</f>
        <v>#NAME?</v>
      </c>
      <c r="AP487" s="153" t="e">
        <f aca="false">_xlfn.xlookup(AN487,A:A,J:J)</f>
        <v>#NAME?</v>
      </c>
      <c r="AQ487" s="153" t="e">
        <f aca="false">_xlfn.xlookup(AN487,A:A,N:N)+_xlfn.xlookup(AN487,A:A,O:O)</f>
        <v>#NAME?</v>
      </c>
      <c r="AR487" s="150" t="e">
        <f aca="false">_xlfn.xlookup(AN487,A:A,AH:AH)</f>
        <v>#NAME?</v>
      </c>
      <c r="AS487" s="150" t="e">
        <f aca="false">_xlfn.xlookup(AN487,A:A,S:S)</f>
        <v>#NAME?</v>
      </c>
      <c r="AT487" s="150" t="e">
        <f aca="false">_xlfn.xlookup(AN487,A:A,AE:AE)</f>
        <v>#NAME?</v>
      </c>
      <c r="AU487" s="150" t="e">
        <f aca="false">_xlfn.xlookup(AN487,A:A,AF:AF)</f>
        <v>#NAME?</v>
      </c>
      <c r="AX487" s="146"/>
      <c r="AY487" s="150"/>
      <c r="AZ487" s="150"/>
      <c r="BA487" s="150"/>
      <c r="BB487" s="146"/>
      <c r="BC487" s="146"/>
      <c r="BD487" s="151"/>
      <c r="BE487" s="146"/>
      <c r="BF487" s="146"/>
      <c r="BH487" s="152" t="e">
        <f aca="false">_xlfn.xlookup(BG487,A:A,F:F)</f>
        <v>#NAME?</v>
      </c>
      <c r="BI487" s="153" t="e">
        <f aca="false">_xlfn.xlookup(BG487,A:A,J:J)</f>
        <v>#NAME?</v>
      </c>
      <c r="BJ487" s="153" t="e">
        <f aca="false">_xlfn.xlookup(BG487,A:A,N:N)+_xlfn.xlookup(BG487,A:A,O:O)</f>
        <v>#NAME?</v>
      </c>
      <c r="BK487" s="153" t="e">
        <f aca="false">_xlfn.xlookup(BG487,A436:A1430,AB436:AB1430)</f>
        <v>#NAME?</v>
      </c>
      <c r="BN487" s="146"/>
      <c r="BO487" s="150"/>
      <c r="BQ487" s="153" t="str">
        <f aca="false">IF(VALUE(MONTH(C487))&lt;10,YEAR(C487)&amp;"-0"&amp;MONTH(C487),YEAR(C487)&amp;"-"&amp;MONTH(C487))</f>
        <v>1900-01</v>
      </c>
      <c r="BR487" s="153" t="n">
        <f aca="false">J487</f>
        <v>0</v>
      </c>
      <c r="BS487" s="153" t="n">
        <f aca="false">IF(ISNUMBER(FIND("-", BR487)), LEFT(BR487, FIND("-", BR487) - 1), BR487)</f>
        <v>0</v>
      </c>
      <c r="BT487" s="189" t="n">
        <f aca="false">L487-M487+O487</f>
        <v>0</v>
      </c>
    </row>
    <row r="488" s="153" customFormat="true" ht="15" hidden="false" customHeight="false" outlineLevel="0" collapsed="false">
      <c r="AN488" s="153" t="e">
        <v>#NAME?</v>
      </c>
      <c r="AO488" s="153" t="e">
        <f aca="false">_xlfn.xlookup(AN488,A:A,F:F)</f>
        <v>#NAME?</v>
      </c>
      <c r="AP488" s="153" t="e">
        <f aca="false">_xlfn.xlookup(AN488,A:A,J:J)</f>
        <v>#NAME?</v>
      </c>
      <c r="AQ488" s="153" t="e">
        <f aca="false">_xlfn.xlookup(AN488,A:A,N:N)+_xlfn.xlookup(AN488,A:A,O:O)</f>
        <v>#NAME?</v>
      </c>
      <c r="AR488" s="150" t="e">
        <f aca="false">_xlfn.xlookup(AN488,A:A,AH:AH)</f>
        <v>#NAME?</v>
      </c>
      <c r="AS488" s="150" t="e">
        <f aca="false">_xlfn.xlookup(AN488,A:A,S:S)</f>
        <v>#NAME?</v>
      </c>
      <c r="AT488" s="150" t="e">
        <f aca="false">_xlfn.xlookup(AN488,A:A,AE:AE)</f>
        <v>#NAME?</v>
      </c>
      <c r="AU488" s="150" t="e">
        <f aca="false">_xlfn.xlookup(AN488,A:A,AF:AF)</f>
        <v>#NAME?</v>
      </c>
      <c r="AX488" s="146"/>
      <c r="AY488" s="150"/>
      <c r="AZ488" s="150"/>
      <c r="BA488" s="150"/>
      <c r="BB488" s="146"/>
      <c r="BC488" s="146"/>
      <c r="BD488" s="151"/>
      <c r="BE488" s="146"/>
      <c r="BF488" s="146"/>
      <c r="BH488" s="152" t="e">
        <f aca="false">_xlfn.xlookup(BG488,A:A,F:F)</f>
        <v>#NAME?</v>
      </c>
      <c r="BI488" s="153" t="e">
        <f aca="false">_xlfn.xlookup(BG488,A:A,J:J)</f>
        <v>#NAME?</v>
      </c>
      <c r="BJ488" s="153" t="e">
        <f aca="false">_xlfn.xlookup(BG488,A:A,N:N)+_xlfn.xlookup(BG488,A:A,O:O)</f>
        <v>#NAME?</v>
      </c>
      <c r="BK488" s="153" t="e">
        <f aca="false">_xlfn.xlookup(BG488,A437:A1431,AB437:AB1431)</f>
        <v>#NAME?</v>
      </c>
      <c r="BN488" s="146"/>
      <c r="BO488" s="150"/>
      <c r="BQ488" s="153" t="str">
        <f aca="false">IF(VALUE(MONTH(C488))&lt;10,YEAR(C488)&amp;"-0"&amp;MONTH(C488),YEAR(C488)&amp;"-"&amp;MONTH(C488))</f>
        <v>1900-01</v>
      </c>
      <c r="BR488" s="153" t="n">
        <f aca="false">J488</f>
        <v>0</v>
      </c>
      <c r="BS488" s="153" t="n">
        <f aca="false">IF(ISNUMBER(FIND("-", BR488)), LEFT(BR488, FIND("-", BR488) - 1), BR488)</f>
        <v>0</v>
      </c>
      <c r="BT488" s="189" t="n">
        <f aca="false">L488-M488+O488</f>
        <v>0</v>
      </c>
    </row>
    <row r="489" s="153" customFormat="true" ht="15" hidden="false" customHeight="false" outlineLevel="0" collapsed="false">
      <c r="AN489" s="153" t="e">
        <v>#NAME?</v>
      </c>
      <c r="AO489" s="153" t="e">
        <f aca="false">_xlfn.xlookup(AN489,A:A,F:F)</f>
        <v>#NAME?</v>
      </c>
      <c r="AP489" s="153" t="e">
        <f aca="false">_xlfn.xlookup(AN489,A:A,J:J)</f>
        <v>#NAME?</v>
      </c>
      <c r="AQ489" s="153" t="e">
        <f aca="false">_xlfn.xlookup(AN489,A:A,N:N)+_xlfn.xlookup(AN489,A:A,O:O)</f>
        <v>#NAME?</v>
      </c>
      <c r="AR489" s="150" t="e">
        <f aca="false">_xlfn.xlookup(AN489,A:A,AH:AH)</f>
        <v>#NAME?</v>
      </c>
      <c r="AS489" s="150" t="e">
        <f aca="false">_xlfn.xlookup(AN489,A:A,S:S)</f>
        <v>#NAME?</v>
      </c>
      <c r="AT489" s="150" t="e">
        <f aca="false">_xlfn.xlookup(AN489,A:A,AE:AE)</f>
        <v>#NAME?</v>
      </c>
      <c r="AU489" s="150" t="e">
        <f aca="false">_xlfn.xlookup(AN489,A:A,AF:AF)</f>
        <v>#NAME?</v>
      </c>
      <c r="AX489" s="146"/>
      <c r="AY489" s="150"/>
      <c r="AZ489" s="150"/>
      <c r="BA489" s="150"/>
      <c r="BB489" s="146"/>
      <c r="BC489" s="146"/>
      <c r="BD489" s="151"/>
      <c r="BE489" s="146"/>
      <c r="BF489" s="146"/>
      <c r="BH489" s="152" t="e">
        <f aca="false">_xlfn.xlookup(BG489,A:A,F:F)</f>
        <v>#NAME?</v>
      </c>
      <c r="BI489" s="153" t="e">
        <f aca="false">_xlfn.xlookup(BG489,A:A,J:J)</f>
        <v>#NAME?</v>
      </c>
      <c r="BJ489" s="153" t="e">
        <f aca="false">_xlfn.xlookup(BG489,A:A,N:N)+_xlfn.xlookup(BG489,A:A,O:O)</f>
        <v>#NAME?</v>
      </c>
      <c r="BK489" s="153" t="e">
        <f aca="false">_xlfn.xlookup(BG489,A438:A1432,AB438:AB1432)</f>
        <v>#NAME?</v>
      </c>
      <c r="BN489" s="146"/>
      <c r="BO489" s="150"/>
      <c r="BQ489" s="153" t="str">
        <f aca="false">IF(VALUE(MONTH(C489))&lt;10,YEAR(C489)&amp;"-0"&amp;MONTH(C489),YEAR(C489)&amp;"-"&amp;MONTH(C489))</f>
        <v>1900-01</v>
      </c>
      <c r="BR489" s="153" t="n">
        <f aca="false">J489</f>
        <v>0</v>
      </c>
      <c r="BS489" s="153" t="n">
        <f aca="false">IF(ISNUMBER(FIND("-", BR489)), LEFT(BR489, FIND("-", BR489) - 1), BR489)</f>
        <v>0</v>
      </c>
      <c r="BT489" s="189" t="n">
        <f aca="false">L489-M489+O489</f>
        <v>0</v>
      </c>
    </row>
    <row r="490" s="153" customFormat="true" ht="15" hidden="false" customHeight="false" outlineLevel="0" collapsed="false">
      <c r="AN490" s="153" t="e">
        <v>#NAME?</v>
      </c>
      <c r="AO490" s="153" t="e">
        <f aca="false">_xlfn.xlookup(AN490,A:A,F:F)</f>
        <v>#NAME?</v>
      </c>
      <c r="AP490" s="153" t="e">
        <f aca="false">_xlfn.xlookup(AN490,A:A,J:J)</f>
        <v>#NAME?</v>
      </c>
      <c r="AQ490" s="153" t="e">
        <f aca="false">_xlfn.xlookup(AN490,A:A,N:N)+_xlfn.xlookup(AN490,A:A,O:O)</f>
        <v>#NAME?</v>
      </c>
      <c r="AR490" s="150" t="e">
        <f aca="false">_xlfn.xlookup(AN490,A:A,AH:AH)</f>
        <v>#NAME?</v>
      </c>
      <c r="AS490" s="150" t="e">
        <f aca="false">_xlfn.xlookup(AN490,A:A,S:S)</f>
        <v>#NAME?</v>
      </c>
      <c r="AT490" s="150" t="e">
        <f aca="false">_xlfn.xlookup(AN490,A:A,AE:AE)</f>
        <v>#NAME?</v>
      </c>
      <c r="AU490" s="150" t="e">
        <f aca="false">_xlfn.xlookup(AN490,A:A,AF:AF)</f>
        <v>#NAME?</v>
      </c>
      <c r="AX490" s="146"/>
      <c r="AY490" s="150"/>
      <c r="AZ490" s="150"/>
      <c r="BA490" s="150"/>
      <c r="BB490" s="146"/>
      <c r="BC490" s="146"/>
      <c r="BD490" s="151"/>
      <c r="BE490" s="146"/>
      <c r="BF490" s="146"/>
      <c r="BH490" s="152" t="e">
        <f aca="false">_xlfn.xlookup(BG490,A:A,F:F)</f>
        <v>#NAME?</v>
      </c>
      <c r="BI490" s="153" t="e">
        <f aca="false">_xlfn.xlookup(BG490,A:A,J:J)</f>
        <v>#NAME?</v>
      </c>
      <c r="BJ490" s="153" t="e">
        <f aca="false">_xlfn.xlookup(BG490,A:A,N:N)+_xlfn.xlookup(BG490,A:A,O:O)</f>
        <v>#NAME?</v>
      </c>
      <c r="BK490" s="153" t="e">
        <f aca="false">_xlfn.xlookup(BG490,A439:A1433,AB439:AB1433)</f>
        <v>#NAME?</v>
      </c>
      <c r="BN490" s="146"/>
      <c r="BO490" s="150"/>
      <c r="BQ490" s="153" t="str">
        <f aca="false">IF(VALUE(MONTH(C490))&lt;10,YEAR(C490)&amp;"-0"&amp;MONTH(C490),YEAR(C490)&amp;"-"&amp;MONTH(C490))</f>
        <v>1900-01</v>
      </c>
      <c r="BR490" s="153" t="n">
        <f aca="false">J490</f>
        <v>0</v>
      </c>
      <c r="BS490" s="153" t="n">
        <f aca="false">IF(ISNUMBER(FIND("-", BR490)), LEFT(BR490, FIND("-", BR490) - 1), BR490)</f>
        <v>0</v>
      </c>
      <c r="BT490" s="189" t="n">
        <f aca="false">L490-M490+O490</f>
        <v>0</v>
      </c>
    </row>
    <row r="491" s="153" customFormat="true" ht="15" hidden="false" customHeight="false" outlineLevel="0" collapsed="false">
      <c r="AN491" s="153" t="e">
        <v>#NAME?</v>
      </c>
      <c r="AO491" s="153" t="e">
        <f aca="false">_xlfn.xlookup(AN491,A:A,F:F)</f>
        <v>#NAME?</v>
      </c>
      <c r="AP491" s="153" t="e">
        <f aca="false">_xlfn.xlookup(AN491,A:A,J:J)</f>
        <v>#NAME?</v>
      </c>
      <c r="AQ491" s="153" t="e">
        <f aca="false">_xlfn.xlookup(AN491,A:A,N:N)+_xlfn.xlookup(AN491,A:A,O:O)</f>
        <v>#NAME?</v>
      </c>
      <c r="AR491" s="150" t="e">
        <f aca="false">_xlfn.xlookup(AN491,A:A,AH:AH)</f>
        <v>#NAME?</v>
      </c>
      <c r="AS491" s="150" t="e">
        <f aca="false">_xlfn.xlookup(AN491,A:A,S:S)</f>
        <v>#NAME?</v>
      </c>
      <c r="AT491" s="150" t="e">
        <f aca="false">_xlfn.xlookup(AN491,A:A,AE:AE)</f>
        <v>#NAME?</v>
      </c>
      <c r="AU491" s="150" t="e">
        <f aca="false">_xlfn.xlookup(AN491,A:A,AF:AF)</f>
        <v>#NAME?</v>
      </c>
      <c r="AX491" s="146"/>
      <c r="AY491" s="150"/>
      <c r="AZ491" s="150"/>
      <c r="BA491" s="150"/>
      <c r="BB491" s="146"/>
      <c r="BC491" s="146"/>
      <c r="BD491" s="151"/>
      <c r="BE491" s="146"/>
      <c r="BF491" s="146"/>
      <c r="BH491" s="152" t="e">
        <f aca="false">_xlfn.xlookup(BG491,A:A,F:F)</f>
        <v>#NAME?</v>
      </c>
      <c r="BI491" s="153" t="e">
        <f aca="false">_xlfn.xlookup(BG491,A:A,J:J)</f>
        <v>#NAME?</v>
      </c>
      <c r="BJ491" s="153" t="e">
        <f aca="false">_xlfn.xlookup(BG491,A:A,N:N)+_xlfn.xlookup(BG491,A:A,O:O)</f>
        <v>#NAME?</v>
      </c>
      <c r="BK491" s="153" t="e">
        <f aca="false">_xlfn.xlookup(BG491,A440:A1434,AB440:AB1434)</f>
        <v>#NAME?</v>
      </c>
      <c r="BN491" s="146"/>
      <c r="BO491" s="150"/>
      <c r="BQ491" s="153" t="str">
        <f aca="false">IF(VALUE(MONTH(C491))&lt;10,YEAR(C491)&amp;"-0"&amp;MONTH(C491),YEAR(C491)&amp;"-"&amp;MONTH(C491))</f>
        <v>1900-01</v>
      </c>
      <c r="BR491" s="153" t="n">
        <f aca="false">J491</f>
        <v>0</v>
      </c>
      <c r="BS491" s="153" t="n">
        <f aca="false">IF(ISNUMBER(FIND("-", BR491)), LEFT(BR491, FIND("-", BR491) - 1), BR491)</f>
        <v>0</v>
      </c>
      <c r="BT491" s="189" t="n">
        <f aca="false">L491-M491+O491</f>
        <v>0</v>
      </c>
    </row>
    <row r="492" s="153" customFormat="true" ht="15" hidden="false" customHeight="false" outlineLevel="0" collapsed="false">
      <c r="AN492" s="153" t="e">
        <v>#NAME?</v>
      </c>
      <c r="AO492" s="153" t="e">
        <f aca="false">_xlfn.xlookup(AN492,A:A,F:F)</f>
        <v>#NAME?</v>
      </c>
      <c r="AP492" s="153" t="e">
        <f aca="false">_xlfn.xlookup(AN492,A:A,J:J)</f>
        <v>#NAME?</v>
      </c>
      <c r="AQ492" s="153" t="e">
        <f aca="false">_xlfn.xlookup(AN492,A:A,N:N)+_xlfn.xlookup(AN492,A:A,O:O)</f>
        <v>#NAME?</v>
      </c>
      <c r="AR492" s="150" t="e">
        <f aca="false">_xlfn.xlookup(AN492,A:A,AH:AH)</f>
        <v>#NAME?</v>
      </c>
      <c r="AS492" s="150" t="e">
        <f aca="false">_xlfn.xlookup(AN492,A:A,S:S)</f>
        <v>#NAME?</v>
      </c>
      <c r="AT492" s="150" t="e">
        <f aca="false">_xlfn.xlookup(AN492,A:A,AE:AE)</f>
        <v>#NAME?</v>
      </c>
      <c r="AU492" s="150" t="e">
        <f aca="false">_xlfn.xlookup(AN492,A:A,AF:AF)</f>
        <v>#NAME?</v>
      </c>
      <c r="AX492" s="146"/>
      <c r="AY492" s="150"/>
      <c r="AZ492" s="150"/>
      <c r="BA492" s="150"/>
      <c r="BB492" s="146"/>
      <c r="BC492" s="146"/>
      <c r="BD492" s="151"/>
      <c r="BE492" s="146"/>
      <c r="BF492" s="146"/>
      <c r="BH492" s="152" t="e">
        <f aca="false">_xlfn.xlookup(BG492,A:A,F:F)</f>
        <v>#NAME?</v>
      </c>
      <c r="BI492" s="153" t="e">
        <f aca="false">_xlfn.xlookup(BG492,A:A,J:J)</f>
        <v>#NAME?</v>
      </c>
      <c r="BJ492" s="153" t="e">
        <f aca="false">_xlfn.xlookup(BG492,A:A,N:N)+_xlfn.xlookup(BG492,A:A,O:O)</f>
        <v>#NAME?</v>
      </c>
      <c r="BK492" s="153" t="e">
        <f aca="false">_xlfn.xlookup(BG492,A441:A1435,AB441:AB1435)</f>
        <v>#NAME?</v>
      </c>
      <c r="BN492" s="146"/>
      <c r="BO492" s="150"/>
      <c r="BQ492" s="153" t="str">
        <f aca="false">IF(VALUE(MONTH(C492))&lt;10,YEAR(C492)&amp;"-0"&amp;MONTH(C492),YEAR(C492)&amp;"-"&amp;MONTH(C492))</f>
        <v>1900-01</v>
      </c>
      <c r="BR492" s="153" t="n">
        <f aca="false">J492</f>
        <v>0</v>
      </c>
      <c r="BS492" s="153" t="n">
        <f aca="false">IF(ISNUMBER(FIND("-", BR492)), LEFT(BR492, FIND("-", BR492) - 1), BR492)</f>
        <v>0</v>
      </c>
      <c r="BT492" s="189" t="n">
        <f aca="false">L492-M492+O492</f>
        <v>0</v>
      </c>
    </row>
    <row r="493" s="153" customFormat="true" ht="15" hidden="false" customHeight="false" outlineLevel="0" collapsed="false">
      <c r="AN493" s="153" t="e">
        <v>#NAME?</v>
      </c>
      <c r="AO493" s="153" t="e">
        <f aca="false">_xlfn.xlookup(AN493,A:A,F:F)</f>
        <v>#NAME?</v>
      </c>
      <c r="AP493" s="153" t="e">
        <f aca="false">_xlfn.xlookup(AN493,A:A,J:J)</f>
        <v>#NAME?</v>
      </c>
      <c r="AQ493" s="153" t="e">
        <f aca="false">_xlfn.xlookup(AN493,A:A,N:N)+_xlfn.xlookup(AN493,A:A,O:O)</f>
        <v>#NAME?</v>
      </c>
      <c r="AR493" s="150" t="e">
        <f aca="false">_xlfn.xlookup(AN493,A:A,AH:AH)</f>
        <v>#NAME?</v>
      </c>
      <c r="AS493" s="150" t="e">
        <f aca="false">_xlfn.xlookup(AN493,A:A,S:S)</f>
        <v>#NAME?</v>
      </c>
      <c r="AT493" s="150" t="e">
        <f aca="false">_xlfn.xlookup(AN493,A:A,AE:AE)</f>
        <v>#NAME?</v>
      </c>
      <c r="AU493" s="150" t="e">
        <f aca="false">_xlfn.xlookup(AN493,A:A,AF:AF)</f>
        <v>#NAME?</v>
      </c>
      <c r="AX493" s="146"/>
      <c r="AY493" s="150"/>
      <c r="AZ493" s="150"/>
      <c r="BA493" s="150"/>
      <c r="BB493" s="146"/>
      <c r="BC493" s="146"/>
      <c r="BD493" s="151"/>
      <c r="BE493" s="146"/>
      <c r="BF493" s="146"/>
      <c r="BH493" s="152" t="e">
        <f aca="false">_xlfn.xlookup(BG493,A:A,F:F)</f>
        <v>#NAME?</v>
      </c>
      <c r="BI493" s="153" t="e">
        <f aca="false">_xlfn.xlookup(BG493,A:A,J:J)</f>
        <v>#NAME?</v>
      </c>
      <c r="BJ493" s="153" t="e">
        <f aca="false">_xlfn.xlookup(BG493,A:A,N:N)+_xlfn.xlookup(BG493,A:A,O:O)</f>
        <v>#NAME?</v>
      </c>
      <c r="BK493" s="153" t="e">
        <f aca="false">_xlfn.xlookup(BG493,A442:A1436,AB442:AB1436)</f>
        <v>#NAME?</v>
      </c>
      <c r="BN493" s="146"/>
      <c r="BO493" s="150"/>
      <c r="BQ493" s="153" t="str">
        <f aca="false">IF(VALUE(MONTH(C493))&lt;10,YEAR(C493)&amp;"-0"&amp;MONTH(C493),YEAR(C493)&amp;"-"&amp;MONTH(C493))</f>
        <v>1900-01</v>
      </c>
      <c r="BR493" s="153" t="n">
        <f aca="false">J493</f>
        <v>0</v>
      </c>
      <c r="BS493" s="153" t="n">
        <f aca="false">IF(ISNUMBER(FIND("-", BR493)), LEFT(BR493, FIND("-", BR493) - 1), BR493)</f>
        <v>0</v>
      </c>
      <c r="BT493" s="189" t="n">
        <f aca="false">L493-M493+O493</f>
        <v>0</v>
      </c>
    </row>
    <row r="494" s="153" customFormat="true" ht="15" hidden="false" customHeight="false" outlineLevel="0" collapsed="false">
      <c r="AN494" s="153" t="e">
        <v>#NAME?</v>
      </c>
      <c r="AO494" s="153" t="e">
        <f aca="false">_xlfn.xlookup(AN494,A:A,F:F)</f>
        <v>#NAME?</v>
      </c>
      <c r="AP494" s="153" t="e">
        <f aca="false">_xlfn.xlookup(AN494,A:A,J:J)</f>
        <v>#NAME?</v>
      </c>
      <c r="AQ494" s="153" t="e">
        <f aca="false">_xlfn.xlookup(AN494,A:A,N:N)+_xlfn.xlookup(AN494,A:A,O:O)</f>
        <v>#NAME?</v>
      </c>
      <c r="AR494" s="150" t="e">
        <f aca="false">_xlfn.xlookup(AN494,A:A,AH:AH)</f>
        <v>#NAME?</v>
      </c>
      <c r="AS494" s="150" t="e">
        <f aca="false">_xlfn.xlookup(AN494,A:A,S:S)</f>
        <v>#NAME?</v>
      </c>
      <c r="AT494" s="150" t="e">
        <f aca="false">_xlfn.xlookup(AN494,A:A,AE:AE)</f>
        <v>#NAME?</v>
      </c>
      <c r="AU494" s="150" t="e">
        <f aca="false">_xlfn.xlookup(AN494,A:A,AF:AF)</f>
        <v>#NAME?</v>
      </c>
      <c r="AX494" s="146"/>
      <c r="AY494" s="150"/>
      <c r="AZ494" s="150"/>
      <c r="BA494" s="150"/>
      <c r="BB494" s="146"/>
      <c r="BC494" s="146"/>
      <c r="BD494" s="151"/>
      <c r="BE494" s="146"/>
      <c r="BF494" s="146"/>
      <c r="BH494" s="152" t="e">
        <f aca="false">_xlfn.xlookup(BG494,A:A,F:F)</f>
        <v>#NAME?</v>
      </c>
      <c r="BI494" s="153" t="e">
        <f aca="false">_xlfn.xlookup(BG494,A:A,J:J)</f>
        <v>#NAME?</v>
      </c>
      <c r="BJ494" s="153" t="e">
        <f aca="false">_xlfn.xlookup(BG494,A:A,N:N)+_xlfn.xlookup(BG494,A:A,O:O)</f>
        <v>#NAME?</v>
      </c>
      <c r="BK494" s="153" t="e">
        <f aca="false">_xlfn.xlookup(BG494,A443:A1437,AB443:AB1437)</f>
        <v>#NAME?</v>
      </c>
      <c r="BN494" s="146"/>
      <c r="BO494" s="150"/>
      <c r="BQ494" s="153" t="str">
        <f aca="false">IF(VALUE(MONTH(C494))&lt;10,YEAR(C494)&amp;"-0"&amp;MONTH(C494),YEAR(C494)&amp;"-"&amp;MONTH(C494))</f>
        <v>1900-01</v>
      </c>
      <c r="BR494" s="153" t="n">
        <f aca="false">J494</f>
        <v>0</v>
      </c>
      <c r="BS494" s="153" t="n">
        <f aca="false">IF(ISNUMBER(FIND("-", BR494)), LEFT(BR494, FIND("-", BR494) - 1), BR494)</f>
        <v>0</v>
      </c>
      <c r="BT494" s="189" t="n">
        <f aca="false">L494-M494+O494</f>
        <v>0</v>
      </c>
    </row>
    <row r="495" s="153" customFormat="true" ht="15" hidden="false" customHeight="false" outlineLevel="0" collapsed="false">
      <c r="AN495" s="153" t="e">
        <v>#NAME?</v>
      </c>
      <c r="AO495" s="153" t="e">
        <f aca="false">_xlfn.xlookup(AN495,A:A,F:F)</f>
        <v>#NAME?</v>
      </c>
      <c r="AP495" s="153" t="e">
        <f aca="false">_xlfn.xlookup(AN495,A:A,J:J)</f>
        <v>#NAME?</v>
      </c>
      <c r="AQ495" s="153" t="e">
        <f aca="false">_xlfn.xlookup(AN495,A:A,N:N)+_xlfn.xlookup(AN495,A:A,O:O)</f>
        <v>#NAME?</v>
      </c>
      <c r="AR495" s="150" t="e">
        <f aca="false">_xlfn.xlookup(AN495,A:A,AH:AH)</f>
        <v>#NAME?</v>
      </c>
      <c r="AS495" s="150" t="e">
        <f aca="false">_xlfn.xlookup(AN495,A:A,S:S)</f>
        <v>#NAME?</v>
      </c>
      <c r="AT495" s="150" t="e">
        <f aca="false">_xlfn.xlookup(AN495,A:A,AE:AE)</f>
        <v>#NAME?</v>
      </c>
      <c r="AU495" s="150" t="e">
        <f aca="false">_xlfn.xlookup(AN495,A:A,AF:AF)</f>
        <v>#NAME?</v>
      </c>
      <c r="AX495" s="146"/>
      <c r="AY495" s="150"/>
      <c r="AZ495" s="150"/>
      <c r="BA495" s="150"/>
      <c r="BB495" s="146"/>
      <c r="BC495" s="146"/>
      <c r="BD495" s="151"/>
      <c r="BE495" s="146"/>
      <c r="BF495" s="146"/>
      <c r="BH495" s="152" t="e">
        <f aca="false">_xlfn.xlookup(BG495,A:A,F:F)</f>
        <v>#NAME?</v>
      </c>
      <c r="BI495" s="153" t="e">
        <f aca="false">_xlfn.xlookup(BG495,A:A,J:J)</f>
        <v>#NAME?</v>
      </c>
      <c r="BJ495" s="153" t="e">
        <f aca="false">_xlfn.xlookup(BG495,A:A,N:N)+_xlfn.xlookup(BG495,A:A,O:O)</f>
        <v>#NAME?</v>
      </c>
      <c r="BK495" s="153" t="e">
        <f aca="false">_xlfn.xlookup(BG495,A444:A1438,AB444:AB1438)</f>
        <v>#NAME?</v>
      </c>
      <c r="BN495" s="146"/>
      <c r="BO495" s="150"/>
      <c r="BQ495" s="153" t="str">
        <f aca="false">IF(VALUE(MONTH(C495))&lt;10,YEAR(C495)&amp;"-0"&amp;MONTH(C495),YEAR(C495)&amp;"-"&amp;MONTH(C495))</f>
        <v>1900-01</v>
      </c>
      <c r="BR495" s="153" t="n">
        <f aca="false">J495</f>
        <v>0</v>
      </c>
      <c r="BS495" s="153" t="n">
        <f aca="false">IF(ISNUMBER(FIND("-", BR495)), LEFT(BR495, FIND("-", BR495) - 1), BR495)</f>
        <v>0</v>
      </c>
      <c r="BT495" s="189" t="n">
        <f aca="false">L495-M495+O495</f>
        <v>0</v>
      </c>
    </row>
    <row r="496" s="153" customFormat="true" ht="15" hidden="false" customHeight="false" outlineLevel="0" collapsed="false">
      <c r="AN496" s="153" t="e">
        <v>#NAME?</v>
      </c>
      <c r="AO496" s="153" t="e">
        <f aca="false">_xlfn.xlookup(AN496,A:A,F:F)</f>
        <v>#NAME?</v>
      </c>
      <c r="AP496" s="153" t="e">
        <f aca="false">_xlfn.xlookup(AN496,A:A,J:J)</f>
        <v>#NAME?</v>
      </c>
      <c r="AQ496" s="153" t="e">
        <f aca="false">_xlfn.xlookup(AN496,A:A,N:N)+_xlfn.xlookup(AN496,A:A,O:O)</f>
        <v>#NAME?</v>
      </c>
      <c r="AR496" s="150" t="e">
        <f aca="false">_xlfn.xlookup(AN496,A:A,AH:AH)</f>
        <v>#NAME?</v>
      </c>
      <c r="AS496" s="150" t="e">
        <f aca="false">_xlfn.xlookup(AN496,A:A,S:S)</f>
        <v>#NAME?</v>
      </c>
      <c r="AT496" s="150" t="e">
        <f aca="false">_xlfn.xlookup(AN496,A:A,AE:AE)</f>
        <v>#NAME?</v>
      </c>
      <c r="AU496" s="150" t="e">
        <f aca="false">_xlfn.xlookup(AN496,A:A,AF:AF)</f>
        <v>#NAME?</v>
      </c>
      <c r="AX496" s="146"/>
      <c r="AY496" s="150"/>
      <c r="AZ496" s="150"/>
      <c r="BA496" s="150"/>
      <c r="BB496" s="146"/>
      <c r="BC496" s="146"/>
      <c r="BD496" s="151"/>
      <c r="BE496" s="146"/>
      <c r="BF496" s="146"/>
      <c r="BH496" s="152" t="e">
        <f aca="false">_xlfn.xlookup(BG496,A:A,F:F)</f>
        <v>#NAME?</v>
      </c>
      <c r="BI496" s="153" t="e">
        <f aca="false">_xlfn.xlookup(BG496,A:A,J:J)</f>
        <v>#NAME?</v>
      </c>
      <c r="BJ496" s="153" t="e">
        <f aca="false">_xlfn.xlookup(BG496,A:A,N:N)+_xlfn.xlookup(BG496,A:A,O:O)</f>
        <v>#NAME?</v>
      </c>
      <c r="BK496" s="153" t="e">
        <f aca="false">_xlfn.xlookup(BG496,A445:A1439,AB445:AB1439)</f>
        <v>#NAME?</v>
      </c>
      <c r="BN496" s="146"/>
      <c r="BO496" s="150"/>
      <c r="BQ496" s="153" t="str">
        <f aca="false">IF(VALUE(MONTH(C496))&lt;10,YEAR(C496)&amp;"-0"&amp;MONTH(C496),YEAR(C496)&amp;"-"&amp;MONTH(C496))</f>
        <v>1900-01</v>
      </c>
      <c r="BR496" s="153" t="n">
        <f aca="false">J496</f>
        <v>0</v>
      </c>
      <c r="BS496" s="153" t="n">
        <f aca="false">IF(ISNUMBER(FIND("-", BR496)), LEFT(BR496, FIND("-", BR496) - 1), BR496)</f>
        <v>0</v>
      </c>
      <c r="BT496" s="189" t="n">
        <f aca="false">L496-M496+O496</f>
        <v>0</v>
      </c>
    </row>
    <row r="497" s="153" customFormat="true" ht="15" hidden="false" customHeight="false" outlineLevel="0" collapsed="false">
      <c r="AN497" s="153" t="e">
        <v>#NAME?</v>
      </c>
      <c r="AO497" s="153" t="e">
        <f aca="false">_xlfn.xlookup(AN497,A:A,F:F)</f>
        <v>#NAME?</v>
      </c>
      <c r="AP497" s="153" t="e">
        <f aca="false">_xlfn.xlookup(AN497,A:A,J:J)</f>
        <v>#NAME?</v>
      </c>
      <c r="AQ497" s="153" t="e">
        <f aca="false">_xlfn.xlookup(AN497,A:A,N:N)+_xlfn.xlookup(AN497,A:A,O:O)</f>
        <v>#NAME?</v>
      </c>
      <c r="AR497" s="150" t="e">
        <f aca="false">_xlfn.xlookup(AN497,A:A,AH:AH)</f>
        <v>#NAME?</v>
      </c>
      <c r="AS497" s="150" t="e">
        <f aca="false">_xlfn.xlookup(AN497,A:A,S:S)</f>
        <v>#NAME?</v>
      </c>
      <c r="AT497" s="150" t="e">
        <f aca="false">_xlfn.xlookup(AN497,A:A,AE:AE)</f>
        <v>#NAME?</v>
      </c>
      <c r="AU497" s="150" t="e">
        <f aca="false">_xlfn.xlookup(AN497,A:A,AF:AF)</f>
        <v>#NAME?</v>
      </c>
      <c r="AX497" s="146"/>
      <c r="AY497" s="150"/>
      <c r="AZ497" s="150"/>
      <c r="BA497" s="150"/>
      <c r="BB497" s="146"/>
      <c r="BC497" s="146"/>
      <c r="BD497" s="151"/>
      <c r="BE497" s="146"/>
      <c r="BF497" s="146"/>
      <c r="BH497" s="152" t="e">
        <f aca="false">_xlfn.xlookup(BG497,A:A,F:F)</f>
        <v>#NAME?</v>
      </c>
      <c r="BI497" s="153" t="e">
        <f aca="false">_xlfn.xlookup(BG497,A:A,J:J)</f>
        <v>#NAME?</v>
      </c>
      <c r="BJ497" s="153" t="e">
        <f aca="false">_xlfn.xlookup(BG497,A:A,N:N)+_xlfn.xlookup(BG497,A:A,O:O)</f>
        <v>#NAME?</v>
      </c>
      <c r="BK497" s="153" t="e">
        <f aca="false">_xlfn.xlookup(BG497,A446:A1440,AB446:AB1440)</f>
        <v>#NAME?</v>
      </c>
      <c r="BN497" s="146"/>
      <c r="BO497" s="150"/>
      <c r="BQ497" s="153" t="str">
        <f aca="false">IF(VALUE(MONTH(C497))&lt;10,YEAR(C497)&amp;"-0"&amp;MONTH(C497),YEAR(C497)&amp;"-"&amp;MONTH(C497))</f>
        <v>1900-01</v>
      </c>
      <c r="BR497" s="153" t="n">
        <f aca="false">J497</f>
        <v>0</v>
      </c>
      <c r="BS497" s="153" t="n">
        <f aca="false">IF(ISNUMBER(FIND("-", BR497)), LEFT(BR497, FIND("-", BR497) - 1), BR497)</f>
        <v>0</v>
      </c>
      <c r="BT497" s="189" t="n">
        <f aca="false">L497-M497+O497</f>
        <v>0</v>
      </c>
    </row>
    <row r="498" s="153" customFormat="true" ht="15" hidden="false" customHeight="false" outlineLevel="0" collapsed="false">
      <c r="AN498" s="153" t="e">
        <v>#NAME?</v>
      </c>
      <c r="AO498" s="153" t="e">
        <f aca="false">_xlfn.xlookup(AN498,A:A,F:F)</f>
        <v>#NAME?</v>
      </c>
      <c r="AP498" s="153" t="e">
        <f aca="false">_xlfn.xlookup(AN498,A:A,J:J)</f>
        <v>#NAME?</v>
      </c>
      <c r="AQ498" s="153" t="e">
        <f aca="false">_xlfn.xlookup(AN498,A:A,N:N)+_xlfn.xlookup(AN498,A:A,O:O)</f>
        <v>#NAME?</v>
      </c>
      <c r="AR498" s="150" t="e">
        <f aca="false">_xlfn.xlookup(AN498,A:A,AH:AH)</f>
        <v>#NAME?</v>
      </c>
      <c r="AS498" s="150" t="e">
        <f aca="false">_xlfn.xlookup(AN498,A:A,S:S)</f>
        <v>#NAME?</v>
      </c>
      <c r="AT498" s="150" t="e">
        <f aca="false">_xlfn.xlookup(AN498,A:A,AE:AE)</f>
        <v>#NAME?</v>
      </c>
      <c r="AU498" s="150" t="e">
        <f aca="false">_xlfn.xlookup(AN498,A:A,AF:AF)</f>
        <v>#NAME?</v>
      </c>
      <c r="AX498" s="146"/>
      <c r="AY498" s="150"/>
      <c r="AZ498" s="150"/>
      <c r="BA498" s="150"/>
      <c r="BB498" s="146"/>
      <c r="BC498" s="146"/>
      <c r="BD498" s="151"/>
      <c r="BE498" s="146"/>
      <c r="BF498" s="146"/>
      <c r="BH498" s="152" t="e">
        <f aca="false">_xlfn.xlookup(BG498,A:A,F:F)</f>
        <v>#NAME?</v>
      </c>
      <c r="BI498" s="153" t="e">
        <f aca="false">_xlfn.xlookup(BG498,A:A,J:J)</f>
        <v>#NAME?</v>
      </c>
      <c r="BJ498" s="153" t="e">
        <f aca="false">_xlfn.xlookup(BG498,A:A,N:N)+_xlfn.xlookup(BG498,A:A,O:O)</f>
        <v>#NAME?</v>
      </c>
      <c r="BK498" s="153" t="e">
        <f aca="false">_xlfn.xlookup(BG498,A447:A1441,AB447:AB1441)</f>
        <v>#NAME?</v>
      </c>
      <c r="BN498" s="146"/>
      <c r="BO498" s="150"/>
      <c r="BQ498" s="153" t="str">
        <f aca="false">IF(VALUE(MONTH(C498))&lt;10,YEAR(C498)&amp;"-0"&amp;MONTH(C498),YEAR(C498)&amp;"-"&amp;MONTH(C498))</f>
        <v>1900-01</v>
      </c>
      <c r="BR498" s="153" t="n">
        <f aca="false">J498</f>
        <v>0</v>
      </c>
      <c r="BS498" s="153" t="n">
        <f aca="false">IF(ISNUMBER(FIND("-", BR498)), LEFT(BR498, FIND("-", BR498) - 1), BR498)</f>
        <v>0</v>
      </c>
      <c r="BT498" s="189" t="n">
        <f aca="false">L498-M498+O498</f>
        <v>0</v>
      </c>
    </row>
    <row r="499" s="153" customFormat="true" ht="15" hidden="false" customHeight="false" outlineLevel="0" collapsed="false">
      <c r="AN499" s="153" t="e">
        <v>#NAME?</v>
      </c>
      <c r="AO499" s="153" t="e">
        <f aca="false">_xlfn.xlookup(AN499,A:A,F:F)</f>
        <v>#NAME?</v>
      </c>
      <c r="AP499" s="153" t="e">
        <f aca="false">_xlfn.xlookup(AN499,A:A,J:J)</f>
        <v>#NAME?</v>
      </c>
      <c r="AQ499" s="153" t="e">
        <f aca="false">_xlfn.xlookup(AN499,A:A,N:N)+_xlfn.xlookup(AN499,A:A,O:O)</f>
        <v>#NAME?</v>
      </c>
      <c r="AR499" s="150" t="e">
        <f aca="false">_xlfn.xlookup(AN499,A:A,AH:AH)</f>
        <v>#NAME?</v>
      </c>
      <c r="AS499" s="150" t="e">
        <f aca="false">_xlfn.xlookup(AN499,A:A,S:S)</f>
        <v>#NAME?</v>
      </c>
      <c r="AT499" s="150" t="e">
        <f aca="false">_xlfn.xlookup(AN499,A:A,AE:AE)</f>
        <v>#NAME?</v>
      </c>
      <c r="AU499" s="150" t="e">
        <f aca="false">_xlfn.xlookup(AN499,A:A,AF:AF)</f>
        <v>#NAME?</v>
      </c>
      <c r="AX499" s="146"/>
      <c r="AY499" s="150"/>
      <c r="AZ499" s="150"/>
      <c r="BA499" s="150"/>
      <c r="BB499" s="146"/>
      <c r="BC499" s="146"/>
      <c r="BD499" s="151"/>
      <c r="BE499" s="146"/>
      <c r="BF499" s="146"/>
      <c r="BH499" s="152" t="e">
        <f aca="false">_xlfn.xlookup(BG499,A:A,F:F)</f>
        <v>#NAME?</v>
      </c>
      <c r="BI499" s="153" t="e">
        <f aca="false">_xlfn.xlookup(BG499,A:A,J:J)</f>
        <v>#NAME?</v>
      </c>
      <c r="BJ499" s="153" t="e">
        <f aca="false">_xlfn.xlookup(BG499,A:A,N:N)+_xlfn.xlookup(BG499,A:A,O:O)</f>
        <v>#NAME?</v>
      </c>
      <c r="BK499" s="153" t="e">
        <f aca="false">_xlfn.xlookup(BG499,A448:A1442,AB448:AB1442)</f>
        <v>#NAME?</v>
      </c>
      <c r="BN499" s="146"/>
      <c r="BO499" s="150"/>
      <c r="BQ499" s="153" t="str">
        <f aca="false">IF(VALUE(MONTH(C499))&lt;10,YEAR(C499)&amp;"-0"&amp;MONTH(C499),YEAR(C499)&amp;"-"&amp;MONTH(C499))</f>
        <v>1900-01</v>
      </c>
      <c r="BR499" s="153" t="n">
        <f aca="false">J499</f>
        <v>0</v>
      </c>
      <c r="BS499" s="153" t="n">
        <f aca="false">IF(ISNUMBER(FIND("-", BR499)), LEFT(BR499, FIND("-", BR499) - 1), BR499)</f>
        <v>0</v>
      </c>
      <c r="BT499" s="189" t="n">
        <f aca="false">L499-M499+O499</f>
        <v>0</v>
      </c>
    </row>
    <row r="500" s="153" customFormat="true" ht="15" hidden="false" customHeight="false" outlineLevel="0" collapsed="false">
      <c r="AN500" s="153" t="e">
        <v>#NAME?</v>
      </c>
      <c r="AO500" s="153" t="e">
        <f aca="false">_xlfn.xlookup(AN500,A:A,F:F)</f>
        <v>#NAME?</v>
      </c>
      <c r="AP500" s="153" t="e">
        <f aca="false">_xlfn.xlookup(AN500,A:A,J:J)</f>
        <v>#NAME?</v>
      </c>
      <c r="AQ500" s="153" t="e">
        <f aca="false">_xlfn.xlookup(AN500,A:A,N:N)+_xlfn.xlookup(AN500,A:A,O:O)</f>
        <v>#NAME?</v>
      </c>
      <c r="AR500" s="150" t="e">
        <f aca="false">_xlfn.xlookup(AN500,A:A,AH:AH)</f>
        <v>#NAME?</v>
      </c>
      <c r="AS500" s="150" t="e">
        <f aca="false">_xlfn.xlookup(AN500,A:A,S:S)</f>
        <v>#NAME?</v>
      </c>
      <c r="AT500" s="150" t="e">
        <f aca="false">_xlfn.xlookup(AN500,A:A,AE:AE)</f>
        <v>#NAME?</v>
      </c>
      <c r="AU500" s="150" t="e">
        <f aca="false">_xlfn.xlookup(AN500,A:A,AF:AF)</f>
        <v>#NAME?</v>
      </c>
      <c r="AX500" s="146"/>
      <c r="AY500" s="150"/>
      <c r="AZ500" s="150"/>
      <c r="BA500" s="150"/>
      <c r="BB500" s="146"/>
      <c r="BC500" s="146"/>
      <c r="BD500" s="151"/>
      <c r="BE500" s="146"/>
      <c r="BF500" s="146"/>
      <c r="BH500" s="152" t="e">
        <f aca="false">_xlfn.xlookup(BG500,A:A,F:F)</f>
        <v>#NAME?</v>
      </c>
      <c r="BI500" s="153" t="e">
        <f aca="false">_xlfn.xlookup(BG500,A:A,J:J)</f>
        <v>#NAME?</v>
      </c>
      <c r="BJ500" s="153" t="e">
        <f aca="false">_xlfn.xlookup(BG500,A:A,N:N)+_xlfn.xlookup(BG500,A:A,O:O)</f>
        <v>#NAME?</v>
      </c>
      <c r="BK500" s="153" t="e">
        <f aca="false">_xlfn.xlookup(BG500,A449:A1443,AB449:AB1443)</f>
        <v>#NAME?</v>
      </c>
      <c r="BN500" s="146"/>
      <c r="BO500" s="150"/>
      <c r="BQ500" s="153" t="str">
        <f aca="false">IF(VALUE(MONTH(C500))&lt;10,YEAR(C500)&amp;"-0"&amp;MONTH(C500),YEAR(C500)&amp;"-"&amp;MONTH(C500))</f>
        <v>1900-01</v>
      </c>
      <c r="BR500" s="153" t="n">
        <f aca="false">J500</f>
        <v>0</v>
      </c>
      <c r="BS500" s="153" t="n">
        <f aca="false">IF(ISNUMBER(FIND("-", BR500)), LEFT(BR500, FIND("-", BR500) - 1), BR500)</f>
        <v>0</v>
      </c>
      <c r="BT500" s="189" t="n">
        <f aca="false">L500-M500+O500</f>
        <v>0</v>
      </c>
    </row>
    <row r="501" s="153" customFormat="true" ht="15" hidden="false" customHeight="false" outlineLevel="0" collapsed="false">
      <c r="AN501" s="153" t="e">
        <v>#NAME?</v>
      </c>
      <c r="AO501" s="153" t="e">
        <f aca="false">_xlfn.xlookup(AN501,A:A,F:F)</f>
        <v>#NAME?</v>
      </c>
      <c r="AP501" s="153" t="e">
        <f aca="false">_xlfn.xlookup(AN501,A:A,J:J)</f>
        <v>#NAME?</v>
      </c>
      <c r="AQ501" s="153" t="e">
        <f aca="false">_xlfn.xlookup(AN501,A:A,N:N)+_xlfn.xlookup(AN501,A:A,O:O)</f>
        <v>#NAME?</v>
      </c>
      <c r="AR501" s="150" t="e">
        <f aca="false">_xlfn.xlookup(AN501,A:A,AH:AH)</f>
        <v>#NAME?</v>
      </c>
      <c r="AS501" s="150" t="e">
        <f aca="false">_xlfn.xlookup(AN501,A:A,S:S)</f>
        <v>#NAME?</v>
      </c>
      <c r="AT501" s="150" t="e">
        <f aca="false">_xlfn.xlookup(AN501,A:A,AE:AE)</f>
        <v>#NAME?</v>
      </c>
      <c r="AU501" s="150" t="e">
        <f aca="false">_xlfn.xlookup(AN501,A:A,AF:AF)</f>
        <v>#NAME?</v>
      </c>
      <c r="AX501" s="146"/>
      <c r="AY501" s="150"/>
      <c r="AZ501" s="150"/>
      <c r="BA501" s="150"/>
      <c r="BB501" s="146"/>
      <c r="BC501" s="146"/>
      <c r="BD501" s="151"/>
      <c r="BE501" s="146"/>
      <c r="BF501" s="146"/>
      <c r="BH501" s="152" t="e">
        <f aca="false">_xlfn.xlookup(BG501,A:A,F:F)</f>
        <v>#NAME?</v>
      </c>
      <c r="BI501" s="153" t="e">
        <f aca="false">_xlfn.xlookup(BG501,A:A,J:J)</f>
        <v>#NAME?</v>
      </c>
      <c r="BJ501" s="153" t="e">
        <f aca="false">_xlfn.xlookup(BG501,A:A,N:N)+_xlfn.xlookup(BG501,A:A,O:O)</f>
        <v>#NAME?</v>
      </c>
      <c r="BK501" s="153" t="e">
        <f aca="false">_xlfn.xlookup(BG501,A450:A1444,AB450:AB1444)</f>
        <v>#NAME?</v>
      </c>
      <c r="BN501" s="146"/>
      <c r="BO501" s="150"/>
      <c r="BQ501" s="153" t="str">
        <f aca="false">IF(VALUE(MONTH(C501))&lt;10,YEAR(C501)&amp;"-0"&amp;MONTH(C501),YEAR(C501)&amp;"-"&amp;MONTH(C501))</f>
        <v>1900-01</v>
      </c>
      <c r="BR501" s="153" t="n">
        <f aca="false">J501</f>
        <v>0</v>
      </c>
      <c r="BS501" s="153" t="n">
        <f aca="false">IF(ISNUMBER(FIND("-", BR501)), LEFT(BR501, FIND("-", BR501) - 1), BR501)</f>
        <v>0</v>
      </c>
      <c r="BT501" s="189" t="n">
        <f aca="false">L501-M501+O501</f>
        <v>0</v>
      </c>
    </row>
    <row r="502" s="153" customFormat="true" ht="15" hidden="false" customHeight="false" outlineLevel="0" collapsed="false">
      <c r="AN502" s="153" t="e">
        <v>#NAME?</v>
      </c>
      <c r="AO502" s="153" t="e">
        <f aca="false">_xlfn.xlookup(AN502,A:A,F:F)</f>
        <v>#NAME?</v>
      </c>
      <c r="AP502" s="153" t="e">
        <f aca="false">_xlfn.xlookup(AN502,A:A,J:J)</f>
        <v>#NAME?</v>
      </c>
      <c r="AQ502" s="153" t="e">
        <f aca="false">_xlfn.xlookup(AN502,A:A,N:N)+_xlfn.xlookup(AN502,A:A,O:O)</f>
        <v>#NAME?</v>
      </c>
      <c r="AR502" s="150" t="e">
        <f aca="false">_xlfn.xlookup(AN502,A:A,AH:AH)</f>
        <v>#NAME?</v>
      </c>
      <c r="AS502" s="150" t="e">
        <f aca="false">_xlfn.xlookup(AN502,A:A,S:S)</f>
        <v>#NAME?</v>
      </c>
      <c r="AT502" s="150" t="e">
        <f aca="false">_xlfn.xlookup(AN502,A:A,AE:AE)</f>
        <v>#NAME?</v>
      </c>
      <c r="AU502" s="150" t="e">
        <f aca="false">_xlfn.xlookup(AN502,A:A,AF:AF)</f>
        <v>#NAME?</v>
      </c>
      <c r="AX502" s="146"/>
      <c r="AY502" s="150"/>
      <c r="AZ502" s="150"/>
      <c r="BA502" s="150"/>
      <c r="BB502" s="146"/>
      <c r="BC502" s="146"/>
      <c r="BD502" s="151"/>
      <c r="BE502" s="146"/>
      <c r="BF502" s="146"/>
      <c r="BH502" s="152" t="e">
        <f aca="false">_xlfn.xlookup(BG502,A:A,F:F)</f>
        <v>#NAME?</v>
      </c>
      <c r="BI502" s="153" t="e">
        <f aca="false">_xlfn.xlookup(BG502,A:A,J:J)</f>
        <v>#NAME?</v>
      </c>
      <c r="BJ502" s="153" t="e">
        <f aca="false">_xlfn.xlookup(BG502,A:A,N:N)+_xlfn.xlookup(BG502,A:A,O:O)</f>
        <v>#NAME?</v>
      </c>
      <c r="BK502" s="153" t="e">
        <f aca="false">_xlfn.xlookup(BG502,A451:A1445,AB451:AB1445)</f>
        <v>#NAME?</v>
      </c>
      <c r="BN502" s="146"/>
      <c r="BO502" s="150"/>
      <c r="BQ502" s="153" t="str">
        <f aca="false">IF(VALUE(MONTH(C502))&lt;10,YEAR(C502)&amp;"-0"&amp;MONTH(C502),YEAR(C502)&amp;"-"&amp;MONTH(C502))</f>
        <v>1900-01</v>
      </c>
      <c r="BR502" s="153" t="n">
        <f aca="false">J502</f>
        <v>0</v>
      </c>
      <c r="BS502" s="153" t="n">
        <f aca="false">IF(ISNUMBER(FIND("-", BR502)), LEFT(BR502, FIND("-", BR502) - 1), BR502)</f>
        <v>0</v>
      </c>
      <c r="BT502" s="189" t="n">
        <f aca="false">L502-M502+O502</f>
        <v>0</v>
      </c>
    </row>
    <row r="503" s="153" customFormat="true" ht="15" hidden="false" customHeight="false" outlineLevel="0" collapsed="false">
      <c r="AN503" s="153" t="e">
        <v>#NAME?</v>
      </c>
      <c r="AO503" s="153" t="e">
        <f aca="false">_xlfn.xlookup(AN503,A:A,F:F)</f>
        <v>#NAME?</v>
      </c>
      <c r="AP503" s="153" t="e">
        <f aca="false">_xlfn.xlookup(AN503,A:A,J:J)</f>
        <v>#NAME?</v>
      </c>
      <c r="AQ503" s="153" t="e">
        <f aca="false">_xlfn.xlookup(AN503,A:A,N:N)+_xlfn.xlookup(AN503,A:A,O:O)</f>
        <v>#NAME?</v>
      </c>
      <c r="AR503" s="150" t="e">
        <f aca="false">_xlfn.xlookup(AN503,A:A,AH:AH)</f>
        <v>#NAME?</v>
      </c>
      <c r="AS503" s="150" t="e">
        <f aca="false">_xlfn.xlookup(AN503,A:A,S:S)</f>
        <v>#NAME?</v>
      </c>
      <c r="AT503" s="150" t="e">
        <f aca="false">_xlfn.xlookup(AN503,A:A,AE:AE)</f>
        <v>#NAME?</v>
      </c>
      <c r="AU503" s="150" t="e">
        <f aca="false">_xlfn.xlookup(AN503,A:A,AF:AF)</f>
        <v>#NAME?</v>
      </c>
      <c r="AX503" s="146"/>
      <c r="AY503" s="150"/>
      <c r="AZ503" s="150"/>
      <c r="BA503" s="150"/>
      <c r="BB503" s="146"/>
      <c r="BC503" s="146"/>
      <c r="BD503" s="151"/>
      <c r="BE503" s="146"/>
      <c r="BF503" s="146"/>
      <c r="BH503" s="152" t="e">
        <f aca="false">_xlfn.xlookup(BG503,A:A,F:F)</f>
        <v>#NAME?</v>
      </c>
      <c r="BI503" s="153" t="e">
        <f aca="false">_xlfn.xlookup(BG503,A:A,J:J)</f>
        <v>#NAME?</v>
      </c>
      <c r="BJ503" s="153" t="e">
        <f aca="false">_xlfn.xlookup(BG503,A:A,N:N)+_xlfn.xlookup(BG503,A:A,O:O)</f>
        <v>#NAME?</v>
      </c>
      <c r="BK503" s="153" t="e">
        <f aca="false">_xlfn.xlookup(BG503,A452:A1446,AB452:AB1446)</f>
        <v>#NAME?</v>
      </c>
      <c r="BN503" s="146"/>
      <c r="BO503" s="150"/>
      <c r="BQ503" s="153" t="str">
        <f aca="false">IF(VALUE(MONTH(C503))&lt;10,YEAR(C503)&amp;"-0"&amp;MONTH(C503),YEAR(C503)&amp;"-"&amp;MONTH(C503))</f>
        <v>1900-01</v>
      </c>
      <c r="BR503" s="153" t="n">
        <f aca="false">J503</f>
        <v>0</v>
      </c>
      <c r="BS503" s="153" t="n">
        <f aca="false">IF(ISNUMBER(FIND("-", BR503)), LEFT(BR503, FIND("-", BR503) - 1), BR503)</f>
        <v>0</v>
      </c>
      <c r="BT503" s="189" t="n">
        <f aca="false">L503-M503+O503</f>
        <v>0</v>
      </c>
    </row>
    <row r="504" s="153" customFormat="true" ht="15" hidden="false" customHeight="false" outlineLevel="0" collapsed="false">
      <c r="AN504" s="153" t="e">
        <v>#NAME?</v>
      </c>
      <c r="AO504" s="153" t="e">
        <f aca="false">_xlfn.xlookup(AN504,A:A,F:F)</f>
        <v>#NAME?</v>
      </c>
      <c r="AP504" s="153" t="e">
        <f aca="false">_xlfn.xlookup(AN504,A:A,J:J)</f>
        <v>#NAME?</v>
      </c>
      <c r="AQ504" s="153" t="e">
        <f aca="false">_xlfn.xlookup(AN504,A:A,N:N)+_xlfn.xlookup(AN504,A:A,O:O)</f>
        <v>#NAME?</v>
      </c>
      <c r="AR504" s="150" t="e">
        <f aca="false">_xlfn.xlookup(AN504,A:A,AH:AH)</f>
        <v>#NAME?</v>
      </c>
      <c r="AS504" s="150" t="e">
        <f aca="false">_xlfn.xlookup(AN504,A:A,S:S)</f>
        <v>#NAME?</v>
      </c>
      <c r="AT504" s="150" t="e">
        <f aca="false">_xlfn.xlookup(AN504,A:A,AE:AE)</f>
        <v>#NAME?</v>
      </c>
      <c r="AU504" s="150" t="e">
        <f aca="false">_xlfn.xlookup(AN504,A:A,AF:AF)</f>
        <v>#NAME?</v>
      </c>
      <c r="AX504" s="146"/>
      <c r="AY504" s="150"/>
      <c r="AZ504" s="150"/>
      <c r="BA504" s="150"/>
      <c r="BB504" s="146"/>
      <c r="BC504" s="146"/>
      <c r="BD504" s="151"/>
      <c r="BE504" s="146"/>
      <c r="BF504" s="146"/>
      <c r="BH504" s="152" t="e">
        <f aca="false">_xlfn.xlookup(BG504,A:A,F:F)</f>
        <v>#NAME?</v>
      </c>
      <c r="BI504" s="153" t="e">
        <f aca="false">_xlfn.xlookup(BG504,A:A,J:J)</f>
        <v>#NAME?</v>
      </c>
      <c r="BJ504" s="153" t="e">
        <f aca="false">_xlfn.xlookup(BG504,A:A,N:N)+_xlfn.xlookup(BG504,A:A,O:O)</f>
        <v>#NAME?</v>
      </c>
      <c r="BK504" s="153" t="e">
        <f aca="false">_xlfn.xlookup(BG504,A453:A1447,AB453:AB1447)</f>
        <v>#NAME?</v>
      </c>
      <c r="BN504" s="146"/>
      <c r="BO504" s="150"/>
      <c r="BQ504" s="153" t="str">
        <f aca="false">IF(VALUE(MONTH(C504))&lt;10,YEAR(C504)&amp;"-0"&amp;MONTH(C504),YEAR(C504)&amp;"-"&amp;MONTH(C504))</f>
        <v>1900-01</v>
      </c>
      <c r="BR504" s="153" t="n">
        <f aca="false">J504</f>
        <v>0</v>
      </c>
      <c r="BS504" s="153" t="n">
        <f aca="false">IF(ISNUMBER(FIND("-", BR504)), LEFT(BR504, FIND("-", BR504) - 1), BR504)</f>
        <v>0</v>
      </c>
      <c r="BT504" s="189" t="n">
        <f aca="false">L504-M504+O504</f>
        <v>0</v>
      </c>
    </row>
    <row r="505" s="153" customFormat="true" ht="15" hidden="false" customHeight="false" outlineLevel="0" collapsed="false">
      <c r="AN505" s="153" t="e">
        <v>#NAME?</v>
      </c>
      <c r="AO505" s="153" t="e">
        <f aca="false">_xlfn.xlookup(AN505,A:A,F:F)</f>
        <v>#NAME?</v>
      </c>
      <c r="AP505" s="153" t="e">
        <f aca="false">_xlfn.xlookup(AN505,A:A,J:J)</f>
        <v>#NAME?</v>
      </c>
      <c r="AQ505" s="153" t="e">
        <f aca="false">_xlfn.xlookup(AN505,A:A,N:N)+_xlfn.xlookup(AN505,A:A,O:O)</f>
        <v>#NAME?</v>
      </c>
      <c r="AR505" s="150" t="e">
        <f aca="false">_xlfn.xlookup(AN505,A:A,AH:AH)</f>
        <v>#NAME?</v>
      </c>
      <c r="AS505" s="150" t="e">
        <f aca="false">_xlfn.xlookup(AN505,A:A,S:S)</f>
        <v>#NAME?</v>
      </c>
      <c r="AT505" s="150" t="e">
        <f aca="false">_xlfn.xlookup(AN505,A:A,AE:AE)</f>
        <v>#NAME?</v>
      </c>
      <c r="AU505" s="150" t="e">
        <f aca="false">_xlfn.xlookup(AN505,A:A,AF:AF)</f>
        <v>#NAME?</v>
      </c>
      <c r="AX505" s="146"/>
      <c r="AY505" s="150"/>
      <c r="AZ505" s="150"/>
      <c r="BA505" s="150"/>
      <c r="BB505" s="146"/>
      <c r="BC505" s="146"/>
      <c r="BD505" s="151"/>
      <c r="BE505" s="146"/>
      <c r="BF505" s="146"/>
      <c r="BH505" s="152" t="e">
        <f aca="false">_xlfn.xlookup(BG505,A:A,F:F)</f>
        <v>#NAME?</v>
      </c>
      <c r="BI505" s="153" t="e">
        <f aca="false">_xlfn.xlookup(BG505,A:A,J:J)</f>
        <v>#NAME?</v>
      </c>
      <c r="BJ505" s="153" t="e">
        <f aca="false">_xlfn.xlookup(BG505,A:A,N:N)+_xlfn.xlookup(BG505,A:A,O:O)</f>
        <v>#NAME?</v>
      </c>
      <c r="BK505" s="153" t="e">
        <f aca="false">_xlfn.xlookup(BG505,A454:A1448,AB454:AB1448)</f>
        <v>#NAME?</v>
      </c>
      <c r="BN505" s="146"/>
      <c r="BO505" s="150"/>
      <c r="BQ505" s="153" t="str">
        <f aca="false">IF(VALUE(MONTH(C505))&lt;10,YEAR(C505)&amp;"-0"&amp;MONTH(C505),YEAR(C505)&amp;"-"&amp;MONTH(C505))</f>
        <v>1900-01</v>
      </c>
      <c r="BR505" s="153" t="n">
        <f aca="false">J505</f>
        <v>0</v>
      </c>
      <c r="BS505" s="153" t="n">
        <f aca="false">IF(ISNUMBER(FIND("-", BR505)), LEFT(BR505, FIND("-", BR505) - 1), BR505)</f>
        <v>0</v>
      </c>
      <c r="BT505" s="189" t="n">
        <f aca="false">L505-M505+O505</f>
        <v>0</v>
      </c>
    </row>
    <row r="506" s="153" customFormat="true" ht="15" hidden="false" customHeight="false" outlineLevel="0" collapsed="false">
      <c r="AN506" s="153" t="e">
        <v>#NAME?</v>
      </c>
      <c r="AO506" s="153" t="e">
        <f aca="false">_xlfn.xlookup(AN506,A:A,F:F)</f>
        <v>#NAME?</v>
      </c>
      <c r="AP506" s="153" t="e">
        <f aca="false">_xlfn.xlookup(AN506,A:A,J:J)</f>
        <v>#NAME?</v>
      </c>
      <c r="AQ506" s="153" t="e">
        <f aca="false">_xlfn.xlookup(AN506,A:A,N:N)+_xlfn.xlookup(AN506,A:A,O:O)</f>
        <v>#NAME?</v>
      </c>
      <c r="AR506" s="150" t="e">
        <f aca="false">_xlfn.xlookup(AN506,A:A,AH:AH)</f>
        <v>#NAME?</v>
      </c>
      <c r="AS506" s="150" t="e">
        <f aca="false">_xlfn.xlookup(AN506,A:A,S:S)</f>
        <v>#NAME?</v>
      </c>
      <c r="AT506" s="150" t="e">
        <f aca="false">_xlfn.xlookup(AN506,A:A,AE:AE)</f>
        <v>#NAME?</v>
      </c>
      <c r="AU506" s="150" t="e">
        <f aca="false">_xlfn.xlookup(AN506,A:A,AF:AF)</f>
        <v>#NAME?</v>
      </c>
      <c r="AX506" s="146"/>
      <c r="AY506" s="150"/>
      <c r="AZ506" s="150"/>
      <c r="BA506" s="150"/>
      <c r="BB506" s="146"/>
      <c r="BC506" s="146"/>
      <c r="BD506" s="151"/>
      <c r="BE506" s="146"/>
      <c r="BF506" s="146"/>
      <c r="BH506" s="152" t="e">
        <f aca="false">_xlfn.xlookup(BG506,A:A,F:F)</f>
        <v>#NAME?</v>
      </c>
      <c r="BI506" s="153" t="e">
        <f aca="false">_xlfn.xlookup(BG506,A:A,J:J)</f>
        <v>#NAME?</v>
      </c>
      <c r="BJ506" s="153" t="e">
        <f aca="false">_xlfn.xlookup(BG506,A:A,N:N)+_xlfn.xlookup(BG506,A:A,O:O)</f>
        <v>#NAME?</v>
      </c>
      <c r="BK506" s="153" t="e">
        <f aca="false">_xlfn.xlookup(BG506,A455:A1449,AB455:AB1449)</f>
        <v>#NAME?</v>
      </c>
      <c r="BN506" s="146"/>
      <c r="BO506" s="150"/>
      <c r="BQ506" s="153" t="str">
        <f aca="false">IF(VALUE(MONTH(C506))&lt;10,YEAR(C506)&amp;"-0"&amp;MONTH(C506),YEAR(C506)&amp;"-"&amp;MONTH(C506))</f>
        <v>1900-01</v>
      </c>
      <c r="BR506" s="153" t="n">
        <f aca="false">J506</f>
        <v>0</v>
      </c>
      <c r="BS506" s="153" t="n">
        <f aca="false">IF(ISNUMBER(FIND("-", BR506)), LEFT(BR506, FIND("-", BR506) - 1), BR506)</f>
        <v>0</v>
      </c>
      <c r="BT506" s="189" t="n">
        <f aca="false">L506-M506+O506</f>
        <v>0</v>
      </c>
    </row>
    <row r="507" s="153" customFormat="true" ht="15" hidden="false" customHeight="false" outlineLevel="0" collapsed="false">
      <c r="AN507" s="153" t="e">
        <v>#NAME?</v>
      </c>
      <c r="AO507" s="153" t="e">
        <f aca="false">_xlfn.xlookup(AN507,A:A,F:F)</f>
        <v>#NAME?</v>
      </c>
      <c r="AP507" s="153" t="e">
        <f aca="false">_xlfn.xlookup(AN507,A:A,J:J)</f>
        <v>#NAME?</v>
      </c>
      <c r="AQ507" s="153" t="e">
        <f aca="false">_xlfn.xlookup(AN507,A:A,N:N)+_xlfn.xlookup(AN507,A:A,O:O)</f>
        <v>#NAME?</v>
      </c>
      <c r="AR507" s="150" t="e">
        <f aca="false">_xlfn.xlookup(AN507,A:A,AH:AH)</f>
        <v>#NAME?</v>
      </c>
      <c r="AS507" s="150" t="e">
        <f aca="false">_xlfn.xlookup(AN507,A:A,S:S)</f>
        <v>#NAME?</v>
      </c>
      <c r="AT507" s="150" t="e">
        <f aca="false">_xlfn.xlookup(AN507,A:A,AE:AE)</f>
        <v>#NAME?</v>
      </c>
      <c r="AU507" s="150" t="e">
        <f aca="false">_xlfn.xlookup(AN507,A:A,AF:AF)</f>
        <v>#NAME?</v>
      </c>
      <c r="AX507" s="146"/>
      <c r="AY507" s="150"/>
      <c r="AZ507" s="150"/>
      <c r="BA507" s="150"/>
      <c r="BB507" s="146"/>
      <c r="BC507" s="146"/>
      <c r="BD507" s="151"/>
      <c r="BE507" s="146"/>
      <c r="BF507" s="146"/>
      <c r="BH507" s="152" t="e">
        <f aca="false">_xlfn.xlookup(BG507,A:A,F:F)</f>
        <v>#NAME?</v>
      </c>
      <c r="BI507" s="153" t="e">
        <f aca="false">_xlfn.xlookup(BG507,A:A,J:J)</f>
        <v>#NAME?</v>
      </c>
      <c r="BJ507" s="153" t="e">
        <f aca="false">_xlfn.xlookup(BG507,A:A,N:N)+_xlfn.xlookup(BG507,A:A,O:O)</f>
        <v>#NAME?</v>
      </c>
      <c r="BK507" s="153" t="e">
        <f aca="false">_xlfn.xlookup(BG507,A456:A1450,AB456:AB1450)</f>
        <v>#NAME?</v>
      </c>
      <c r="BN507" s="146"/>
      <c r="BO507" s="150"/>
      <c r="BQ507" s="153" t="str">
        <f aca="false">IF(VALUE(MONTH(C507))&lt;10,YEAR(C507)&amp;"-0"&amp;MONTH(C507),YEAR(C507)&amp;"-"&amp;MONTH(C507))</f>
        <v>1900-01</v>
      </c>
      <c r="BR507" s="153" t="n">
        <f aca="false">J507</f>
        <v>0</v>
      </c>
      <c r="BS507" s="153" t="n">
        <f aca="false">IF(ISNUMBER(FIND("-", BR507)), LEFT(BR507, FIND("-", BR507) - 1), BR507)</f>
        <v>0</v>
      </c>
      <c r="BT507" s="189" t="n">
        <f aca="false">L507-M507+O507</f>
        <v>0</v>
      </c>
    </row>
    <row r="508" s="153" customFormat="true" ht="15" hidden="false" customHeight="false" outlineLevel="0" collapsed="false">
      <c r="AN508" s="153" t="e">
        <v>#NAME?</v>
      </c>
      <c r="AO508" s="153" t="e">
        <f aca="false">_xlfn.xlookup(AN508,A:A,F:F)</f>
        <v>#NAME?</v>
      </c>
      <c r="AP508" s="153" t="e">
        <f aca="false">_xlfn.xlookup(AN508,A:A,J:J)</f>
        <v>#NAME?</v>
      </c>
      <c r="AQ508" s="153" t="e">
        <f aca="false">_xlfn.xlookup(AN508,A:A,N:N)+_xlfn.xlookup(AN508,A:A,O:O)</f>
        <v>#NAME?</v>
      </c>
      <c r="AR508" s="150" t="e">
        <f aca="false">_xlfn.xlookup(AN508,A:A,AH:AH)</f>
        <v>#NAME?</v>
      </c>
      <c r="AS508" s="150" t="e">
        <f aca="false">_xlfn.xlookup(AN508,A:A,S:S)</f>
        <v>#NAME?</v>
      </c>
      <c r="AT508" s="150" t="e">
        <f aca="false">_xlfn.xlookup(AN508,A:A,AE:AE)</f>
        <v>#NAME?</v>
      </c>
      <c r="AU508" s="150" t="e">
        <f aca="false">_xlfn.xlookup(AN508,A:A,AF:AF)</f>
        <v>#NAME?</v>
      </c>
      <c r="AX508" s="146"/>
      <c r="AY508" s="150"/>
      <c r="AZ508" s="150"/>
      <c r="BA508" s="150"/>
      <c r="BB508" s="146"/>
      <c r="BC508" s="146"/>
      <c r="BD508" s="151"/>
      <c r="BE508" s="146"/>
      <c r="BF508" s="146"/>
      <c r="BH508" s="152" t="e">
        <f aca="false">_xlfn.xlookup(BG508,A:A,F:F)</f>
        <v>#NAME?</v>
      </c>
      <c r="BI508" s="153" t="e">
        <f aca="false">_xlfn.xlookup(BG508,A:A,J:J)</f>
        <v>#NAME?</v>
      </c>
      <c r="BJ508" s="153" t="e">
        <f aca="false">_xlfn.xlookup(BG508,A:A,N:N)+_xlfn.xlookup(BG508,A:A,O:O)</f>
        <v>#NAME?</v>
      </c>
      <c r="BK508" s="153" t="e">
        <f aca="false">_xlfn.xlookup(BG508,A457:A1451,AB457:AB1451)</f>
        <v>#NAME?</v>
      </c>
      <c r="BN508" s="146"/>
      <c r="BO508" s="150"/>
      <c r="BQ508" s="153" t="str">
        <f aca="false">IF(VALUE(MONTH(C508))&lt;10,YEAR(C508)&amp;"-0"&amp;MONTH(C508),YEAR(C508)&amp;"-"&amp;MONTH(C508))</f>
        <v>1900-01</v>
      </c>
      <c r="BR508" s="153" t="n">
        <f aca="false">J508</f>
        <v>0</v>
      </c>
      <c r="BS508" s="153" t="n">
        <f aca="false">IF(ISNUMBER(FIND("-", BR508)), LEFT(BR508, FIND("-", BR508) - 1), BR508)</f>
        <v>0</v>
      </c>
      <c r="BT508" s="189" t="n">
        <f aca="false">L508-M508+O508</f>
        <v>0</v>
      </c>
    </row>
    <row r="509" s="153" customFormat="true" ht="15" hidden="false" customHeight="false" outlineLevel="0" collapsed="false">
      <c r="AN509" s="153" t="e">
        <v>#NAME?</v>
      </c>
      <c r="AO509" s="153" t="e">
        <f aca="false">_xlfn.xlookup(AN509,A:A,F:F)</f>
        <v>#NAME?</v>
      </c>
      <c r="AP509" s="153" t="e">
        <f aca="false">_xlfn.xlookup(AN509,A:A,J:J)</f>
        <v>#NAME?</v>
      </c>
      <c r="AQ509" s="153" t="e">
        <f aca="false">_xlfn.xlookup(AN509,A:A,N:N)+_xlfn.xlookup(AN509,A:A,O:O)</f>
        <v>#NAME?</v>
      </c>
      <c r="AR509" s="150" t="e">
        <f aca="false">_xlfn.xlookup(AN509,A:A,AH:AH)</f>
        <v>#NAME?</v>
      </c>
      <c r="AS509" s="150" t="e">
        <f aca="false">_xlfn.xlookup(AN509,A:A,S:S)</f>
        <v>#NAME?</v>
      </c>
      <c r="AT509" s="150" t="e">
        <f aca="false">_xlfn.xlookup(AN509,A:A,AE:AE)</f>
        <v>#NAME?</v>
      </c>
      <c r="AU509" s="150" t="e">
        <f aca="false">_xlfn.xlookup(AN509,A:A,AF:AF)</f>
        <v>#NAME?</v>
      </c>
      <c r="AX509" s="146"/>
      <c r="AY509" s="150"/>
      <c r="AZ509" s="150"/>
      <c r="BA509" s="150"/>
      <c r="BB509" s="146"/>
      <c r="BC509" s="146"/>
      <c r="BD509" s="151"/>
      <c r="BE509" s="146"/>
      <c r="BF509" s="146"/>
      <c r="BH509" s="152" t="e">
        <f aca="false">_xlfn.xlookup(BG509,A:A,F:F)</f>
        <v>#NAME?</v>
      </c>
      <c r="BI509" s="153" t="e">
        <f aca="false">_xlfn.xlookup(BG509,A:A,J:J)</f>
        <v>#NAME?</v>
      </c>
      <c r="BJ509" s="153" t="e">
        <f aca="false">_xlfn.xlookup(BG509,A:A,N:N)+_xlfn.xlookup(BG509,A:A,O:O)</f>
        <v>#NAME?</v>
      </c>
      <c r="BK509" s="153" t="e">
        <f aca="false">_xlfn.xlookup(BG509,A458:A1452,AB458:AB1452)</f>
        <v>#NAME?</v>
      </c>
      <c r="BN509" s="146"/>
      <c r="BO509" s="150"/>
      <c r="BQ509" s="153" t="str">
        <f aca="false">IF(VALUE(MONTH(C509))&lt;10,YEAR(C509)&amp;"-0"&amp;MONTH(C509),YEAR(C509)&amp;"-"&amp;MONTH(C509))</f>
        <v>1900-01</v>
      </c>
      <c r="BR509" s="153" t="n">
        <f aca="false">J509</f>
        <v>0</v>
      </c>
      <c r="BS509" s="153" t="n">
        <f aca="false">IF(ISNUMBER(FIND("-", BR509)), LEFT(BR509, FIND("-", BR509) - 1), BR509)</f>
        <v>0</v>
      </c>
      <c r="BT509" s="189" t="n">
        <f aca="false">L509-M509+O509</f>
        <v>0</v>
      </c>
    </row>
    <row r="510" s="153" customFormat="true" ht="15" hidden="false" customHeight="false" outlineLevel="0" collapsed="false">
      <c r="AN510" s="153" t="e">
        <v>#NAME?</v>
      </c>
      <c r="AO510" s="153" t="e">
        <f aca="false">_xlfn.xlookup(AN510,A:A,F:F)</f>
        <v>#NAME?</v>
      </c>
      <c r="AP510" s="153" t="e">
        <f aca="false">_xlfn.xlookup(AN510,A:A,J:J)</f>
        <v>#NAME?</v>
      </c>
      <c r="AQ510" s="153" t="e">
        <f aca="false">_xlfn.xlookup(AN510,A:A,N:N)+_xlfn.xlookup(AN510,A:A,O:O)</f>
        <v>#NAME?</v>
      </c>
      <c r="AR510" s="150" t="e">
        <f aca="false">_xlfn.xlookup(AN510,A:A,AH:AH)</f>
        <v>#NAME?</v>
      </c>
      <c r="AS510" s="150" t="e">
        <f aca="false">_xlfn.xlookup(AN510,A:A,S:S)</f>
        <v>#NAME?</v>
      </c>
      <c r="AT510" s="150" t="e">
        <f aca="false">_xlfn.xlookup(AN510,A:A,AE:AE)</f>
        <v>#NAME?</v>
      </c>
      <c r="AU510" s="150" t="e">
        <f aca="false">_xlfn.xlookup(AN510,A:A,AF:AF)</f>
        <v>#NAME?</v>
      </c>
      <c r="AX510" s="146"/>
      <c r="AY510" s="150"/>
      <c r="AZ510" s="150"/>
      <c r="BA510" s="150"/>
      <c r="BB510" s="146"/>
      <c r="BC510" s="146"/>
      <c r="BD510" s="151"/>
      <c r="BE510" s="146"/>
      <c r="BF510" s="146"/>
      <c r="BH510" s="152" t="e">
        <f aca="false">_xlfn.xlookup(BG510,A:A,F:F)</f>
        <v>#NAME?</v>
      </c>
      <c r="BI510" s="153" t="e">
        <f aca="false">_xlfn.xlookup(BG510,A:A,J:J)</f>
        <v>#NAME?</v>
      </c>
      <c r="BJ510" s="153" t="e">
        <f aca="false">_xlfn.xlookup(BG510,A:A,N:N)+_xlfn.xlookup(BG510,A:A,O:O)</f>
        <v>#NAME?</v>
      </c>
      <c r="BK510" s="153" t="e">
        <f aca="false">_xlfn.xlookup(BG510,A459:A1453,AB459:AB1453)</f>
        <v>#NAME?</v>
      </c>
      <c r="BN510" s="146"/>
      <c r="BO510" s="150"/>
      <c r="BQ510" s="153" t="str">
        <f aca="false">IF(VALUE(MONTH(C510))&lt;10,YEAR(C510)&amp;"-0"&amp;MONTH(C510),YEAR(C510)&amp;"-"&amp;MONTH(C510))</f>
        <v>1900-01</v>
      </c>
      <c r="BR510" s="153" t="n">
        <f aca="false">J510</f>
        <v>0</v>
      </c>
      <c r="BS510" s="153" t="n">
        <f aca="false">IF(ISNUMBER(FIND("-", BR510)), LEFT(BR510, FIND("-", BR510) - 1), BR510)</f>
        <v>0</v>
      </c>
      <c r="BT510" s="189" t="n">
        <f aca="false">L510-M510+O510</f>
        <v>0</v>
      </c>
    </row>
    <row r="511" s="153" customFormat="true" ht="15" hidden="false" customHeight="false" outlineLevel="0" collapsed="false">
      <c r="AN511" s="153" t="e">
        <v>#NAME?</v>
      </c>
      <c r="AO511" s="153" t="e">
        <f aca="false">_xlfn.xlookup(AN511,A:A,F:F)</f>
        <v>#NAME?</v>
      </c>
      <c r="AP511" s="153" t="e">
        <f aca="false">_xlfn.xlookup(AN511,A:A,J:J)</f>
        <v>#NAME?</v>
      </c>
      <c r="AQ511" s="153" t="e">
        <f aca="false">_xlfn.xlookup(AN511,A:A,N:N)+_xlfn.xlookup(AN511,A:A,O:O)</f>
        <v>#NAME?</v>
      </c>
      <c r="AR511" s="150" t="e">
        <f aca="false">_xlfn.xlookup(AN511,A:A,AH:AH)</f>
        <v>#NAME?</v>
      </c>
      <c r="AS511" s="150" t="e">
        <f aca="false">_xlfn.xlookup(AN511,A:A,S:S)</f>
        <v>#NAME?</v>
      </c>
      <c r="AT511" s="150" t="e">
        <f aca="false">_xlfn.xlookup(AN511,A:A,AE:AE)</f>
        <v>#NAME?</v>
      </c>
      <c r="AU511" s="150" t="e">
        <f aca="false">_xlfn.xlookup(AN511,A:A,AF:AF)</f>
        <v>#NAME?</v>
      </c>
      <c r="AX511" s="146"/>
      <c r="AY511" s="150"/>
      <c r="AZ511" s="150"/>
      <c r="BA511" s="150"/>
      <c r="BB511" s="146"/>
      <c r="BC511" s="146"/>
      <c r="BD511" s="151"/>
      <c r="BE511" s="146"/>
      <c r="BF511" s="146"/>
      <c r="BH511" s="152" t="e">
        <f aca="false">_xlfn.xlookup(BG511,A:A,F:F)</f>
        <v>#NAME?</v>
      </c>
      <c r="BI511" s="153" t="e">
        <f aca="false">_xlfn.xlookup(BG511,A:A,J:J)</f>
        <v>#NAME?</v>
      </c>
      <c r="BJ511" s="153" t="e">
        <f aca="false">_xlfn.xlookup(BG511,A:A,N:N)+_xlfn.xlookup(BG511,A:A,O:O)</f>
        <v>#NAME?</v>
      </c>
      <c r="BK511" s="153" t="e">
        <f aca="false">_xlfn.xlookup(BG511,A460:A1454,AB460:AB1454)</f>
        <v>#NAME?</v>
      </c>
      <c r="BN511" s="146"/>
      <c r="BO511" s="150"/>
      <c r="BQ511" s="153" t="str">
        <f aca="false">IF(VALUE(MONTH(C511))&lt;10,YEAR(C511)&amp;"-0"&amp;MONTH(C511),YEAR(C511)&amp;"-"&amp;MONTH(C511))</f>
        <v>1900-01</v>
      </c>
      <c r="BR511" s="153" t="n">
        <f aca="false">J511</f>
        <v>0</v>
      </c>
      <c r="BS511" s="153" t="n">
        <f aca="false">IF(ISNUMBER(FIND("-", BR511)), LEFT(BR511, FIND("-", BR511) - 1), BR511)</f>
        <v>0</v>
      </c>
      <c r="BT511" s="189" t="n">
        <f aca="false">L511-M511+O511</f>
        <v>0</v>
      </c>
    </row>
    <row r="512" s="153" customFormat="true" ht="15" hidden="false" customHeight="false" outlineLevel="0" collapsed="false">
      <c r="AN512" s="153" t="e">
        <v>#NAME?</v>
      </c>
      <c r="AO512" s="153" t="e">
        <f aca="false">_xlfn.xlookup(AN512,A:A,F:F)</f>
        <v>#NAME?</v>
      </c>
      <c r="AP512" s="153" t="e">
        <f aca="false">_xlfn.xlookup(AN512,A:A,J:J)</f>
        <v>#NAME?</v>
      </c>
      <c r="AQ512" s="153" t="e">
        <f aca="false">_xlfn.xlookup(AN512,A:A,N:N)+_xlfn.xlookup(AN512,A:A,O:O)</f>
        <v>#NAME?</v>
      </c>
      <c r="AR512" s="150" t="e">
        <f aca="false">_xlfn.xlookup(AN512,A:A,AH:AH)</f>
        <v>#NAME?</v>
      </c>
      <c r="AS512" s="150" t="e">
        <f aca="false">_xlfn.xlookup(AN512,A:A,S:S)</f>
        <v>#NAME?</v>
      </c>
      <c r="AT512" s="150" t="e">
        <f aca="false">_xlfn.xlookup(AN512,A:A,AE:AE)</f>
        <v>#NAME?</v>
      </c>
      <c r="AU512" s="150" t="e">
        <f aca="false">_xlfn.xlookup(AN512,A:A,AF:AF)</f>
        <v>#NAME?</v>
      </c>
      <c r="AX512" s="146"/>
      <c r="AY512" s="150"/>
      <c r="AZ512" s="150"/>
      <c r="BA512" s="150"/>
      <c r="BB512" s="146"/>
      <c r="BC512" s="146"/>
      <c r="BD512" s="151"/>
      <c r="BE512" s="146"/>
      <c r="BF512" s="146"/>
      <c r="BH512" s="152" t="e">
        <f aca="false">_xlfn.xlookup(BG512,A:A,F:F)</f>
        <v>#NAME?</v>
      </c>
      <c r="BI512" s="153" t="e">
        <f aca="false">_xlfn.xlookup(BG512,A:A,J:J)</f>
        <v>#NAME?</v>
      </c>
      <c r="BJ512" s="153" t="e">
        <f aca="false">_xlfn.xlookup(BG512,A:A,N:N)+_xlfn.xlookup(BG512,A:A,O:O)</f>
        <v>#NAME?</v>
      </c>
      <c r="BK512" s="153" t="e">
        <f aca="false">_xlfn.xlookup(BG512,A461:A1455,AB461:AB1455)</f>
        <v>#NAME?</v>
      </c>
      <c r="BN512" s="146"/>
      <c r="BO512" s="150"/>
      <c r="BQ512" s="153" t="str">
        <f aca="false">IF(VALUE(MONTH(C512))&lt;10,YEAR(C512)&amp;"-0"&amp;MONTH(C512),YEAR(C512)&amp;"-"&amp;MONTH(C512))</f>
        <v>1900-01</v>
      </c>
      <c r="BR512" s="153" t="n">
        <f aca="false">J512</f>
        <v>0</v>
      </c>
      <c r="BS512" s="153" t="n">
        <f aca="false">IF(ISNUMBER(FIND("-", BR512)), LEFT(BR512, FIND("-", BR512) - 1), BR512)</f>
        <v>0</v>
      </c>
      <c r="BT512" s="189" t="n">
        <f aca="false">L512-M512+O512</f>
        <v>0</v>
      </c>
    </row>
    <row r="513" s="153" customFormat="true" ht="15" hidden="false" customHeight="false" outlineLevel="0" collapsed="false">
      <c r="AN513" s="153" t="e">
        <v>#NAME?</v>
      </c>
      <c r="AO513" s="153" t="e">
        <f aca="false">_xlfn.xlookup(AN513,A:A,F:F)</f>
        <v>#NAME?</v>
      </c>
      <c r="AP513" s="153" t="e">
        <f aca="false">_xlfn.xlookup(AN513,A:A,J:J)</f>
        <v>#NAME?</v>
      </c>
      <c r="AQ513" s="153" t="e">
        <f aca="false">_xlfn.xlookup(AN513,A:A,N:N)+_xlfn.xlookup(AN513,A:A,O:O)</f>
        <v>#NAME?</v>
      </c>
      <c r="AR513" s="150" t="e">
        <f aca="false">_xlfn.xlookup(AN513,A:A,AH:AH)</f>
        <v>#NAME?</v>
      </c>
      <c r="AS513" s="150" t="e">
        <f aca="false">_xlfn.xlookup(AN513,A:A,S:S)</f>
        <v>#NAME?</v>
      </c>
      <c r="AT513" s="150" t="e">
        <f aca="false">_xlfn.xlookup(AN513,A:A,AE:AE)</f>
        <v>#NAME?</v>
      </c>
      <c r="AU513" s="150" t="e">
        <f aca="false">_xlfn.xlookup(AN513,A:A,AF:AF)</f>
        <v>#NAME?</v>
      </c>
      <c r="AX513" s="146"/>
      <c r="AY513" s="150"/>
      <c r="AZ513" s="150"/>
      <c r="BA513" s="150"/>
      <c r="BB513" s="146"/>
      <c r="BC513" s="146"/>
      <c r="BD513" s="151"/>
      <c r="BE513" s="146"/>
      <c r="BF513" s="146"/>
      <c r="BH513" s="152" t="e">
        <f aca="false">_xlfn.xlookup(BG513,A:A,F:F)</f>
        <v>#NAME?</v>
      </c>
      <c r="BI513" s="153" t="e">
        <f aca="false">_xlfn.xlookup(BG513,A:A,J:J)</f>
        <v>#NAME?</v>
      </c>
      <c r="BJ513" s="153" t="e">
        <f aca="false">_xlfn.xlookup(BG513,A:A,N:N)+_xlfn.xlookup(BG513,A:A,O:O)</f>
        <v>#NAME?</v>
      </c>
      <c r="BK513" s="153" t="e">
        <f aca="false">_xlfn.xlookup(BG513,A462:A1456,AB462:AB1456)</f>
        <v>#NAME?</v>
      </c>
      <c r="BN513" s="146"/>
      <c r="BO513" s="150"/>
      <c r="BQ513" s="153" t="str">
        <f aca="false">IF(VALUE(MONTH(C513))&lt;10,YEAR(C513)&amp;"-0"&amp;MONTH(C513),YEAR(C513)&amp;"-"&amp;MONTH(C513))</f>
        <v>1900-01</v>
      </c>
      <c r="BR513" s="153" t="n">
        <f aca="false">J513</f>
        <v>0</v>
      </c>
      <c r="BS513" s="153" t="n">
        <f aca="false">IF(ISNUMBER(FIND("-", BR513)), LEFT(BR513, FIND("-", BR513) - 1), BR513)</f>
        <v>0</v>
      </c>
      <c r="BT513" s="189" t="n">
        <f aca="false">L513-M513+O513</f>
        <v>0</v>
      </c>
    </row>
    <row r="514" s="153" customFormat="true" ht="15" hidden="false" customHeight="false" outlineLevel="0" collapsed="false">
      <c r="AN514" s="153" t="e">
        <v>#NAME?</v>
      </c>
      <c r="AO514" s="153" t="e">
        <f aca="false">_xlfn.xlookup(AN514,A:A,F:F)</f>
        <v>#NAME?</v>
      </c>
      <c r="AP514" s="153" t="e">
        <f aca="false">_xlfn.xlookup(AN514,A:A,J:J)</f>
        <v>#NAME?</v>
      </c>
      <c r="AQ514" s="153" t="e">
        <f aca="false">_xlfn.xlookup(AN514,A:A,N:N)+_xlfn.xlookup(AN514,A:A,O:O)</f>
        <v>#NAME?</v>
      </c>
      <c r="AR514" s="150" t="e">
        <f aca="false">_xlfn.xlookup(AN514,A:A,AH:AH)</f>
        <v>#NAME?</v>
      </c>
      <c r="AS514" s="150" t="e">
        <f aca="false">_xlfn.xlookup(AN514,A:A,S:S)</f>
        <v>#NAME?</v>
      </c>
      <c r="AT514" s="150" t="e">
        <f aca="false">_xlfn.xlookup(AN514,A:A,AE:AE)</f>
        <v>#NAME?</v>
      </c>
      <c r="AU514" s="150" t="e">
        <f aca="false">_xlfn.xlookup(AN514,A:A,AF:AF)</f>
        <v>#NAME?</v>
      </c>
      <c r="AX514" s="146"/>
      <c r="AY514" s="150"/>
      <c r="AZ514" s="150"/>
      <c r="BA514" s="150"/>
      <c r="BB514" s="146"/>
      <c r="BC514" s="146"/>
      <c r="BD514" s="151"/>
      <c r="BE514" s="146"/>
      <c r="BF514" s="146"/>
      <c r="BH514" s="152" t="e">
        <f aca="false">_xlfn.xlookup(BG514,A:A,F:F)</f>
        <v>#NAME?</v>
      </c>
      <c r="BI514" s="153" t="e">
        <f aca="false">_xlfn.xlookup(BG514,A:A,J:J)</f>
        <v>#NAME?</v>
      </c>
      <c r="BJ514" s="153" t="e">
        <f aca="false">_xlfn.xlookup(BG514,A:A,N:N)+_xlfn.xlookup(BG514,A:A,O:O)</f>
        <v>#NAME?</v>
      </c>
      <c r="BK514" s="153" t="e">
        <f aca="false">_xlfn.xlookup(BG514,A463:A1457,AB463:AB1457)</f>
        <v>#NAME?</v>
      </c>
      <c r="BN514" s="146"/>
      <c r="BO514" s="150"/>
      <c r="BQ514" s="153" t="str">
        <f aca="false">IF(VALUE(MONTH(C514))&lt;10,YEAR(C514)&amp;"-0"&amp;MONTH(C514),YEAR(C514)&amp;"-"&amp;MONTH(C514))</f>
        <v>1900-01</v>
      </c>
      <c r="BR514" s="153" t="n">
        <f aca="false">J514</f>
        <v>0</v>
      </c>
      <c r="BS514" s="153" t="n">
        <f aca="false">IF(ISNUMBER(FIND("-", BR514)), LEFT(BR514, FIND("-", BR514) - 1), BR514)</f>
        <v>0</v>
      </c>
      <c r="BT514" s="189" t="n">
        <f aca="false">L514-M514+O514</f>
        <v>0</v>
      </c>
    </row>
    <row r="515" s="153" customFormat="true" ht="15" hidden="false" customHeight="false" outlineLevel="0" collapsed="false">
      <c r="AN515" s="153" t="e">
        <v>#NAME?</v>
      </c>
      <c r="AO515" s="153" t="e">
        <f aca="false">_xlfn.xlookup(AN515,A:A,F:F)</f>
        <v>#NAME?</v>
      </c>
      <c r="AP515" s="153" t="e">
        <f aca="false">_xlfn.xlookup(AN515,A:A,J:J)</f>
        <v>#NAME?</v>
      </c>
      <c r="AQ515" s="153" t="e">
        <f aca="false">_xlfn.xlookup(AN515,A:A,N:N)+_xlfn.xlookup(AN515,A:A,O:O)</f>
        <v>#NAME?</v>
      </c>
      <c r="AR515" s="150" t="e">
        <f aca="false">_xlfn.xlookup(AN515,A:A,AH:AH)</f>
        <v>#NAME?</v>
      </c>
      <c r="AS515" s="150" t="e">
        <f aca="false">_xlfn.xlookup(AN515,A:A,S:S)</f>
        <v>#NAME?</v>
      </c>
      <c r="AT515" s="150" t="e">
        <f aca="false">_xlfn.xlookup(AN515,A:A,AE:AE)</f>
        <v>#NAME?</v>
      </c>
      <c r="AU515" s="150" t="e">
        <f aca="false">_xlfn.xlookup(AN515,A:A,AF:AF)</f>
        <v>#NAME?</v>
      </c>
      <c r="AX515" s="146"/>
      <c r="AY515" s="150"/>
      <c r="AZ515" s="150"/>
      <c r="BA515" s="150"/>
      <c r="BB515" s="146"/>
      <c r="BC515" s="146"/>
      <c r="BD515" s="151"/>
      <c r="BE515" s="146"/>
      <c r="BF515" s="146"/>
      <c r="BH515" s="152" t="e">
        <f aca="false">_xlfn.xlookup(BG515,A:A,F:F)</f>
        <v>#NAME?</v>
      </c>
      <c r="BI515" s="153" t="e">
        <f aca="false">_xlfn.xlookup(BG515,A:A,J:J)</f>
        <v>#NAME?</v>
      </c>
      <c r="BJ515" s="153" t="e">
        <f aca="false">_xlfn.xlookup(BG515,A:A,N:N)+_xlfn.xlookup(BG515,A:A,O:O)</f>
        <v>#NAME?</v>
      </c>
      <c r="BK515" s="153" t="e">
        <f aca="false">_xlfn.xlookup(BG515,A464:A1458,AB464:AB1458)</f>
        <v>#NAME?</v>
      </c>
      <c r="BN515" s="146"/>
      <c r="BO515" s="150"/>
      <c r="BQ515" s="153" t="str">
        <f aca="false">IF(VALUE(MONTH(C515))&lt;10,YEAR(C515)&amp;"-0"&amp;MONTH(C515),YEAR(C515)&amp;"-"&amp;MONTH(C515))</f>
        <v>1900-01</v>
      </c>
      <c r="BR515" s="153" t="n">
        <f aca="false">J515</f>
        <v>0</v>
      </c>
      <c r="BS515" s="153" t="n">
        <f aca="false">IF(ISNUMBER(FIND("-", BR515)), LEFT(BR515, FIND("-", BR515) - 1), BR515)</f>
        <v>0</v>
      </c>
      <c r="BT515" s="189" t="n">
        <f aca="false">L515-M515+O515</f>
        <v>0</v>
      </c>
    </row>
    <row r="516" s="153" customFormat="true" ht="15" hidden="false" customHeight="false" outlineLevel="0" collapsed="false">
      <c r="AN516" s="153" t="e">
        <v>#NAME?</v>
      </c>
      <c r="AO516" s="153" t="e">
        <f aca="false">_xlfn.xlookup(AN516,A:A,F:F)</f>
        <v>#NAME?</v>
      </c>
      <c r="AP516" s="153" t="e">
        <f aca="false">_xlfn.xlookup(AN516,A:A,J:J)</f>
        <v>#NAME?</v>
      </c>
      <c r="AQ516" s="153" t="e">
        <f aca="false">_xlfn.xlookup(AN516,A:A,N:N)+_xlfn.xlookup(AN516,A:A,O:O)</f>
        <v>#NAME?</v>
      </c>
      <c r="AR516" s="150" t="e">
        <f aca="false">_xlfn.xlookup(AN516,A:A,AH:AH)</f>
        <v>#NAME?</v>
      </c>
      <c r="AS516" s="150" t="e">
        <f aca="false">_xlfn.xlookup(AN516,A:A,S:S)</f>
        <v>#NAME?</v>
      </c>
      <c r="AT516" s="150" t="e">
        <f aca="false">_xlfn.xlookup(AN516,A:A,AE:AE)</f>
        <v>#NAME?</v>
      </c>
      <c r="AU516" s="150" t="e">
        <f aca="false">_xlfn.xlookup(AN516,A:A,AF:AF)</f>
        <v>#NAME?</v>
      </c>
      <c r="AX516" s="146"/>
      <c r="AY516" s="150"/>
      <c r="AZ516" s="150"/>
      <c r="BA516" s="150"/>
      <c r="BB516" s="146"/>
      <c r="BC516" s="146"/>
      <c r="BD516" s="151"/>
      <c r="BE516" s="146"/>
      <c r="BF516" s="146"/>
      <c r="BH516" s="152" t="e">
        <f aca="false">_xlfn.xlookup(BG516,A:A,F:F)</f>
        <v>#NAME?</v>
      </c>
      <c r="BI516" s="153" t="e">
        <f aca="false">_xlfn.xlookup(BG516,A:A,J:J)</f>
        <v>#NAME?</v>
      </c>
      <c r="BJ516" s="153" t="e">
        <f aca="false">_xlfn.xlookup(BG516,A:A,N:N)+_xlfn.xlookup(BG516,A:A,O:O)</f>
        <v>#NAME?</v>
      </c>
      <c r="BK516" s="153" t="e">
        <f aca="false">_xlfn.xlookup(BG516,A465:A1459,AB465:AB1459)</f>
        <v>#NAME?</v>
      </c>
      <c r="BN516" s="146"/>
      <c r="BO516" s="150"/>
      <c r="BQ516" s="153" t="str">
        <f aca="false">IF(VALUE(MONTH(C516))&lt;10,YEAR(C516)&amp;"-0"&amp;MONTH(C516),YEAR(C516)&amp;"-"&amp;MONTH(C516))</f>
        <v>1900-01</v>
      </c>
      <c r="BR516" s="153" t="n">
        <f aca="false">J516</f>
        <v>0</v>
      </c>
      <c r="BS516" s="153" t="n">
        <f aca="false">IF(ISNUMBER(FIND("-", BR516)), LEFT(BR516, FIND("-", BR516) - 1), BR516)</f>
        <v>0</v>
      </c>
      <c r="BT516" s="189" t="n">
        <f aca="false">L516-M516+O516</f>
        <v>0</v>
      </c>
    </row>
    <row r="517" s="153" customFormat="true" ht="15" hidden="false" customHeight="false" outlineLevel="0" collapsed="false">
      <c r="AN517" s="153" t="e">
        <v>#NAME?</v>
      </c>
      <c r="AO517" s="153" t="e">
        <f aca="false">_xlfn.xlookup(AN517,A:A,F:F)</f>
        <v>#NAME?</v>
      </c>
      <c r="AP517" s="153" t="e">
        <f aca="false">_xlfn.xlookup(AN517,A:A,J:J)</f>
        <v>#NAME?</v>
      </c>
      <c r="AQ517" s="153" t="e">
        <f aca="false">_xlfn.xlookup(AN517,A:A,N:N)+_xlfn.xlookup(AN517,A:A,O:O)</f>
        <v>#NAME?</v>
      </c>
      <c r="AR517" s="150" t="e">
        <f aca="false">_xlfn.xlookup(AN517,A:A,AH:AH)</f>
        <v>#NAME?</v>
      </c>
      <c r="AS517" s="150" t="e">
        <f aca="false">_xlfn.xlookup(AN517,A:A,S:S)</f>
        <v>#NAME?</v>
      </c>
      <c r="AT517" s="150" t="e">
        <f aca="false">_xlfn.xlookup(AN517,A:A,AE:AE)</f>
        <v>#NAME?</v>
      </c>
      <c r="AU517" s="150" t="e">
        <f aca="false">_xlfn.xlookup(AN517,A:A,AF:AF)</f>
        <v>#NAME?</v>
      </c>
      <c r="AX517" s="146"/>
      <c r="AY517" s="150"/>
      <c r="AZ517" s="150"/>
      <c r="BA517" s="150"/>
      <c r="BB517" s="146"/>
      <c r="BC517" s="146"/>
      <c r="BD517" s="151"/>
      <c r="BE517" s="146"/>
      <c r="BF517" s="146"/>
      <c r="BH517" s="152" t="e">
        <f aca="false">_xlfn.xlookup(BG517,A:A,F:F)</f>
        <v>#NAME?</v>
      </c>
      <c r="BI517" s="153" t="e">
        <f aca="false">_xlfn.xlookup(BG517,A:A,J:J)</f>
        <v>#NAME?</v>
      </c>
      <c r="BJ517" s="153" t="e">
        <f aca="false">_xlfn.xlookup(BG517,A:A,N:N)+_xlfn.xlookup(BG517,A:A,O:O)</f>
        <v>#NAME?</v>
      </c>
      <c r="BK517" s="153" t="e">
        <f aca="false">_xlfn.xlookup(BG517,A466:A1460,AB466:AB1460)</f>
        <v>#NAME?</v>
      </c>
      <c r="BN517" s="146"/>
      <c r="BO517" s="150"/>
      <c r="BQ517" s="153" t="str">
        <f aca="false">IF(VALUE(MONTH(C517))&lt;10,YEAR(C517)&amp;"-0"&amp;MONTH(C517),YEAR(C517)&amp;"-"&amp;MONTH(C517))</f>
        <v>1900-01</v>
      </c>
      <c r="BR517" s="153" t="n">
        <f aca="false">J517</f>
        <v>0</v>
      </c>
      <c r="BS517" s="153" t="n">
        <f aca="false">IF(ISNUMBER(FIND("-", BR517)), LEFT(BR517, FIND("-", BR517) - 1), BR517)</f>
        <v>0</v>
      </c>
      <c r="BT517" s="189" t="n">
        <f aca="false">L517-M517+O517</f>
        <v>0</v>
      </c>
    </row>
    <row r="518" s="153" customFormat="true" ht="15" hidden="false" customHeight="false" outlineLevel="0" collapsed="false">
      <c r="AN518" s="153" t="e">
        <v>#NAME?</v>
      </c>
      <c r="AO518" s="153" t="e">
        <f aca="false">_xlfn.xlookup(AN518,A:A,F:F)</f>
        <v>#NAME?</v>
      </c>
      <c r="AP518" s="153" t="e">
        <f aca="false">_xlfn.xlookup(AN518,A:A,J:J)</f>
        <v>#NAME?</v>
      </c>
      <c r="AQ518" s="153" t="e">
        <f aca="false">_xlfn.xlookup(AN518,A:A,N:N)+_xlfn.xlookup(AN518,A:A,O:O)</f>
        <v>#NAME?</v>
      </c>
      <c r="AR518" s="150" t="e">
        <f aca="false">_xlfn.xlookup(AN518,A:A,AH:AH)</f>
        <v>#NAME?</v>
      </c>
      <c r="AS518" s="150" t="e">
        <f aca="false">_xlfn.xlookup(AN518,A:A,S:S)</f>
        <v>#NAME?</v>
      </c>
      <c r="AT518" s="150" t="e">
        <f aca="false">_xlfn.xlookup(AN518,A:A,AE:AE)</f>
        <v>#NAME?</v>
      </c>
      <c r="AU518" s="150" t="e">
        <f aca="false">_xlfn.xlookup(AN518,A:A,AF:AF)</f>
        <v>#NAME?</v>
      </c>
      <c r="AX518" s="146"/>
      <c r="AY518" s="150"/>
      <c r="AZ518" s="150"/>
      <c r="BA518" s="150"/>
      <c r="BB518" s="146"/>
      <c r="BC518" s="146"/>
      <c r="BD518" s="151"/>
      <c r="BE518" s="146"/>
      <c r="BF518" s="146"/>
      <c r="BH518" s="152" t="e">
        <f aca="false">_xlfn.xlookup(BG518,A:A,F:F)</f>
        <v>#NAME?</v>
      </c>
      <c r="BI518" s="153" t="e">
        <f aca="false">_xlfn.xlookup(BG518,A:A,J:J)</f>
        <v>#NAME?</v>
      </c>
      <c r="BJ518" s="153" t="e">
        <f aca="false">_xlfn.xlookup(BG518,A:A,N:N)+_xlfn.xlookup(BG518,A:A,O:O)</f>
        <v>#NAME?</v>
      </c>
      <c r="BK518" s="153" t="e">
        <f aca="false">_xlfn.xlookup(BG518,A467:A1461,AB467:AB1461)</f>
        <v>#NAME?</v>
      </c>
      <c r="BN518" s="146"/>
      <c r="BO518" s="150"/>
      <c r="BQ518" s="153" t="str">
        <f aca="false">IF(VALUE(MONTH(C518))&lt;10,YEAR(C518)&amp;"-0"&amp;MONTH(C518),YEAR(C518)&amp;"-"&amp;MONTH(C518))</f>
        <v>1900-01</v>
      </c>
      <c r="BR518" s="153" t="n">
        <f aca="false">J518</f>
        <v>0</v>
      </c>
      <c r="BS518" s="153" t="n">
        <f aca="false">IF(ISNUMBER(FIND("-", BR518)), LEFT(BR518, FIND("-", BR518) - 1), BR518)</f>
        <v>0</v>
      </c>
      <c r="BT518" s="189" t="n">
        <f aca="false">L518-M518+O518</f>
        <v>0</v>
      </c>
    </row>
    <row r="519" s="153" customFormat="true" ht="15" hidden="false" customHeight="false" outlineLevel="0" collapsed="false">
      <c r="AN519" s="153" t="e">
        <v>#NAME?</v>
      </c>
      <c r="AO519" s="153" t="e">
        <f aca="false">_xlfn.xlookup(AN519,A:A,F:F)</f>
        <v>#NAME?</v>
      </c>
      <c r="AP519" s="153" t="e">
        <f aca="false">_xlfn.xlookup(AN519,A:A,J:J)</f>
        <v>#NAME?</v>
      </c>
      <c r="AQ519" s="153" t="e">
        <f aca="false">_xlfn.xlookup(AN519,A:A,N:N)+_xlfn.xlookup(AN519,A:A,O:O)</f>
        <v>#NAME?</v>
      </c>
      <c r="AR519" s="150" t="e">
        <f aca="false">_xlfn.xlookup(AN519,A:A,AH:AH)</f>
        <v>#NAME?</v>
      </c>
      <c r="AS519" s="150" t="e">
        <f aca="false">_xlfn.xlookup(AN519,A:A,S:S)</f>
        <v>#NAME?</v>
      </c>
      <c r="AT519" s="150" t="e">
        <f aca="false">_xlfn.xlookup(AN519,A:A,AE:AE)</f>
        <v>#NAME?</v>
      </c>
      <c r="AU519" s="150" t="e">
        <f aca="false">_xlfn.xlookup(AN519,A:A,AF:AF)</f>
        <v>#NAME?</v>
      </c>
      <c r="AX519" s="146"/>
      <c r="AY519" s="150"/>
      <c r="AZ519" s="150"/>
      <c r="BA519" s="150"/>
      <c r="BB519" s="146"/>
      <c r="BC519" s="146"/>
      <c r="BD519" s="151"/>
      <c r="BE519" s="146"/>
      <c r="BF519" s="146"/>
      <c r="BH519" s="152" t="e">
        <f aca="false">_xlfn.xlookup(BG519,A:A,F:F)</f>
        <v>#NAME?</v>
      </c>
      <c r="BI519" s="153" t="e">
        <f aca="false">_xlfn.xlookup(BG519,A:A,J:J)</f>
        <v>#NAME?</v>
      </c>
      <c r="BJ519" s="153" t="e">
        <f aca="false">_xlfn.xlookup(BG519,A:A,N:N)+_xlfn.xlookup(BG519,A:A,O:O)</f>
        <v>#NAME?</v>
      </c>
      <c r="BK519" s="153" t="e">
        <f aca="false">_xlfn.xlookup(BG519,A468:A1462,AB468:AB1462)</f>
        <v>#NAME?</v>
      </c>
      <c r="BN519" s="146"/>
      <c r="BO519" s="150"/>
      <c r="BQ519" s="153" t="str">
        <f aca="false">IF(VALUE(MONTH(C519))&lt;10,YEAR(C519)&amp;"-0"&amp;MONTH(C519),YEAR(C519)&amp;"-"&amp;MONTH(C519))</f>
        <v>1900-01</v>
      </c>
      <c r="BR519" s="153" t="n">
        <f aca="false">J519</f>
        <v>0</v>
      </c>
      <c r="BS519" s="153" t="n">
        <f aca="false">IF(ISNUMBER(FIND("-", BR519)), LEFT(BR519, FIND("-", BR519) - 1), BR519)</f>
        <v>0</v>
      </c>
      <c r="BT519" s="189" t="n">
        <f aca="false">L519-M519+O519</f>
        <v>0</v>
      </c>
    </row>
    <row r="520" s="153" customFormat="true" ht="15" hidden="false" customHeight="false" outlineLevel="0" collapsed="false">
      <c r="AN520" s="153" t="e">
        <v>#NAME?</v>
      </c>
      <c r="AO520" s="153" t="e">
        <f aca="false">_xlfn.xlookup(AN520,A:A,F:F)</f>
        <v>#NAME?</v>
      </c>
      <c r="AP520" s="153" t="e">
        <f aca="false">_xlfn.xlookup(AN520,A:A,J:J)</f>
        <v>#NAME?</v>
      </c>
      <c r="AQ520" s="153" t="e">
        <f aca="false">_xlfn.xlookup(AN520,A:A,N:N)+_xlfn.xlookup(AN520,A:A,O:O)</f>
        <v>#NAME?</v>
      </c>
      <c r="AR520" s="150" t="e">
        <f aca="false">_xlfn.xlookup(AN520,A:A,AH:AH)</f>
        <v>#NAME?</v>
      </c>
      <c r="AS520" s="150" t="e">
        <f aca="false">_xlfn.xlookup(AN520,A:A,S:S)</f>
        <v>#NAME?</v>
      </c>
      <c r="AT520" s="150" t="e">
        <f aca="false">_xlfn.xlookup(AN520,A:A,AE:AE)</f>
        <v>#NAME?</v>
      </c>
      <c r="AU520" s="150" t="e">
        <f aca="false">_xlfn.xlookup(AN520,A:A,AF:AF)</f>
        <v>#NAME?</v>
      </c>
      <c r="AX520" s="146"/>
      <c r="AY520" s="150"/>
      <c r="AZ520" s="150"/>
      <c r="BA520" s="150"/>
      <c r="BB520" s="146"/>
      <c r="BC520" s="146"/>
      <c r="BD520" s="151"/>
      <c r="BE520" s="146"/>
      <c r="BF520" s="146"/>
      <c r="BH520" s="152" t="e">
        <f aca="false">_xlfn.xlookup(BG520,A:A,F:F)</f>
        <v>#NAME?</v>
      </c>
      <c r="BI520" s="153" t="e">
        <f aca="false">_xlfn.xlookup(BG520,A:A,J:J)</f>
        <v>#NAME?</v>
      </c>
      <c r="BJ520" s="153" t="e">
        <f aca="false">_xlfn.xlookup(BG520,A:A,N:N)+_xlfn.xlookup(BG520,A:A,O:O)</f>
        <v>#NAME?</v>
      </c>
      <c r="BK520" s="153" t="e">
        <f aca="false">_xlfn.xlookup(BG520,A469:A1463,AB469:AB1463)</f>
        <v>#NAME?</v>
      </c>
      <c r="BN520" s="146"/>
      <c r="BO520" s="150"/>
      <c r="BQ520" s="153" t="str">
        <f aca="false">IF(VALUE(MONTH(C520))&lt;10,YEAR(C520)&amp;"-0"&amp;MONTH(C520),YEAR(C520)&amp;"-"&amp;MONTH(C520))</f>
        <v>1900-01</v>
      </c>
      <c r="BR520" s="153" t="n">
        <f aca="false">J520</f>
        <v>0</v>
      </c>
      <c r="BS520" s="153" t="n">
        <f aca="false">IF(ISNUMBER(FIND("-", BR520)), LEFT(BR520, FIND("-", BR520) - 1), BR520)</f>
        <v>0</v>
      </c>
      <c r="BT520" s="189" t="n">
        <f aca="false">L520-M520+O520</f>
        <v>0</v>
      </c>
    </row>
    <row r="521" s="153" customFormat="true" ht="15" hidden="false" customHeight="false" outlineLevel="0" collapsed="false">
      <c r="AN521" s="153" t="e">
        <v>#NAME?</v>
      </c>
      <c r="AO521" s="153" t="e">
        <f aca="false">_xlfn.xlookup(AN521,A:A,F:F)</f>
        <v>#NAME?</v>
      </c>
      <c r="AP521" s="153" t="e">
        <f aca="false">_xlfn.xlookup(AN521,A:A,J:J)</f>
        <v>#NAME?</v>
      </c>
      <c r="AQ521" s="153" t="e">
        <f aca="false">_xlfn.xlookup(AN521,A:A,N:N)+_xlfn.xlookup(AN521,A:A,O:O)</f>
        <v>#NAME?</v>
      </c>
      <c r="AR521" s="150" t="e">
        <f aca="false">_xlfn.xlookup(AN521,A:A,AH:AH)</f>
        <v>#NAME?</v>
      </c>
      <c r="AS521" s="150" t="e">
        <f aca="false">_xlfn.xlookup(AN521,A:A,S:S)</f>
        <v>#NAME?</v>
      </c>
      <c r="AT521" s="150" t="e">
        <f aca="false">_xlfn.xlookup(AN521,A:A,AE:AE)</f>
        <v>#NAME?</v>
      </c>
      <c r="AU521" s="150" t="e">
        <f aca="false">_xlfn.xlookup(AN521,A:A,AF:AF)</f>
        <v>#NAME?</v>
      </c>
      <c r="AX521" s="146"/>
      <c r="AY521" s="150"/>
      <c r="AZ521" s="150"/>
      <c r="BA521" s="150"/>
      <c r="BB521" s="146"/>
      <c r="BC521" s="146"/>
      <c r="BD521" s="151"/>
      <c r="BE521" s="146"/>
      <c r="BF521" s="146"/>
      <c r="BH521" s="152" t="e">
        <f aca="false">_xlfn.xlookup(BG521,A:A,F:F)</f>
        <v>#NAME?</v>
      </c>
      <c r="BI521" s="153" t="e">
        <f aca="false">_xlfn.xlookup(BG521,A:A,J:J)</f>
        <v>#NAME?</v>
      </c>
      <c r="BJ521" s="153" t="e">
        <f aca="false">_xlfn.xlookup(BG521,A:A,N:N)+_xlfn.xlookup(BG521,A:A,O:O)</f>
        <v>#NAME?</v>
      </c>
      <c r="BK521" s="153" t="e">
        <f aca="false">_xlfn.xlookup(BG521,A470:A1464,AB470:AB1464)</f>
        <v>#NAME?</v>
      </c>
      <c r="BN521" s="146"/>
      <c r="BO521" s="150"/>
      <c r="BQ521" s="153" t="str">
        <f aca="false">IF(VALUE(MONTH(C521))&lt;10,YEAR(C521)&amp;"-0"&amp;MONTH(C521),YEAR(C521)&amp;"-"&amp;MONTH(C521))</f>
        <v>1900-01</v>
      </c>
      <c r="BR521" s="153" t="n">
        <f aca="false">J521</f>
        <v>0</v>
      </c>
      <c r="BS521" s="153" t="n">
        <f aca="false">IF(ISNUMBER(FIND("-", BR521)), LEFT(BR521, FIND("-", BR521) - 1), BR521)</f>
        <v>0</v>
      </c>
      <c r="BT521" s="189" t="n">
        <f aca="false">L521-M521+O521</f>
        <v>0</v>
      </c>
    </row>
    <row r="522" s="153" customFormat="true" ht="15" hidden="false" customHeight="false" outlineLevel="0" collapsed="false">
      <c r="AN522" s="153" t="e">
        <v>#NAME?</v>
      </c>
      <c r="AO522" s="153" t="e">
        <f aca="false">_xlfn.xlookup(AN522,A:A,F:F)</f>
        <v>#NAME?</v>
      </c>
      <c r="AP522" s="153" t="e">
        <f aca="false">_xlfn.xlookup(AN522,A:A,J:J)</f>
        <v>#NAME?</v>
      </c>
      <c r="AQ522" s="153" t="e">
        <f aca="false">_xlfn.xlookup(AN522,A:A,N:N)+_xlfn.xlookup(AN522,A:A,O:O)</f>
        <v>#NAME?</v>
      </c>
      <c r="AR522" s="150" t="e">
        <f aca="false">_xlfn.xlookup(AN522,A:A,AH:AH)</f>
        <v>#NAME?</v>
      </c>
      <c r="AS522" s="150" t="e">
        <f aca="false">_xlfn.xlookup(AN522,A:A,S:S)</f>
        <v>#NAME?</v>
      </c>
      <c r="AT522" s="150" t="e">
        <f aca="false">_xlfn.xlookup(AN522,A:A,AE:AE)</f>
        <v>#NAME?</v>
      </c>
      <c r="AU522" s="150" t="e">
        <f aca="false">_xlfn.xlookup(AN522,A:A,AF:AF)</f>
        <v>#NAME?</v>
      </c>
      <c r="AX522" s="146"/>
      <c r="AY522" s="150"/>
      <c r="AZ522" s="150"/>
      <c r="BA522" s="150"/>
      <c r="BB522" s="146"/>
      <c r="BC522" s="146"/>
      <c r="BD522" s="151"/>
      <c r="BE522" s="146"/>
      <c r="BF522" s="146"/>
      <c r="BH522" s="152" t="e">
        <f aca="false">_xlfn.xlookup(BG522,A:A,F:F)</f>
        <v>#NAME?</v>
      </c>
      <c r="BI522" s="153" t="e">
        <f aca="false">_xlfn.xlookup(BG522,A:A,J:J)</f>
        <v>#NAME?</v>
      </c>
      <c r="BJ522" s="153" t="e">
        <f aca="false">_xlfn.xlookup(BG522,A:A,N:N)+_xlfn.xlookup(BG522,A:A,O:O)</f>
        <v>#NAME?</v>
      </c>
      <c r="BK522" s="153" t="e">
        <f aca="false">_xlfn.xlookup(BG522,A471:A1465,AB471:AB1465)</f>
        <v>#NAME?</v>
      </c>
      <c r="BN522" s="146"/>
      <c r="BO522" s="150"/>
      <c r="BQ522" s="153" t="str">
        <f aca="false">IF(VALUE(MONTH(C522))&lt;10,YEAR(C522)&amp;"-0"&amp;MONTH(C522),YEAR(C522)&amp;"-"&amp;MONTH(C522))</f>
        <v>1900-01</v>
      </c>
      <c r="BR522" s="153" t="n">
        <f aca="false">J522</f>
        <v>0</v>
      </c>
      <c r="BS522" s="153" t="n">
        <f aca="false">IF(ISNUMBER(FIND("-", BR522)), LEFT(BR522, FIND("-", BR522) - 1), BR522)</f>
        <v>0</v>
      </c>
      <c r="BT522" s="189" t="n">
        <f aca="false">L522-M522+O522</f>
        <v>0</v>
      </c>
    </row>
    <row r="523" s="153" customFormat="true" ht="15" hidden="false" customHeight="false" outlineLevel="0" collapsed="false">
      <c r="AN523" s="153" t="e">
        <v>#NAME?</v>
      </c>
      <c r="AO523" s="153" t="e">
        <f aca="false">_xlfn.xlookup(AN523,A:A,F:F)</f>
        <v>#NAME?</v>
      </c>
      <c r="AP523" s="153" t="e">
        <f aca="false">_xlfn.xlookup(AN523,A:A,J:J)</f>
        <v>#NAME?</v>
      </c>
      <c r="AQ523" s="153" t="e">
        <f aca="false">_xlfn.xlookup(AN523,A:A,N:N)+_xlfn.xlookup(AN523,A:A,O:O)</f>
        <v>#NAME?</v>
      </c>
      <c r="AR523" s="150" t="e">
        <f aca="false">_xlfn.xlookup(AN523,A:A,AH:AH)</f>
        <v>#NAME?</v>
      </c>
      <c r="AS523" s="150" t="e">
        <f aca="false">_xlfn.xlookup(AN523,A:A,S:S)</f>
        <v>#NAME?</v>
      </c>
      <c r="AT523" s="150" t="e">
        <f aca="false">_xlfn.xlookup(AN523,A:A,AE:AE)</f>
        <v>#NAME?</v>
      </c>
      <c r="AU523" s="150" t="e">
        <f aca="false">_xlfn.xlookup(AN523,A:A,AF:AF)</f>
        <v>#NAME?</v>
      </c>
      <c r="AX523" s="146"/>
      <c r="AY523" s="150"/>
      <c r="AZ523" s="150"/>
      <c r="BA523" s="150"/>
      <c r="BB523" s="146"/>
      <c r="BC523" s="146"/>
      <c r="BD523" s="151"/>
      <c r="BE523" s="146"/>
      <c r="BF523" s="146"/>
      <c r="BH523" s="152" t="e">
        <f aca="false">_xlfn.xlookup(BG523,A:A,F:F)</f>
        <v>#NAME?</v>
      </c>
      <c r="BI523" s="153" t="e">
        <f aca="false">_xlfn.xlookup(BG523,A:A,J:J)</f>
        <v>#NAME?</v>
      </c>
      <c r="BJ523" s="153" t="e">
        <f aca="false">_xlfn.xlookup(BG523,A:A,N:N)+_xlfn.xlookup(BG523,A:A,O:O)</f>
        <v>#NAME?</v>
      </c>
      <c r="BK523" s="153" t="e">
        <f aca="false">_xlfn.xlookup(BG523,A472:A1466,AB472:AB1466)</f>
        <v>#NAME?</v>
      </c>
      <c r="BN523" s="146"/>
      <c r="BO523" s="150"/>
      <c r="BQ523" s="153" t="str">
        <f aca="false">IF(VALUE(MONTH(C523))&lt;10,YEAR(C523)&amp;"-0"&amp;MONTH(C523),YEAR(C523)&amp;"-"&amp;MONTH(C523))</f>
        <v>1900-01</v>
      </c>
      <c r="BR523" s="153" t="n">
        <f aca="false">J523</f>
        <v>0</v>
      </c>
      <c r="BS523" s="153" t="n">
        <f aca="false">IF(ISNUMBER(FIND("-", BR523)), LEFT(BR523, FIND("-", BR523) - 1), BR523)</f>
        <v>0</v>
      </c>
      <c r="BT523" s="189" t="n">
        <f aca="false">L523-M523+O523</f>
        <v>0</v>
      </c>
    </row>
    <row r="524" s="153" customFormat="true" ht="15" hidden="false" customHeight="false" outlineLevel="0" collapsed="false">
      <c r="AN524" s="153" t="e">
        <v>#NAME?</v>
      </c>
      <c r="AO524" s="153" t="e">
        <f aca="false">_xlfn.xlookup(AN524,A:A,F:F)</f>
        <v>#NAME?</v>
      </c>
      <c r="AP524" s="153" t="e">
        <f aca="false">_xlfn.xlookup(AN524,A:A,J:J)</f>
        <v>#NAME?</v>
      </c>
      <c r="AQ524" s="153" t="e">
        <f aca="false">_xlfn.xlookup(AN524,A:A,N:N)+_xlfn.xlookup(AN524,A:A,O:O)</f>
        <v>#NAME?</v>
      </c>
      <c r="AR524" s="150" t="e">
        <f aca="false">_xlfn.xlookup(AN524,A:A,AH:AH)</f>
        <v>#NAME?</v>
      </c>
      <c r="AS524" s="150" t="e">
        <f aca="false">_xlfn.xlookup(AN524,A:A,S:S)</f>
        <v>#NAME?</v>
      </c>
      <c r="AT524" s="150" t="e">
        <f aca="false">_xlfn.xlookup(AN524,A:A,AE:AE)</f>
        <v>#NAME?</v>
      </c>
      <c r="AU524" s="150" t="e">
        <f aca="false">_xlfn.xlookup(AN524,A:A,AF:AF)</f>
        <v>#NAME?</v>
      </c>
      <c r="AX524" s="146"/>
      <c r="AY524" s="150"/>
      <c r="AZ524" s="150"/>
      <c r="BA524" s="150"/>
      <c r="BB524" s="146"/>
      <c r="BC524" s="146"/>
      <c r="BD524" s="151"/>
      <c r="BE524" s="146"/>
      <c r="BF524" s="146"/>
      <c r="BH524" s="152" t="e">
        <f aca="false">_xlfn.xlookup(BG524,A:A,F:F)</f>
        <v>#NAME?</v>
      </c>
      <c r="BI524" s="153" t="e">
        <f aca="false">_xlfn.xlookup(BG524,A:A,J:J)</f>
        <v>#NAME?</v>
      </c>
      <c r="BJ524" s="153" t="e">
        <f aca="false">_xlfn.xlookup(BG524,A:A,N:N)+_xlfn.xlookup(BG524,A:A,O:O)</f>
        <v>#NAME?</v>
      </c>
      <c r="BK524" s="153" t="e">
        <f aca="false">_xlfn.xlookup(BG524,A473:A1467,AB473:AB1467)</f>
        <v>#NAME?</v>
      </c>
      <c r="BN524" s="146"/>
      <c r="BO524" s="150"/>
      <c r="BQ524" s="153" t="str">
        <f aca="false">IF(VALUE(MONTH(C524))&lt;10,YEAR(C524)&amp;"-0"&amp;MONTH(C524),YEAR(C524)&amp;"-"&amp;MONTH(C524))</f>
        <v>1900-01</v>
      </c>
      <c r="BR524" s="153" t="n">
        <f aca="false">J524</f>
        <v>0</v>
      </c>
      <c r="BS524" s="153" t="n">
        <f aca="false">IF(ISNUMBER(FIND("-", BR524)), LEFT(BR524, FIND("-", BR524) - 1), BR524)</f>
        <v>0</v>
      </c>
      <c r="BT524" s="189" t="n">
        <f aca="false">L524-M524+O524</f>
        <v>0</v>
      </c>
    </row>
    <row r="525" s="153" customFormat="true" ht="15" hidden="false" customHeight="false" outlineLevel="0" collapsed="false">
      <c r="AN525" s="153" t="e">
        <v>#NAME?</v>
      </c>
      <c r="AO525" s="153" t="e">
        <f aca="false">_xlfn.xlookup(AN525,A:A,F:F)</f>
        <v>#NAME?</v>
      </c>
      <c r="AP525" s="153" t="e">
        <f aca="false">_xlfn.xlookup(AN525,A:A,J:J)</f>
        <v>#NAME?</v>
      </c>
      <c r="AQ525" s="153" t="e">
        <f aca="false">_xlfn.xlookup(AN525,A:A,N:N)+_xlfn.xlookup(AN525,A:A,O:O)</f>
        <v>#NAME?</v>
      </c>
      <c r="AR525" s="150" t="e">
        <f aca="false">_xlfn.xlookup(AN525,A:A,AH:AH)</f>
        <v>#NAME?</v>
      </c>
      <c r="AS525" s="150" t="e">
        <f aca="false">_xlfn.xlookup(AN525,A:A,S:S)</f>
        <v>#NAME?</v>
      </c>
      <c r="AT525" s="150" t="e">
        <f aca="false">_xlfn.xlookup(AN525,A:A,AE:AE)</f>
        <v>#NAME?</v>
      </c>
      <c r="AU525" s="150" t="e">
        <f aca="false">_xlfn.xlookup(AN525,A:A,AF:AF)</f>
        <v>#NAME?</v>
      </c>
      <c r="AX525" s="146"/>
      <c r="AY525" s="150"/>
      <c r="AZ525" s="150"/>
      <c r="BA525" s="150"/>
      <c r="BB525" s="146"/>
      <c r="BC525" s="146"/>
      <c r="BD525" s="151"/>
      <c r="BE525" s="146"/>
      <c r="BF525" s="146"/>
      <c r="BH525" s="152" t="e">
        <f aca="false">_xlfn.xlookup(BG525,A:A,F:F)</f>
        <v>#NAME?</v>
      </c>
      <c r="BI525" s="153" t="e">
        <f aca="false">_xlfn.xlookup(BG525,A:A,J:J)</f>
        <v>#NAME?</v>
      </c>
      <c r="BJ525" s="153" t="e">
        <f aca="false">_xlfn.xlookup(BG525,A:A,N:N)+_xlfn.xlookup(BG525,A:A,O:O)</f>
        <v>#NAME?</v>
      </c>
      <c r="BK525" s="153" t="e">
        <f aca="false">_xlfn.xlookup(BG525,A474:A1468,AB474:AB1468)</f>
        <v>#NAME?</v>
      </c>
      <c r="BN525" s="146"/>
      <c r="BO525" s="150"/>
      <c r="BQ525" s="153" t="str">
        <f aca="false">IF(VALUE(MONTH(C525))&lt;10,YEAR(C525)&amp;"-0"&amp;MONTH(C525),YEAR(C525)&amp;"-"&amp;MONTH(C525))</f>
        <v>1900-01</v>
      </c>
      <c r="BR525" s="153" t="n">
        <f aca="false">J525</f>
        <v>0</v>
      </c>
      <c r="BS525" s="153" t="n">
        <f aca="false">IF(ISNUMBER(FIND("-", BR525)), LEFT(BR525, FIND("-", BR525) - 1), BR525)</f>
        <v>0</v>
      </c>
      <c r="BT525" s="189" t="n">
        <f aca="false">L525-M525+O525</f>
        <v>0</v>
      </c>
    </row>
    <row r="526" s="153" customFormat="true" ht="15" hidden="false" customHeight="false" outlineLevel="0" collapsed="false">
      <c r="AN526" s="153" t="e">
        <v>#NAME?</v>
      </c>
      <c r="AO526" s="153" t="e">
        <f aca="false">_xlfn.xlookup(AN526,A:A,F:F)</f>
        <v>#NAME?</v>
      </c>
      <c r="AP526" s="153" t="e">
        <f aca="false">_xlfn.xlookup(AN526,A:A,J:J)</f>
        <v>#NAME?</v>
      </c>
      <c r="AQ526" s="153" t="e">
        <f aca="false">_xlfn.xlookup(AN526,A:A,N:N)+_xlfn.xlookup(AN526,A:A,O:O)</f>
        <v>#NAME?</v>
      </c>
      <c r="AR526" s="150" t="e">
        <f aca="false">_xlfn.xlookup(AN526,A:A,AH:AH)</f>
        <v>#NAME?</v>
      </c>
      <c r="AS526" s="150" t="e">
        <f aca="false">_xlfn.xlookup(AN526,A:A,S:S)</f>
        <v>#NAME?</v>
      </c>
      <c r="AT526" s="150" t="e">
        <f aca="false">_xlfn.xlookup(AN526,A:A,AE:AE)</f>
        <v>#NAME?</v>
      </c>
      <c r="AU526" s="150" t="e">
        <f aca="false">_xlfn.xlookup(AN526,A:A,AF:AF)</f>
        <v>#NAME?</v>
      </c>
      <c r="AX526" s="146"/>
      <c r="AY526" s="150"/>
      <c r="AZ526" s="150"/>
      <c r="BA526" s="150"/>
      <c r="BB526" s="146"/>
      <c r="BC526" s="146"/>
      <c r="BD526" s="151"/>
      <c r="BE526" s="146"/>
      <c r="BF526" s="146"/>
      <c r="BH526" s="152" t="e">
        <f aca="false">_xlfn.xlookup(BG526,A:A,F:F)</f>
        <v>#NAME?</v>
      </c>
      <c r="BI526" s="153" t="e">
        <f aca="false">_xlfn.xlookup(BG526,A:A,J:J)</f>
        <v>#NAME?</v>
      </c>
      <c r="BJ526" s="153" t="e">
        <f aca="false">_xlfn.xlookup(BG526,A:A,N:N)+_xlfn.xlookup(BG526,A:A,O:O)</f>
        <v>#NAME?</v>
      </c>
      <c r="BK526" s="153" t="e">
        <f aca="false">_xlfn.xlookup(BG526,A475:A1469,AB475:AB1469)</f>
        <v>#NAME?</v>
      </c>
      <c r="BN526" s="146"/>
      <c r="BO526" s="150"/>
      <c r="BQ526" s="153" t="str">
        <f aca="false">IF(VALUE(MONTH(C526))&lt;10,YEAR(C526)&amp;"-0"&amp;MONTH(C526),YEAR(C526)&amp;"-"&amp;MONTH(C526))</f>
        <v>1900-01</v>
      </c>
      <c r="BR526" s="153" t="n">
        <f aca="false">J526</f>
        <v>0</v>
      </c>
      <c r="BS526" s="153" t="n">
        <f aca="false">IF(ISNUMBER(FIND("-", BR526)), LEFT(BR526, FIND("-", BR526) - 1), BR526)</f>
        <v>0</v>
      </c>
      <c r="BT526" s="189" t="n">
        <f aca="false">L526-M526+O526</f>
        <v>0</v>
      </c>
    </row>
    <row r="527" s="153" customFormat="true" ht="15" hidden="false" customHeight="false" outlineLevel="0" collapsed="false">
      <c r="AN527" s="153" t="e">
        <v>#NAME?</v>
      </c>
      <c r="AO527" s="153" t="e">
        <f aca="false">_xlfn.xlookup(AN527,A:A,F:F)</f>
        <v>#NAME?</v>
      </c>
      <c r="AP527" s="153" t="e">
        <f aca="false">_xlfn.xlookup(AN527,A:A,J:J)</f>
        <v>#NAME?</v>
      </c>
      <c r="AQ527" s="153" t="e">
        <f aca="false">_xlfn.xlookup(AN527,A:A,N:N)+_xlfn.xlookup(AN527,A:A,O:O)</f>
        <v>#NAME?</v>
      </c>
      <c r="AR527" s="150" t="e">
        <f aca="false">_xlfn.xlookup(AN527,A:A,AH:AH)</f>
        <v>#NAME?</v>
      </c>
      <c r="AS527" s="150" t="e">
        <f aca="false">_xlfn.xlookup(AN527,A:A,S:S)</f>
        <v>#NAME?</v>
      </c>
      <c r="AT527" s="150" t="e">
        <f aca="false">_xlfn.xlookup(AN527,A:A,AE:AE)</f>
        <v>#NAME?</v>
      </c>
      <c r="AU527" s="150" t="e">
        <f aca="false">_xlfn.xlookup(AN527,A:A,AF:AF)</f>
        <v>#NAME?</v>
      </c>
      <c r="AX527" s="146"/>
      <c r="AY527" s="150"/>
      <c r="AZ527" s="150"/>
      <c r="BA527" s="150"/>
      <c r="BB527" s="146"/>
      <c r="BC527" s="146"/>
      <c r="BD527" s="151"/>
      <c r="BE527" s="146"/>
      <c r="BF527" s="146"/>
      <c r="BH527" s="152" t="e">
        <f aca="false">_xlfn.xlookup(BG527,A:A,F:F)</f>
        <v>#NAME?</v>
      </c>
      <c r="BI527" s="153" t="e">
        <f aca="false">_xlfn.xlookup(BG527,A:A,J:J)</f>
        <v>#NAME?</v>
      </c>
      <c r="BJ527" s="153" t="e">
        <f aca="false">_xlfn.xlookup(BG527,A:A,N:N)+_xlfn.xlookup(BG527,A:A,O:O)</f>
        <v>#NAME?</v>
      </c>
      <c r="BK527" s="153" t="e">
        <f aca="false">_xlfn.xlookup(BG527,A476:A1470,AB476:AB1470)</f>
        <v>#NAME?</v>
      </c>
      <c r="BN527" s="146"/>
      <c r="BO527" s="150"/>
      <c r="BQ527" s="153" t="str">
        <f aca="false">IF(VALUE(MONTH(C527))&lt;10,YEAR(C527)&amp;"-0"&amp;MONTH(C527),YEAR(C527)&amp;"-"&amp;MONTH(C527))</f>
        <v>1900-01</v>
      </c>
      <c r="BR527" s="153" t="n">
        <f aca="false">J527</f>
        <v>0</v>
      </c>
      <c r="BS527" s="153" t="n">
        <f aca="false">IF(ISNUMBER(FIND("-", BR527)), LEFT(BR527, FIND("-", BR527) - 1), BR527)</f>
        <v>0</v>
      </c>
      <c r="BT527" s="189" t="n">
        <f aca="false">L527-M527+O527</f>
        <v>0</v>
      </c>
    </row>
    <row r="528" s="153" customFormat="true" ht="15" hidden="false" customHeight="false" outlineLevel="0" collapsed="false">
      <c r="AN528" s="153" t="e">
        <v>#NAME?</v>
      </c>
      <c r="AO528" s="153" t="e">
        <f aca="false">_xlfn.xlookup(AN528,A:A,F:F)</f>
        <v>#NAME?</v>
      </c>
      <c r="AP528" s="153" t="e">
        <f aca="false">_xlfn.xlookup(AN528,A:A,J:J)</f>
        <v>#NAME?</v>
      </c>
      <c r="AQ528" s="153" t="e">
        <f aca="false">_xlfn.xlookup(AN528,A:A,N:N)+_xlfn.xlookup(AN528,A:A,O:O)</f>
        <v>#NAME?</v>
      </c>
      <c r="AR528" s="150" t="e">
        <f aca="false">_xlfn.xlookup(AN528,A:A,AH:AH)</f>
        <v>#NAME?</v>
      </c>
      <c r="AS528" s="150" t="e">
        <f aca="false">_xlfn.xlookup(AN528,A:A,S:S)</f>
        <v>#NAME?</v>
      </c>
      <c r="AT528" s="150" t="e">
        <f aca="false">_xlfn.xlookup(AN528,A:A,AE:AE)</f>
        <v>#NAME?</v>
      </c>
      <c r="AU528" s="150" t="e">
        <f aca="false">_xlfn.xlookup(AN528,A:A,AF:AF)</f>
        <v>#NAME?</v>
      </c>
      <c r="AX528" s="146"/>
      <c r="AY528" s="150"/>
      <c r="AZ528" s="150"/>
      <c r="BA528" s="150"/>
      <c r="BB528" s="146"/>
      <c r="BC528" s="146"/>
      <c r="BD528" s="151"/>
      <c r="BE528" s="146"/>
      <c r="BF528" s="146"/>
      <c r="BH528" s="152" t="e">
        <f aca="false">_xlfn.xlookup(BG528,A:A,F:F)</f>
        <v>#NAME?</v>
      </c>
      <c r="BI528" s="153" t="e">
        <f aca="false">_xlfn.xlookup(BG528,A:A,J:J)</f>
        <v>#NAME?</v>
      </c>
      <c r="BJ528" s="153" t="e">
        <f aca="false">_xlfn.xlookup(BG528,A:A,N:N)+_xlfn.xlookup(BG528,A:A,O:O)</f>
        <v>#NAME?</v>
      </c>
      <c r="BK528" s="153" t="e">
        <f aca="false">_xlfn.xlookup(BG528,A477:A1471,AB477:AB1471)</f>
        <v>#NAME?</v>
      </c>
      <c r="BN528" s="146"/>
      <c r="BO528" s="150"/>
      <c r="BQ528" s="153" t="str">
        <f aca="false">IF(VALUE(MONTH(C528))&lt;10,YEAR(C528)&amp;"-0"&amp;MONTH(C528),YEAR(C528)&amp;"-"&amp;MONTH(C528))</f>
        <v>1900-01</v>
      </c>
      <c r="BR528" s="153" t="n">
        <f aca="false">J528</f>
        <v>0</v>
      </c>
      <c r="BS528" s="153" t="n">
        <f aca="false">IF(ISNUMBER(FIND("-", BR528)), LEFT(BR528, FIND("-", BR528) - 1), BR528)</f>
        <v>0</v>
      </c>
      <c r="BT528" s="189" t="n">
        <f aca="false">L528-M528+O528</f>
        <v>0</v>
      </c>
    </row>
    <row r="529" s="153" customFormat="true" ht="15" hidden="false" customHeight="false" outlineLevel="0" collapsed="false">
      <c r="AN529" s="153" t="e">
        <v>#NAME?</v>
      </c>
      <c r="AO529" s="153" t="e">
        <f aca="false">_xlfn.xlookup(AN529,A:A,F:F)</f>
        <v>#NAME?</v>
      </c>
      <c r="AP529" s="153" t="e">
        <f aca="false">_xlfn.xlookup(AN529,A:A,J:J)</f>
        <v>#NAME?</v>
      </c>
      <c r="AQ529" s="153" t="e">
        <f aca="false">_xlfn.xlookup(AN529,A:A,N:N)+_xlfn.xlookup(AN529,A:A,O:O)</f>
        <v>#NAME?</v>
      </c>
      <c r="AR529" s="150" t="e">
        <f aca="false">_xlfn.xlookup(AN529,A:A,AH:AH)</f>
        <v>#NAME?</v>
      </c>
      <c r="AS529" s="150" t="e">
        <f aca="false">_xlfn.xlookup(AN529,A:A,S:S)</f>
        <v>#NAME?</v>
      </c>
      <c r="AT529" s="150" t="e">
        <f aca="false">_xlfn.xlookup(AN529,A:A,AE:AE)</f>
        <v>#NAME?</v>
      </c>
      <c r="AU529" s="150" t="e">
        <f aca="false">_xlfn.xlookup(AN529,A:A,AF:AF)</f>
        <v>#NAME?</v>
      </c>
      <c r="AX529" s="146"/>
      <c r="AY529" s="150"/>
      <c r="AZ529" s="150"/>
      <c r="BA529" s="150"/>
      <c r="BB529" s="146"/>
      <c r="BC529" s="146"/>
      <c r="BD529" s="151"/>
      <c r="BE529" s="146"/>
      <c r="BF529" s="146"/>
      <c r="BH529" s="152" t="e">
        <f aca="false">_xlfn.xlookup(BG529,A:A,F:F)</f>
        <v>#NAME?</v>
      </c>
      <c r="BI529" s="153" t="e">
        <f aca="false">_xlfn.xlookup(BG529,A:A,J:J)</f>
        <v>#NAME?</v>
      </c>
      <c r="BJ529" s="153" t="e">
        <f aca="false">_xlfn.xlookup(BG529,A:A,N:N)+_xlfn.xlookup(BG529,A:A,O:O)</f>
        <v>#NAME?</v>
      </c>
      <c r="BK529" s="153" t="e">
        <f aca="false">_xlfn.xlookup(BG529,A478:A1472,AB478:AB1472)</f>
        <v>#NAME?</v>
      </c>
      <c r="BN529" s="146"/>
      <c r="BO529" s="150"/>
      <c r="BQ529" s="153" t="str">
        <f aca="false">IF(VALUE(MONTH(C529))&lt;10,YEAR(C529)&amp;"-0"&amp;MONTH(C529),YEAR(C529)&amp;"-"&amp;MONTH(C529))</f>
        <v>1900-01</v>
      </c>
      <c r="BR529" s="153" t="n">
        <f aca="false">J529</f>
        <v>0</v>
      </c>
      <c r="BS529" s="153" t="n">
        <f aca="false">IF(ISNUMBER(FIND("-", BR529)), LEFT(BR529, FIND("-", BR529) - 1), BR529)</f>
        <v>0</v>
      </c>
      <c r="BT529" s="189" t="n">
        <f aca="false">L529-M529+O529</f>
        <v>0</v>
      </c>
    </row>
    <row r="530" s="153" customFormat="true" ht="15" hidden="false" customHeight="false" outlineLevel="0" collapsed="false">
      <c r="AN530" s="153" t="e">
        <v>#NAME?</v>
      </c>
      <c r="AO530" s="153" t="e">
        <f aca="false">_xlfn.xlookup(AN530,A:A,F:F)</f>
        <v>#NAME?</v>
      </c>
      <c r="AP530" s="153" t="e">
        <f aca="false">_xlfn.xlookup(AN530,A:A,J:J)</f>
        <v>#NAME?</v>
      </c>
      <c r="AQ530" s="153" t="e">
        <f aca="false">_xlfn.xlookup(AN530,A:A,N:N)+_xlfn.xlookup(AN530,A:A,O:O)</f>
        <v>#NAME?</v>
      </c>
      <c r="AR530" s="150" t="e">
        <f aca="false">_xlfn.xlookup(AN530,A:A,AH:AH)</f>
        <v>#NAME?</v>
      </c>
      <c r="AS530" s="150" t="e">
        <f aca="false">_xlfn.xlookup(AN530,A:A,S:S)</f>
        <v>#NAME?</v>
      </c>
      <c r="AT530" s="150" t="e">
        <f aca="false">_xlfn.xlookup(AN530,A:A,AE:AE)</f>
        <v>#NAME?</v>
      </c>
      <c r="AU530" s="150" t="e">
        <f aca="false">_xlfn.xlookup(AN530,A:A,AF:AF)</f>
        <v>#NAME?</v>
      </c>
      <c r="AX530" s="146"/>
      <c r="AY530" s="150"/>
      <c r="AZ530" s="150"/>
      <c r="BA530" s="150"/>
      <c r="BB530" s="146"/>
      <c r="BC530" s="146"/>
      <c r="BD530" s="151"/>
      <c r="BE530" s="146"/>
      <c r="BF530" s="146"/>
      <c r="BH530" s="152" t="e">
        <f aca="false">_xlfn.xlookup(BG530,A:A,F:F)</f>
        <v>#NAME?</v>
      </c>
      <c r="BI530" s="153" t="e">
        <f aca="false">_xlfn.xlookup(BG530,A:A,J:J)</f>
        <v>#NAME?</v>
      </c>
      <c r="BJ530" s="153" t="e">
        <f aca="false">_xlfn.xlookup(BG530,A:A,N:N)+_xlfn.xlookup(BG530,A:A,O:O)</f>
        <v>#NAME?</v>
      </c>
      <c r="BK530" s="153" t="e">
        <f aca="false">_xlfn.xlookup(BG530,A479:A1473,AB479:AB1473)</f>
        <v>#NAME?</v>
      </c>
      <c r="BN530" s="146"/>
      <c r="BO530" s="150"/>
      <c r="BQ530" s="153" t="str">
        <f aca="false">IF(VALUE(MONTH(C530))&lt;10,YEAR(C530)&amp;"-0"&amp;MONTH(C530),YEAR(C530)&amp;"-"&amp;MONTH(C530))</f>
        <v>1900-01</v>
      </c>
      <c r="BR530" s="153" t="n">
        <f aca="false">J530</f>
        <v>0</v>
      </c>
      <c r="BS530" s="153" t="n">
        <f aca="false">IF(ISNUMBER(FIND("-", BR530)), LEFT(BR530, FIND("-", BR530) - 1), BR530)</f>
        <v>0</v>
      </c>
      <c r="BT530" s="189" t="n">
        <f aca="false">L530-M530+O530</f>
        <v>0</v>
      </c>
    </row>
    <row r="531" s="153" customFormat="true" ht="15" hidden="false" customHeight="false" outlineLevel="0" collapsed="false">
      <c r="AN531" s="153" t="e">
        <v>#NAME?</v>
      </c>
      <c r="AO531" s="153" t="e">
        <f aca="false">_xlfn.xlookup(AN531,A:A,F:F)</f>
        <v>#NAME?</v>
      </c>
      <c r="AP531" s="153" t="e">
        <f aca="false">_xlfn.xlookup(AN531,A:A,J:J)</f>
        <v>#NAME?</v>
      </c>
      <c r="AQ531" s="153" t="e">
        <f aca="false">_xlfn.xlookup(AN531,A:A,N:N)+_xlfn.xlookup(AN531,A:A,O:O)</f>
        <v>#NAME?</v>
      </c>
      <c r="AR531" s="150" t="e">
        <f aca="false">_xlfn.xlookup(AN531,A:A,AH:AH)</f>
        <v>#NAME?</v>
      </c>
      <c r="AS531" s="150" t="e">
        <f aca="false">_xlfn.xlookup(AN531,A:A,S:S)</f>
        <v>#NAME?</v>
      </c>
      <c r="AT531" s="150" t="e">
        <f aca="false">_xlfn.xlookup(AN531,A:A,AE:AE)</f>
        <v>#NAME?</v>
      </c>
      <c r="AU531" s="150" t="e">
        <f aca="false">_xlfn.xlookup(AN531,A:A,AF:AF)</f>
        <v>#NAME?</v>
      </c>
      <c r="AX531" s="146"/>
      <c r="AY531" s="150"/>
      <c r="AZ531" s="150"/>
      <c r="BA531" s="150"/>
      <c r="BB531" s="146"/>
      <c r="BC531" s="146"/>
      <c r="BD531" s="151"/>
      <c r="BE531" s="146"/>
      <c r="BF531" s="146"/>
      <c r="BH531" s="152" t="e">
        <f aca="false">_xlfn.xlookup(BG531,A:A,F:F)</f>
        <v>#NAME?</v>
      </c>
      <c r="BI531" s="153" t="e">
        <f aca="false">_xlfn.xlookup(BG531,A:A,J:J)</f>
        <v>#NAME?</v>
      </c>
      <c r="BJ531" s="153" t="e">
        <f aca="false">_xlfn.xlookup(BG531,A:A,N:N)+_xlfn.xlookup(BG531,A:A,O:O)</f>
        <v>#NAME?</v>
      </c>
      <c r="BK531" s="153" t="e">
        <f aca="false">_xlfn.xlookup(BG531,A480:A1474,AB480:AB1474)</f>
        <v>#NAME?</v>
      </c>
      <c r="BN531" s="146"/>
      <c r="BO531" s="150"/>
      <c r="BQ531" s="153" t="str">
        <f aca="false">IF(VALUE(MONTH(C531))&lt;10,YEAR(C531)&amp;"-0"&amp;MONTH(C531),YEAR(C531)&amp;"-"&amp;MONTH(C531))</f>
        <v>1900-01</v>
      </c>
      <c r="BR531" s="153" t="n">
        <f aca="false">J531</f>
        <v>0</v>
      </c>
      <c r="BS531" s="153" t="n">
        <f aca="false">IF(ISNUMBER(FIND("-", BR531)), LEFT(BR531, FIND("-", BR531) - 1), BR531)</f>
        <v>0</v>
      </c>
      <c r="BT531" s="189" t="n">
        <f aca="false">L531-M531+O531</f>
        <v>0</v>
      </c>
    </row>
    <row r="532" s="153" customFormat="true" ht="15" hidden="false" customHeight="false" outlineLevel="0" collapsed="false">
      <c r="AN532" s="153" t="e">
        <v>#NAME?</v>
      </c>
      <c r="AO532" s="153" t="e">
        <f aca="false">_xlfn.xlookup(AN532,A:A,F:F)</f>
        <v>#NAME?</v>
      </c>
      <c r="AP532" s="153" t="e">
        <f aca="false">_xlfn.xlookup(AN532,A:A,J:J)</f>
        <v>#NAME?</v>
      </c>
      <c r="AQ532" s="153" t="e">
        <f aca="false">_xlfn.xlookup(AN532,A:A,N:N)+_xlfn.xlookup(AN532,A:A,O:O)</f>
        <v>#NAME?</v>
      </c>
      <c r="AR532" s="150" t="e">
        <f aca="false">_xlfn.xlookup(AN532,A:A,AH:AH)</f>
        <v>#NAME?</v>
      </c>
      <c r="AS532" s="150" t="e">
        <f aca="false">_xlfn.xlookup(AN532,A:A,S:S)</f>
        <v>#NAME?</v>
      </c>
      <c r="AT532" s="150" t="e">
        <f aca="false">_xlfn.xlookup(AN532,A:A,AE:AE)</f>
        <v>#NAME?</v>
      </c>
      <c r="AU532" s="150" t="e">
        <f aca="false">_xlfn.xlookup(AN532,A:A,AF:AF)</f>
        <v>#NAME?</v>
      </c>
      <c r="AX532" s="146"/>
      <c r="AY532" s="150"/>
      <c r="AZ532" s="150"/>
      <c r="BA532" s="150"/>
      <c r="BB532" s="146"/>
      <c r="BC532" s="146"/>
      <c r="BD532" s="151"/>
      <c r="BE532" s="146"/>
      <c r="BF532" s="146"/>
      <c r="BH532" s="152" t="e">
        <f aca="false">_xlfn.xlookup(BG532,A:A,F:F)</f>
        <v>#NAME?</v>
      </c>
      <c r="BI532" s="153" t="e">
        <f aca="false">_xlfn.xlookup(BG532,A:A,J:J)</f>
        <v>#NAME?</v>
      </c>
      <c r="BJ532" s="153" t="e">
        <f aca="false">_xlfn.xlookup(BG532,A:A,N:N)+_xlfn.xlookup(BG532,A:A,O:O)</f>
        <v>#NAME?</v>
      </c>
      <c r="BK532" s="153" t="e">
        <f aca="false">_xlfn.xlookup(BG532,A481:A1475,AB481:AB1475)</f>
        <v>#NAME?</v>
      </c>
      <c r="BN532" s="146"/>
      <c r="BO532" s="150"/>
      <c r="BQ532" s="153" t="str">
        <f aca="false">IF(VALUE(MONTH(C532))&lt;10,YEAR(C532)&amp;"-0"&amp;MONTH(C532),YEAR(C532)&amp;"-"&amp;MONTH(C532))</f>
        <v>1900-01</v>
      </c>
      <c r="BR532" s="153" t="n">
        <f aca="false">J532</f>
        <v>0</v>
      </c>
      <c r="BS532" s="153" t="n">
        <f aca="false">IF(ISNUMBER(FIND("-", BR532)), LEFT(BR532, FIND("-", BR532) - 1), BR532)</f>
        <v>0</v>
      </c>
      <c r="BT532" s="189" t="n">
        <f aca="false">L532-M532+O532</f>
        <v>0</v>
      </c>
    </row>
    <row r="533" s="153" customFormat="true" ht="15" hidden="false" customHeight="false" outlineLevel="0" collapsed="false">
      <c r="AN533" s="153" t="e">
        <v>#NAME?</v>
      </c>
      <c r="AO533" s="153" t="e">
        <f aca="false">_xlfn.xlookup(AN533,A:A,F:F)</f>
        <v>#NAME?</v>
      </c>
      <c r="AP533" s="153" t="e">
        <f aca="false">_xlfn.xlookup(AN533,A:A,J:J)</f>
        <v>#NAME?</v>
      </c>
      <c r="AQ533" s="153" t="e">
        <f aca="false">_xlfn.xlookup(AN533,A:A,N:N)+_xlfn.xlookup(AN533,A:A,O:O)</f>
        <v>#NAME?</v>
      </c>
      <c r="AR533" s="150" t="e">
        <f aca="false">_xlfn.xlookup(AN533,A:A,AH:AH)</f>
        <v>#NAME?</v>
      </c>
      <c r="AS533" s="150" t="e">
        <f aca="false">_xlfn.xlookup(AN533,A:A,S:S)</f>
        <v>#NAME?</v>
      </c>
      <c r="AT533" s="150" t="e">
        <f aca="false">_xlfn.xlookup(AN533,A:A,AE:AE)</f>
        <v>#NAME?</v>
      </c>
      <c r="AU533" s="150" t="e">
        <f aca="false">_xlfn.xlookup(AN533,A:A,AF:AF)</f>
        <v>#NAME?</v>
      </c>
      <c r="AX533" s="146"/>
      <c r="AY533" s="150"/>
      <c r="AZ533" s="150"/>
      <c r="BA533" s="150"/>
      <c r="BB533" s="146"/>
      <c r="BC533" s="146"/>
      <c r="BD533" s="151"/>
      <c r="BE533" s="146"/>
      <c r="BF533" s="146"/>
      <c r="BH533" s="152" t="e">
        <f aca="false">_xlfn.xlookup(BG533,A:A,F:F)</f>
        <v>#NAME?</v>
      </c>
      <c r="BI533" s="153" t="e">
        <f aca="false">_xlfn.xlookup(BG533,A:A,J:J)</f>
        <v>#NAME?</v>
      </c>
      <c r="BJ533" s="153" t="e">
        <f aca="false">_xlfn.xlookup(BG533,A:A,N:N)+_xlfn.xlookup(BG533,A:A,O:O)</f>
        <v>#NAME?</v>
      </c>
      <c r="BK533" s="153" t="e">
        <f aca="false">_xlfn.xlookup(BG533,A482:A1476,AB482:AB1476)</f>
        <v>#NAME?</v>
      </c>
      <c r="BN533" s="146"/>
      <c r="BO533" s="150"/>
      <c r="BQ533" s="153" t="str">
        <f aca="false">IF(VALUE(MONTH(C533))&lt;10,YEAR(C533)&amp;"-0"&amp;MONTH(C533),YEAR(C533)&amp;"-"&amp;MONTH(C533))</f>
        <v>1900-01</v>
      </c>
      <c r="BR533" s="153" t="n">
        <f aca="false">J533</f>
        <v>0</v>
      </c>
      <c r="BS533" s="153" t="n">
        <f aca="false">IF(ISNUMBER(FIND("-", BR533)), LEFT(BR533, FIND("-", BR533) - 1), BR533)</f>
        <v>0</v>
      </c>
      <c r="BT533" s="189" t="n">
        <f aca="false">L533-M533+O533</f>
        <v>0</v>
      </c>
    </row>
    <row r="534" s="153" customFormat="true" ht="15" hidden="false" customHeight="false" outlineLevel="0" collapsed="false">
      <c r="AN534" s="153" t="e">
        <v>#NAME?</v>
      </c>
      <c r="AO534" s="153" t="e">
        <f aca="false">_xlfn.xlookup(AN534,A:A,F:F)</f>
        <v>#NAME?</v>
      </c>
      <c r="AP534" s="153" t="e">
        <f aca="false">_xlfn.xlookup(AN534,A:A,J:J)</f>
        <v>#NAME?</v>
      </c>
      <c r="AQ534" s="153" t="e">
        <f aca="false">_xlfn.xlookup(AN534,A:A,N:N)+_xlfn.xlookup(AN534,A:A,O:O)</f>
        <v>#NAME?</v>
      </c>
      <c r="AR534" s="150" t="e">
        <f aca="false">_xlfn.xlookup(AN534,A:A,AH:AH)</f>
        <v>#NAME?</v>
      </c>
      <c r="AS534" s="150" t="e">
        <f aca="false">_xlfn.xlookup(AN534,A:A,S:S)</f>
        <v>#NAME?</v>
      </c>
      <c r="AT534" s="150" t="e">
        <f aca="false">_xlfn.xlookup(AN534,A:A,AE:AE)</f>
        <v>#NAME?</v>
      </c>
      <c r="AU534" s="150" t="e">
        <f aca="false">_xlfn.xlookup(AN534,A:A,AF:AF)</f>
        <v>#NAME?</v>
      </c>
      <c r="AX534" s="146"/>
      <c r="AY534" s="150"/>
      <c r="AZ534" s="150"/>
      <c r="BA534" s="150"/>
      <c r="BB534" s="146"/>
      <c r="BC534" s="146"/>
      <c r="BD534" s="151"/>
      <c r="BE534" s="146"/>
      <c r="BF534" s="146"/>
      <c r="BH534" s="152" t="e">
        <f aca="false">_xlfn.xlookup(BG534,A:A,F:F)</f>
        <v>#NAME?</v>
      </c>
      <c r="BI534" s="153" t="e">
        <f aca="false">_xlfn.xlookup(BG534,A:A,J:J)</f>
        <v>#NAME?</v>
      </c>
      <c r="BJ534" s="153" t="e">
        <f aca="false">_xlfn.xlookup(BG534,A:A,N:N)+_xlfn.xlookup(BG534,A:A,O:O)</f>
        <v>#NAME?</v>
      </c>
      <c r="BK534" s="153" t="e">
        <f aca="false">_xlfn.xlookup(BG534,A483:A1477,AB483:AB1477)</f>
        <v>#NAME?</v>
      </c>
      <c r="BN534" s="146"/>
      <c r="BO534" s="150"/>
      <c r="BQ534" s="153" t="str">
        <f aca="false">IF(VALUE(MONTH(C534))&lt;10,YEAR(C534)&amp;"-0"&amp;MONTH(C534),YEAR(C534)&amp;"-"&amp;MONTH(C534))</f>
        <v>1900-01</v>
      </c>
      <c r="BR534" s="153" t="n">
        <f aca="false">J534</f>
        <v>0</v>
      </c>
      <c r="BS534" s="153" t="n">
        <f aca="false">IF(ISNUMBER(FIND("-", BR534)), LEFT(BR534, FIND("-", BR534) - 1), BR534)</f>
        <v>0</v>
      </c>
      <c r="BT534" s="189" t="n">
        <f aca="false">L534-M534+O534</f>
        <v>0</v>
      </c>
    </row>
    <row r="535" s="153" customFormat="true" ht="15" hidden="false" customHeight="false" outlineLevel="0" collapsed="false">
      <c r="AN535" s="153" t="e">
        <v>#NAME?</v>
      </c>
      <c r="AO535" s="153" t="e">
        <f aca="false">_xlfn.xlookup(AN535,A:A,F:F)</f>
        <v>#NAME?</v>
      </c>
      <c r="AP535" s="153" t="e">
        <f aca="false">_xlfn.xlookup(AN535,A:A,J:J)</f>
        <v>#NAME?</v>
      </c>
      <c r="AQ535" s="153" t="e">
        <f aca="false">_xlfn.xlookup(AN535,A:A,N:N)+_xlfn.xlookup(AN535,A:A,O:O)</f>
        <v>#NAME?</v>
      </c>
      <c r="AR535" s="150" t="e">
        <f aca="false">_xlfn.xlookup(AN535,A:A,AH:AH)</f>
        <v>#NAME?</v>
      </c>
      <c r="AS535" s="150" t="e">
        <f aca="false">_xlfn.xlookup(AN535,A:A,S:S)</f>
        <v>#NAME?</v>
      </c>
      <c r="AT535" s="150" t="e">
        <f aca="false">_xlfn.xlookup(AN535,A:A,AE:AE)</f>
        <v>#NAME?</v>
      </c>
      <c r="AU535" s="150" t="e">
        <f aca="false">_xlfn.xlookup(AN535,A:A,AF:AF)</f>
        <v>#NAME?</v>
      </c>
      <c r="AX535" s="146"/>
      <c r="AY535" s="150"/>
      <c r="AZ535" s="150"/>
      <c r="BA535" s="150"/>
      <c r="BB535" s="146"/>
      <c r="BC535" s="146"/>
      <c r="BD535" s="151"/>
      <c r="BE535" s="146"/>
      <c r="BF535" s="146"/>
      <c r="BH535" s="152" t="e">
        <f aca="false">_xlfn.xlookup(BG535,A:A,F:F)</f>
        <v>#NAME?</v>
      </c>
      <c r="BI535" s="153" t="e">
        <f aca="false">_xlfn.xlookup(BG535,A:A,J:J)</f>
        <v>#NAME?</v>
      </c>
      <c r="BJ535" s="153" t="e">
        <f aca="false">_xlfn.xlookup(BG535,A:A,N:N)+_xlfn.xlookup(BG535,A:A,O:O)</f>
        <v>#NAME?</v>
      </c>
      <c r="BK535" s="153" t="e">
        <f aca="false">_xlfn.xlookup(BG535,A484:A1478,AB484:AB1478)</f>
        <v>#NAME?</v>
      </c>
      <c r="BN535" s="146"/>
      <c r="BO535" s="150"/>
      <c r="BQ535" s="153" t="str">
        <f aca="false">IF(VALUE(MONTH(C535))&lt;10,YEAR(C535)&amp;"-0"&amp;MONTH(C535),YEAR(C535)&amp;"-"&amp;MONTH(C535))</f>
        <v>1900-01</v>
      </c>
      <c r="BR535" s="153" t="n">
        <f aca="false">J535</f>
        <v>0</v>
      </c>
      <c r="BS535" s="153" t="n">
        <f aca="false">IF(ISNUMBER(FIND("-", BR535)), LEFT(BR535, FIND("-", BR535) - 1), BR535)</f>
        <v>0</v>
      </c>
      <c r="BT535" s="189" t="n">
        <f aca="false">L535-M535+O535</f>
        <v>0</v>
      </c>
    </row>
    <row r="536" s="153" customFormat="true" ht="15" hidden="false" customHeight="false" outlineLevel="0" collapsed="false">
      <c r="AN536" s="153" t="e">
        <v>#NAME?</v>
      </c>
      <c r="AO536" s="153" t="e">
        <f aca="false">_xlfn.xlookup(AN536,A:A,F:F)</f>
        <v>#NAME?</v>
      </c>
      <c r="AP536" s="153" t="e">
        <f aca="false">_xlfn.xlookup(AN536,A:A,J:J)</f>
        <v>#NAME?</v>
      </c>
      <c r="AQ536" s="153" t="e">
        <f aca="false">_xlfn.xlookup(AN536,A:A,N:N)+_xlfn.xlookup(AN536,A:A,O:O)</f>
        <v>#NAME?</v>
      </c>
      <c r="AR536" s="150" t="e">
        <f aca="false">_xlfn.xlookup(AN536,A:A,AH:AH)</f>
        <v>#NAME?</v>
      </c>
      <c r="AS536" s="150" t="e">
        <f aca="false">_xlfn.xlookup(AN536,A:A,S:S)</f>
        <v>#NAME?</v>
      </c>
      <c r="AT536" s="150" t="e">
        <f aca="false">_xlfn.xlookup(AN536,A:A,AE:AE)</f>
        <v>#NAME?</v>
      </c>
      <c r="AU536" s="150" t="e">
        <f aca="false">_xlfn.xlookup(AN536,A:A,AF:AF)</f>
        <v>#NAME?</v>
      </c>
      <c r="AX536" s="146"/>
      <c r="AY536" s="150"/>
      <c r="AZ536" s="150"/>
      <c r="BA536" s="150"/>
      <c r="BB536" s="146"/>
      <c r="BC536" s="146"/>
      <c r="BD536" s="151"/>
      <c r="BE536" s="146"/>
      <c r="BF536" s="146"/>
      <c r="BH536" s="152" t="e">
        <f aca="false">_xlfn.xlookup(BG536,A:A,F:F)</f>
        <v>#NAME?</v>
      </c>
      <c r="BI536" s="153" t="e">
        <f aca="false">_xlfn.xlookup(BG536,A:A,J:J)</f>
        <v>#NAME?</v>
      </c>
      <c r="BJ536" s="153" t="e">
        <f aca="false">_xlfn.xlookup(BG536,A:A,N:N)+_xlfn.xlookup(BG536,A:A,O:O)</f>
        <v>#NAME?</v>
      </c>
      <c r="BK536" s="153" t="e">
        <f aca="false">_xlfn.xlookup(BG536,A485:A1479,AB485:AB1479)</f>
        <v>#NAME?</v>
      </c>
      <c r="BN536" s="146"/>
      <c r="BO536" s="150"/>
      <c r="BQ536" s="153" t="str">
        <f aca="false">IF(VALUE(MONTH(C536))&lt;10,YEAR(C536)&amp;"-0"&amp;MONTH(C536),YEAR(C536)&amp;"-"&amp;MONTH(C536))</f>
        <v>1900-01</v>
      </c>
      <c r="BR536" s="153" t="n">
        <f aca="false">J536</f>
        <v>0</v>
      </c>
      <c r="BS536" s="153" t="n">
        <f aca="false">IF(ISNUMBER(FIND("-", BR536)), LEFT(BR536, FIND("-", BR536) - 1), BR536)</f>
        <v>0</v>
      </c>
      <c r="BT536" s="189" t="n">
        <f aca="false">L536-M536+O536</f>
        <v>0</v>
      </c>
    </row>
    <row r="537" s="153" customFormat="true" ht="15" hidden="false" customHeight="false" outlineLevel="0" collapsed="false">
      <c r="AN537" s="153" t="e">
        <v>#NAME?</v>
      </c>
      <c r="AO537" s="153" t="e">
        <f aca="false">_xlfn.xlookup(AN537,A:A,F:F)</f>
        <v>#NAME?</v>
      </c>
      <c r="AP537" s="153" t="e">
        <f aca="false">_xlfn.xlookup(AN537,A:A,J:J)</f>
        <v>#NAME?</v>
      </c>
      <c r="AQ537" s="153" t="e">
        <f aca="false">_xlfn.xlookup(AN537,A:A,N:N)+_xlfn.xlookup(AN537,A:A,O:O)</f>
        <v>#NAME?</v>
      </c>
      <c r="AR537" s="150" t="e">
        <f aca="false">_xlfn.xlookup(AN537,A:A,AH:AH)</f>
        <v>#NAME?</v>
      </c>
      <c r="AS537" s="150" t="e">
        <f aca="false">_xlfn.xlookup(AN537,A:A,S:S)</f>
        <v>#NAME?</v>
      </c>
      <c r="AT537" s="150" t="e">
        <f aca="false">_xlfn.xlookup(AN537,A:A,AE:AE)</f>
        <v>#NAME?</v>
      </c>
      <c r="AU537" s="150" t="e">
        <f aca="false">_xlfn.xlookup(AN537,A:A,AF:AF)</f>
        <v>#NAME?</v>
      </c>
      <c r="AX537" s="146"/>
      <c r="AY537" s="150"/>
      <c r="AZ537" s="150"/>
      <c r="BA537" s="150"/>
      <c r="BB537" s="146"/>
      <c r="BC537" s="146"/>
      <c r="BD537" s="151"/>
      <c r="BE537" s="146"/>
      <c r="BF537" s="146"/>
      <c r="BH537" s="152" t="e">
        <f aca="false">_xlfn.xlookup(BG537,A:A,F:F)</f>
        <v>#NAME?</v>
      </c>
      <c r="BI537" s="153" t="e">
        <f aca="false">_xlfn.xlookup(BG537,A:A,J:J)</f>
        <v>#NAME?</v>
      </c>
      <c r="BJ537" s="153" t="e">
        <f aca="false">_xlfn.xlookup(BG537,A:A,N:N)+_xlfn.xlookup(BG537,A:A,O:O)</f>
        <v>#NAME?</v>
      </c>
      <c r="BK537" s="153" t="e">
        <f aca="false">_xlfn.xlookup(BG537,A486:A1480,AB486:AB1480)</f>
        <v>#NAME?</v>
      </c>
      <c r="BN537" s="146"/>
      <c r="BO537" s="150"/>
      <c r="BQ537" s="153" t="str">
        <f aca="false">IF(VALUE(MONTH(C537))&lt;10,YEAR(C537)&amp;"-0"&amp;MONTH(C537),YEAR(C537)&amp;"-"&amp;MONTH(C537))</f>
        <v>1900-01</v>
      </c>
      <c r="BR537" s="153" t="n">
        <f aca="false">J537</f>
        <v>0</v>
      </c>
      <c r="BS537" s="153" t="n">
        <f aca="false">IF(ISNUMBER(FIND("-", BR537)), LEFT(BR537, FIND("-", BR537) - 1), BR537)</f>
        <v>0</v>
      </c>
      <c r="BT537" s="189" t="n">
        <f aca="false">L537-M537+O537</f>
        <v>0</v>
      </c>
    </row>
    <row r="538" s="153" customFormat="true" ht="15" hidden="false" customHeight="false" outlineLevel="0" collapsed="false">
      <c r="AN538" s="153" t="e">
        <v>#NAME?</v>
      </c>
      <c r="AO538" s="153" t="e">
        <f aca="false">_xlfn.xlookup(AN538,A:A,F:F)</f>
        <v>#NAME?</v>
      </c>
      <c r="AP538" s="153" t="e">
        <f aca="false">_xlfn.xlookup(AN538,A:A,J:J)</f>
        <v>#NAME?</v>
      </c>
      <c r="AQ538" s="153" t="e">
        <f aca="false">_xlfn.xlookup(AN538,A:A,N:N)+_xlfn.xlookup(AN538,A:A,O:O)</f>
        <v>#NAME?</v>
      </c>
      <c r="AR538" s="150" t="e">
        <f aca="false">_xlfn.xlookup(AN538,A:A,AH:AH)</f>
        <v>#NAME?</v>
      </c>
      <c r="AS538" s="150" t="e">
        <f aca="false">_xlfn.xlookup(AN538,A:A,S:S)</f>
        <v>#NAME?</v>
      </c>
      <c r="AT538" s="150" t="e">
        <f aca="false">_xlfn.xlookup(AN538,A:A,AE:AE)</f>
        <v>#NAME?</v>
      </c>
      <c r="AU538" s="150" t="e">
        <f aca="false">_xlfn.xlookup(AN538,A:A,AF:AF)</f>
        <v>#NAME?</v>
      </c>
      <c r="AX538" s="146"/>
      <c r="AY538" s="150"/>
      <c r="AZ538" s="150"/>
      <c r="BA538" s="150"/>
      <c r="BB538" s="146"/>
      <c r="BC538" s="146"/>
      <c r="BD538" s="151"/>
      <c r="BE538" s="146"/>
      <c r="BF538" s="146"/>
      <c r="BH538" s="152" t="e">
        <f aca="false">_xlfn.xlookup(BG538,A:A,F:F)</f>
        <v>#NAME?</v>
      </c>
      <c r="BI538" s="153" t="e">
        <f aca="false">_xlfn.xlookup(BG538,A:A,J:J)</f>
        <v>#NAME?</v>
      </c>
      <c r="BJ538" s="153" t="e">
        <f aca="false">_xlfn.xlookup(BG538,A:A,N:N)+_xlfn.xlookup(BG538,A:A,O:O)</f>
        <v>#NAME?</v>
      </c>
      <c r="BK538" s="153" t="e">
        <f aca="false">_xlfn.xlookup(BG538,A487:A1481,AB487:AB1481)</f>
        <v>#NAME?</v>
      </c>
      <c r="BN538" s="146"/>
      <c r="BO538" s="150"/>
      <c r="BQ538" s="153" t="str">
        <f aca="false">IF(VALUE(MONTH(C538))&lt;10,YEAR(C538)&amp;"-0"&amp;MONTH(C538),YEAR(C538)&amp;"-"&amp;MONTH(C538))</f>
        <v>1900-01</v>
      </c>
      <c r="BR538" s="153" t="n">
        <f aca="false">J538</f>
        <v>0</v>
      </c>
      <c r="BS538" s="153" t="n">
        <f aca="false">IF(ISNUMBER(FIND("-", BR538)), LEFT(BR538, FIND("-", BR538) - 1), BR538)</f>
        <v>0</v>
      </c>
      <c r="BT538" s="189" t="n">
        <f aca="false">L538-M538+O538</f>
        <v>0</v>
      </c>
    </row>
    <row r="539" s="153" customFormat="true" ht="15" hidden="false" customHeight="false" outlineLevel="0" collapsed="false">
      <c r="AN539" s="153" t="e">
        <v>#NAME?</v>
      </c>
      <c r="AO539" s="153" t="e">
        <f aca="false">_xlfn.xlookup(AN539,A:A,F:F)</f>
        <v>#NAME?</v>
      </c>
      <c r="AP539" s="153" t="e">
        <f aca="false">_xlfn.xlookup(AN539,A:A,J:J)</f>
        <v>#NAME?</v>
      </c>
      <c r="AQ539" s="153" t="e">
        <f aca="false">_xlfn.xlookup(AN539,A:A,N:N)+_xlfn.xlookup(AN539,A:A,O:O)</f>
        <v>#NAME?</v>
      </c>
      <c r="AR539" s="150" t="e">
        <f aca="false">_xlfn.xlookup(AN539,A:A,AH:AH)</f>
        <v>#NAME?</v>
      </c>
      <c r="AS539" s="150" t="e">
        <f aca="false">_xlfn.xlookup(AN539,A:A,S:S)</f>
        <v>#NAME?</v>
      </c>
      <c r="AT539" s="150" t="e">
        <f aca="false">_xlfn.xlookup(AN539,A:A,AE:AE)</f>
        <v>#NAME?</v>
      </c>
      <c r="AU539" s="150" t="e">
        <f aca="false">_xlfn.xlookup(AN539,A:A,AF:AF)</f>
        <v>#NAME?</v>
      </c>
      <c r="AX539" s="146"/>
      <c r="AY539" s="150"/>
      <c r="AZ539" s="150"/>
      <c r="BA539" s="150"/>
      <c r="BB539" s="146"/>
      <c r="BC539" s="146"/>
      <c r="BD539" s="151"/>
      <c r="BE539" s="146"/>
      <c r="BF539" s="146"/>
      <c r="BH539" s="152" t="e">
        <f aca="false">_xlfn.xlookup(BG539,A:A,F:F)</f>
        <v>#NAME?</v>
      </c>
      <c r="BI539" s="153" t="e">
        <f aca="false">_xlfn.xlookup(BG539,A:A,J:J)</f>
        <v>#NAME?</v>
      </c>
      <c r="BJ539" s="153" t="e">
        <f aca="false">_xlfn.xlookup(BG539,A:A,N:N)+_xlfn.xlookup(BG539,A:A,O:O)</f>
        <v>#NAME?</v>
      </c>
      <c r="BK539" s="153" t="e">
        <f aca="false">_xlfn.xlookup(BG539,A488:A1482,AB488:AB1482)</f>
        <v>#NAME?</v>
      </c>
      <c r="BN539" s="146"/>
      <c r="BO539" s="150"/>
      <c r="BQ539" s="153" t="str">
        <f aca="false">IF(VALUE(MONTH(C539))&lt;10,YEAR(C539)&amp;"-0"&amp;MONTH(C539),YEAR(C539)&amp;"-"&amp;MONTH(C539))</f>
        <v>1900-01</v>
      </c>
      <c r="BR539" s="153" t="n">
        <f aca="false">J539</f>
        <v>0</v>
      </c>
      <c r="BS539" s="153" t="n">
        <f aca="false">IF(ISNUMBER(FIND("-", BR539)), LEFT(BR539, FIND("-", BR539) - 1), BR539)</f>
        <v>0</v>
      </c>
      <c r="BT539" s="189" t="n">
        <f aca="false">L539-M539+O539</f>
        <v>0</v>
      </c>
    </row>
    <row r="540" s="153" customFormat="true" ht="15" hidden="false" customHeight="false" outlineLevel="0" collapsed="false">
      <c r="AN540" s="153" t="e">
        <v>#NAME?</v>
      </c>
      <c r="AO540" s="153" t="e">
        <f aca="false">_xlfn.xlookup(AN540,A:A,F:F)</f>
        <v>#NAME?</v>
      </c>
      <c r="AP540" s="153" t="e">
        <f aca="false">_xlfn.xlookup(AN540,A:A,J:J)</f>
        <v>#NAME?</v>
      </c>
      <c r="AQ540" s="153" t="e">
        <f aca="false">_xlfn.xlookup(AN540,A:A,N:N)+_xlfn.xlookup(AN540,A:A,O:O)</f>
        <v>#NAME?</v>
      </c>
      <c r="AR540" s="150" t="e">
        <f aca="false">_xlfn.xlookup(AN540,A:A,AH:AH)</f>
        <v>#NAME?</v>
      </c>
      <c r="AS540" s="150" t="e">
        <f aca="false">_xlfn.xlookup(AN540,A:A,S:S)</f>
        <v>#NAME?</v>
      </c>
      <c r="AT540" s="150" t="e">
        <f aca="false">_xlfn.xlookup(AN540,A:A,AE:AE)</f>
        <v>#NAME?</v>
      </c>
      <c r="AU540" s="150" t="e">
        <f aca="false">_xlfn.xlookup(AN540,A:A,AF:AF)</f>
        <v>#NAME?</v>
      </c>
      <c r="AX540" s="146"/>
      <c r="AY540" s="150"/>
      <c r="AZ540" s="150"/>
      <c r="BA540" s="150"/>
      <c r="BB540" s="146"/>
      <c r="BC540" s="146"/>
      <c r="BD540" s="151"/>
      <c r="BE540" s="146"/>
      <c r="BF540" s="146"/>
      <c r="BH540" s="152" t="e">
        <f aca="false">_xlfn.xlookup(BG540,A:A,F:F)</f>
        <v>#NAME?</v>
      </c>
      <c r="BI540" s="153" t="e">
        <f aca="false">_xlfn.xlookup(BG540,A:A,J:J)</f>
        <v>#NAME?</v>
      </c>
      <c r="BJ540" s="153" t="e">
        <f aca="false">_xlfn.xlookup(BG540,A:A,N:N)+_xlfn.xlookup(BG540,A:A,O:O)</f>
        <v>#NAME?</v>
      </c>
      <c r="BK540" s="153" t="e">
        <f aca="false">_xlfn.xlookup(BG540,A489:A1483,AB489:AB1483)</f>
        <v>#NAME?</v>
      </c>
      <c r="BN540" s="146"/>
      <c r="BO540" s="150"/>
      <c r="BQ540" s="153" t="str">
        <f aca="false">IF(VALUE(MONTH(C540))&lt;10,YEAR(C540)&amp;"-0"&amp;MONTH(C540),YEAR(C540)&amp;"-"&amp;MONTH(C540))</f>
        <v>1900-01</v>
      </c>
      <c r="BR540" s="153" t="n">
        <f aca="false">J540</f>
        <v>0</v>
      </c>
      <c r="BS540" s="153" t="n">
        <f aca="false">IF(ISNUMBER(FIND("-", BR540)), LEFT(BR540, FIND("-", BR540) - 1), BR540)</f>
        <v>0</v>
      </c>
      <c r="BT540" s="189" t="n">
        <f aca="false">L540-M540+O540</f>
        <v>0</v>
      </c>
    </row>
    <row r="541" s="153" customFormat="true" ht="15" hidden="false" customHeight="false" outlineLevel="0" collapsed="false">
      <c r="AN541" s="153" t="e">
        <v>#NAME?</v>
      </c>
      <c r="AO541" s="153" t="e">
        <f aca="false">_xlfn.xlookup(AN541,A:A,F:F)</f>
        <v>#NAME?</v>
      </c>
      <c r="AP541" s="153" t="e">
        <f aca="false">_xlfn.xlookup(AN541,A:A,J:J)</f>
        <v>#NAME?</v>
      </c>
      <c r="AQ541" s="153" t="e">
        <f aca="false">_xlfn.xlookup(AN541,A:A,N:N)+_xlfn.xlookup(AN541,A:A,O:O)</f>
        <v>#NAME?</v>
      </c>
      <c r="AR541" s="150" t="e">
        <f aca="false">_xlfn.xlookup(AN541,A:A,AH:AH)</f>
        <v>#NAME?</v>
      </c>
      <c r="AS541" s="150" t="e">
        <f aca="false">_xlfn.xlookup(AN541,A:A,S:S)</f>
        <v>#NAME?</v>
      </c>
      <c r="AT541" s="150" t="e">
        <f aca="false">_xlfn.xlookup(AN541,A:A,AE:AE)</f>
        <v>#NAME?</v>
      </c>
      <c r="AU541" s="150" t="e">
        <f aca="false">_xlfn.xlookup(AN541,A:A,AF:AF)</f>
        <v>#NAME?</v>
      </c>
      <c r="AX541" s="146"/>
      <c r="AY541" s="150"/>
      <c r="AZ541" s="150"/>
      <c r="BA541" s="150"/>
      <c r="BB541" s="146"/>
      <c r="BC541" s="146"/>
      <c r="BD541" s="151"/>
      <c r="BE541" s="146"/>
      <c r="BF541" s="146"/>
      <c r="BH541" s="152" t="e">
        <f aca="false">_xlfn.xlookup(BG541,A:A,F:F)</f>
        <v>#NAME?</v>
      </c>
      <c r="BI541" s="153" t="e">
        <f aca="false">_xlfn.xlookup(BG541,A:A,J:J)</f>
        <v>#NAME?</v>
      </c>
      <c r="BJ541" s="153" t="e">
        <f aca="false">_xlfn.xlookup(BG541,A:A,N:N)+_xlfn.xlookup(BG541,A:A,O:O)</f>
        <v>#NAME?</v>
      </c>
      <c r="BK541" s="153" t="e">
        <f aca="false">_xlfn.xlookup(BG541,A490:A1484,AB490:AB1484)</f>
        <v>#NAME?</v>
      </c>
      <c r="BN541" s="146"/>
      <c r="BO541" s="150"/>
      <c r="BQ541" s="153" t="str">
        <f aca="false">IF(VALUE(MONTH(C541))&lt;10,YEAR(C541)&amp;"-0"&amp;MONTH(C541),YEAR(C541)&amp;"-"&amp;MONTH(C541))</f>
        <v>1900-01</v>
      </c>
      <c r="BR541" s="153" t="n">
        <f aca="false">J541</f>
        <v>0</v>
      </c>
      <c r="BS541" s="153" t="n">
        <f aca="false">IF(ISNUMBER(FIND("-", BR541)), LEFT(BR541, FIND("-", BR541) - 1), BR541)</f>
        <v>0</v>
      </c>
      <c r="BT541" s="189" t="n">
        <f aca="false">L541-M541+O541</f>
        <v>0</v>
      </c>
    </row>
    <row r="542" s="153" customFormat="true" ht="15" hidden="false" customHeight="false" outlineLevel="0" collapsed="false">
      <c r="AN542" s="153" t="e">
        <v>#NAME?</v>
      </c>
      <c r="AO542" s="153" t="e">
        <f aca="false">_xlfn.xlookup(AN542,A:A,F:F)</f>
        <v>#NAME?</v>
      </c>
      <c r="AP542" s="153" t="e">
        <f aca="false">_xlfn.xlookup(AN542,A:A,J:J)</f>
        <v>#NAME?</v>
      </c>
      <c r="AQ542" s="153" t="e">
        <f aca="false">_xlfn.xlookup(AN542,A:A,N:N)+_xlfn.xlookup(AN542,A:A,O:O)</f>
        <v>#NAME?</v>
      </c>
      <c r="AR542" s="150" t="e">
        <f aca="false">_xlfn.xlookup(AN542,A:A,AH:AH)</f>
        <v>#NAME?</v>
      </c>
      <c r="AS542" s="150" t="e">
        <f aca="false">_xlfn.xlookup(AN542,A:A,S:S)</f>
        <v>#NAME?</v>
      </c>
      <c r="AT542" s="150" t="e">
        <f aca="false">_xlfn.xlookup(AN542,A:A,AE:AE)</f>
        <v>#NAME?</v>
      </c>
      <c r="AU542" s="150" t="e">
        <f aca="false">_xlfn.xlookup(AN542,A:A,AF:AF)</f>
        <v>#NAME?</v>
      </c>
      <c r="AX542" s="146"/>
      <c r="AY542" s="150"/>
      <c r="AZ542" s="150"/>
      <c r="BA542" s="150"/>
      <c r="BB542" s="146"/>
      <c r="BC542" s="146"/>
      <c r="BD542" s="151"/>
      <c r="BE542" s="146"/>
      <c r="BF542" s="146"/>
      <c r="BH542" s="152" t="e">
        <f aca="false">_xlfn.xlookup(BG542,A:A,F:F)</f>
        <v>#NAME?</v>
      </c>
      <c r="BI542" s="153" t="e">
        <f aca="false">_xlfn.xlookup(BG542,A:A,J:J)</f>
        <v>#NAME?</v>
      </c>
      <c r="BJ542" s="153" t="e">
        <f aca="false">_xlfn.xlookup(BG542,A:A,N:N)+_xlfn.xlookup(BG542,A:A,O:O)</f>
        <v>#NAME?</v>
      </c>
      <c r="BK542" s="153" t="e">
        <f aca="false">_xlfn.xlookup(BG542,A491:A1485,AB491:AB1485)</f>
        <v>#NAME?</v>
      </c>
      <c r="BN542" s="146"/>
      <c r="BO542" s="150"/>
      <c r="BQ542" s="153" t="str">
        <f aca="false">IF(VALUE(MONTH(C542))&lt;10,YEAR(C542)&amp;"-0"&amp;MONTH(C542),YEAR(C542)&amp;"-"&amp;MONTH(C542))</f>
        <v>1900-01</v>
      </c>
      <c r="BR542" s="153" t="n">
        <f aca="false">J542</f>
        <v>0</v>
      </c>
      <c r="BS542" s="153" t="n">
        <f aca="false">IF(ISNUMBER(FIND("-", BR542)), LEFT(BR542, FIND("-", BR542) - 1), BR542)</f>
        <v>0</v>
      </c>
      <c r="BT542" s="189" t="n">
        <f aca="false">L542-M542+O542</f>
        <v>0</v>
      </c>
    </row>
    <row r="543" s="153" customFormat="true" ht="15" hidden="false" customHeight="false" outlineLevel="0" collapsed="false">
      <c r="AN543" s="153" t="e">
        <v>#NAME?</v>
      </c>
      <c r="AO543" s="153" t="e">
        <f aca="false">_xlfn.xlookup(AN543,A:A,F:F)</f>
        <v>#NAME?</v>
      </c>
      <c r="AP543" s="153" t="e">
        <f aca="false">_xlfn.xlookup(AN543,A:A,J:J)</f>
        <v>#NAME?</v>
      </c>
      <c r="AQ543" s="153" t="e">
        <f aca="false">_xlfn.xlookup(AN543,A:A,N:N)+_xlfn.xlookup(AN543,A:A,O:O)</f>
        <v>#NAME?</v>
      </c>
      <c r="AR543" s="150" t="e">
        <f aca="false">_xlfn.xlookup(AN543,A:A,AH:AH)</f>
        <v>#NAME?</v>
      </c>
      <c r="AS543" s="150" t="e">
        <f aca="false">_xlfn.xlookup(AN543,A:A,S:S)</f>
        <v>#NAME?</v>
      </c>
      <c r="AT543" s="150" t="e">
        <f aca="false">_xlfn.xlookup(AN543,A:A,AE:AE)</f>
        <v>#NAME?</v>
      </c>
      <c r="AU543" s="150" t="e">
        <f aca="false">_xlfn.xlookup(AN543,A:A,AF:AF)</f>
        <v>#NAME?</v>
      </c>
      <c r="AX543" s="146"/>
      <c r="AY543" s="150"/>
      <c r="AZ543" s="150"/>
      <c r="BA543" s="150"/>
      <c r="BB543" s="146"/>
      <c r="BC543" s="146"/>
      <c r="BD543" s="151"/>
      <c r="BE543" s="146"/>
      <c r="BF543" s="146"/>
      <c r="BH543" s="152" t="e">
        <f aca="false">_xlfn.xlookup(BG543,A:A,F:F)</f>
        <v>#NAME?</v>
      </c>
      <c r="BI543" s="153" t="e">
        <f aca="false">_xlfn.xlookup(BG543,A:A,J:J)</f>
        <v>#NAME?</v>
      </c>
      <c r="BJ543" s="153" t="e">
        <f aca="false">_xlfn.xlookup(BG543,A:A,N:N)+_xlfn.xlookup(BG543,A:A,O:O)</f>
        <v>#NAME?</v>
      </c>
      <c r="BK543" s="153" t="e">
        <f aca="false">_xlfn.xlookup(BG543,A492:A1486,AB492:AB1486)</f>
        <v>#NAME?</v>
      </c>
      <c r="BN543" s="146"/>
      <c r="BO543" s="150"/>
      <c r="BQ543" s="153" t="str">
        <f aca="false">IF(VALUE(MONTH(C543))&lt;10,YEAR(C543)&amp;"-0"&amp;MONTH(C543),YEAR(C543)&amp;"-"&amp;MONTH(C543))</f>
        <v>1900-01</v>
      </c>
      <c r="BR543" s="153" t="n">
        <f aca="false">J543</f>
        <v>0</v>
      </c>
      <c r="BS543" s="153" t="n">
        <f aca="false">IF(ISNUMBER(FIND("-", BR543)), LEFT(BR543, FIND("-", BR543) - 1), BR543)</f>
        <v>0</v>
      </c>
      <c r="BT543" s="189" t="n">
        <f aca="false">L543-M543+O543</f>
        <v>0</v>
      </c>
    </row>
    <row r="544" s="153" customFormat="true" ht="15" hidden="false" customHeight="false" outlineLevel="0" collapsed="false">
      <c r="AN544" s="153" t="e">
        <v>#NAME?</v>
      </c>
      <c r="AO544" s="153" t="e">
        <f aca="false">_xlfn.xlookup(AN544,A:A,F:F)</f>
        <v>#NAME?</v>
      </c>
      <c r="AP544" s="153" t="e">
        <f aca="false">_xlfn.xlookup(AN544,A:A,J:J)</f>
        <v>#NAME?</v>
      </c>
      <c r="AQ544" s="153" t="e">
        <f aca="false">_xlfn.xlookup(AN544,A:A,N:N)+_xlfn.xlookup(AN544,A:A,O:O)</f>
        <v>#NAME?</v>
      </c>
      <c r="AR544" s="150" t="e">
        <f aca="false">_xlfn.xlookup(AN544,A:A,AH:AH)</f>
        <v>#NAME?</v>
      </c>
      <c r="AS544" s="150" t="e">
        <f aca="false">_xlfn.xlookup(AN544,A:A,S:S)</f>
        <v>#NAME?</v>
      </c>
      <c r="AT544" s="150" t="e">
        <f aca="false">_xlfn.xlookup(AN544,A:A,AE:AE)</f>
        <v>#NAME?</v>
      </c>
      <c r="AU544" s="150" t="e">
        <f aca="false">_xlfn.xlookup(AN544,A:A,AF:AF)</f>
        <v>#NAME?</v>
      </c>
      <c r="AX544" s="146"/>
      <c r="AY544" s="150"/>
      <c r="AZ544" s="150"/>
      <c r="BA544" s="150"/>
      <c r="BB544" s="146"/>
      <c r="BC544" s="146"/>
      <c r="BD544" s="151"/>
      <c r="BE544" s="146"/>
      <c r="BF544" s="146"/>
      <c r="BH544" s="152" t="e">
        <f aca="false">_xlfn.xlookup(BG544,A:A,F:F)</f>
        <v>#NAME?</v>
      </c>
      <c r="BI544" s="153" t="e">
        <f aca="false">_xlfn.xlookup(BG544,A:A,J:J)</f>
        <v>#NAME?</v>
      </c>
      <c r="BJ544" s="153" t="e">
        <f aca="false">_xlfn.xlookup(BG544,A:A,N:N)+_xlfn.xlookup(BG544,A:A,O:O)</f>
        <v>#NAME?</v>
      </c>
      <c r="BK544" s="153" t="e">
        <f aca="false">_xlfn.xlookup(BG544,A493:A1487,AB493:AB1487)</f>
        <v>#NAME?</v>
      </c>
      <c r="BN544" s="146"/>
      <c r="BO544" s="150"/>
      <c r="BQ544" s="153" t="str">
        <f aca="false">IF(VALUE(MONTH(C544))&lt;10,YEAR(C544)&amp;"-0"&amp;MONTH(C544),YEAR(C544)&amp;"-"&amp;MONTH(C544))</f>
        <v>1900-01</v>
      </c>
      <c r="BR544" s="153" t="n">
        <f aca="false">J544</f>
        <v>0</v>
      </c>
      <c r="BS544" s="153" t="n">
        <f aca="false">IF(ISNUMBER(FIND("-", BR544)), LEFT(BR544, FIND("-", BR544) - 1), BR544)</f>
        <v>0</v>
      </c>
      <c r="BT544" s="189" t="n">
        <f aca="false">L544-M544+O544</f>
        <v>0</v>
      </c>
    </row>
    <row r="545" s="153" customFormat="true" ht="15" hidden="false" customHeight="false" outlineLevel="0" collapsed="false">
      <c r="AN545" s="153" t="e">
        <v>#NAME?</v>
      </c>
      <c r="AO545" s="153" t="e">
        <f aca="false">_xlfn.xlookup(AN545,A:A,F:F)</f>
        <v>#NAME?</v>
      </c>
      <c r="AP545" s="153" t="e">
        <f aca="false">_xlfn.xlookup(AN545,A:A,J:J)</f>
        <v>#NAME?</v>
      </c>
      <c r="AQ545" s="153" t="e">
        <f aca="false">_xlfn.xlookup(AN545,A:A,N:N)+_xlfn.xlookup(AN545,A:A,O:O)</f>
        <v>#NAME?</v>
      </c>
      <c r="AR545" s="150" t="e">
        <f aca="false">_xlfn.xlookup(AN545,A:A,AH:AH)</f>
        <v>#NAME?</v>
      </c>
      <c r="AS545" s="150" t="e">
        <f aca="false">_xlfn.xlookup(AN545,A:A,S:S)</f>
        <v>#NAME?</v>
      </c>
      <c r="AT545" s="150" t="e">
        <f aca="false">_xlfn.xlookup(AN545,A:A,AE:AE)</f>
        <v>#NAME?</v>
      </c>
      <c r="AU545" s="150" t="e">
        <f aca="false">_xlfn.xlookup(AN545,A:A,AF:AF)</f>
        <v>#NAME?</v>
      </c>
      <c r="AX545" s="146"/>
      <c r="AY545" s="150"/>
      <c r="AZ545" s="150"/>
      <c r="BA545" s="150"/>
      <c r="BB545" s="146"/>
      <c r="BC545" s="146"/>
      <c r="BD545" s="151"/>
      <c r="BE545" s="146"/>
      <c r="BF545" s="146"/>
      <c r="BH545" s="152" t="e">
        <f aca="false">_xlfn.xlookup(BG545,A:A,F:F)</f>
        <v>#NAME?</v>
      </c>
      <c r="BI545" s="153" t="e">
        <f aca="false">_xlfn.xlookup(BG545,A:A,J:J)</f>
        <v>#NAME?</v>
      </c>
      <c r="BJ545" s="153" t="e">
        <f aca="false">_xlfn.xlookup(BG545,A:A,N:N)+_xlfn.xlookup(BG545,A:A,O:O)</f>
        <v>#NAME?</v>
      </c>
      <c r="BK545" s="153" t="e">
        <f aca="false">_xlfn.xlookup(BG545,A494:A1488,AB494:AB1488)</f>
        <v>#NAME?</v>
      </c>
      <c r="BN545" s="146"/>
      <c r="BO545" s="150"/>
      <c r="BQ545" s="153" t="str">
        <f aca="false">IF(VALUE(MONTH(C545))&lt;10,YEAR(C545)&amp;"-0"&amp;MONTH(C545),YEAR(C545)&amp;"-"&amp;MONTH(C545))</f>
        <v>1900-01</v>
      </c>
      <c r="BR545" s="153" t="n">
        <f aca="false">J545</f>
        <v>0</v>
      </c>
      <c r="BS545" s="153" t="n">
        <f aca="false">IF(ISNUMBER(FIND("-", BR545)), LEFT(BR545, FIND("-", BR545) - 1), BR545)</f>
        <v>0</v>
      </c>
      <c r="BT545" s="189" t="n">
        <f aca="false">L545-M545+O545</f>
        <v>0</v>
      </c>
    </row>
    <row r="546" s="153" customFormat="true" ht="15" hidden="false" customHeight="false" outlineLevel="0" collapsed="false">
      <c r="AN546" s="153" t="e">
        <v>#NAME?</v>
      </c>
      <c r="AO546" s="153" t="e">
        <f aca="false">_xlfn.xlookup(AN546,A:A,F:F)</f>
        <v>#NAME?</v>
      </c>
      <c r="AP546" s="153" t="e">
        <f aca="false">_xlfn.xlookup(AN546,A:A,J:J)</f>
        <v>#NAME?</v>
      </c>
      <c r="AQ546" s="153" t="e">
        <f aca="false">_xlfn.xlookup(AN546,A:A,N:N)+_xlfn.xlookup(AN546,A:A,O:O)</f>
        <v>#NAME?</v>
      </c>
      <c r="AR546" s="150" t="e">
        <f aca="false">_xlfn.xlookup(AN546,A:A,AH:AH)</f>
        <v>#NAME?</v>
      </c>
      <c r="AS546" s="150" t="e">
        <f aca="false">_xlfn.xlookup(AN546,A:A,S:S)</f>
        <v>#NAME?</v>
      </c>
      <c r="AT546" s="150" t="e">
        <f aca="false">_xlfn.xlookup(AN546,A:A,AE:AE)</f>
        <v>#NAME?</v>
      </c>
      <c r="AU546" s="150" t="e">
        <f aca="false">_xlfn.xlookup(AN546,A:A,AF:AF)</f>
        <v>#NAME?</v>
      </c>
      <c r="AX546" s="146"/>
      <c r="AY546" s="150"/>
      <c r="AZ546" s="150"/>
      <c r="BA546" s="150"/>
      <c r="BB546" s="146"/>
      <c r="BC546" s="146"/>
      <c r="BD546" s="151"/>
      <c r="BE546" s="146"/>
      <c r="BF546" s="146"/>
      <c r="BH546" s="152" t="e">
        <f aca="false">_xlfn.xlookup(BG546,A:A,F:F)</f>
        <v>#NAME?</v>
      </c>
      <c r="BI546" s="153" t="e">
        <f aca="false">_xlfn.xlookup(BG546,A:A,J:J)</f>
        <v>#NAME?</v>
      </c>
      <c r="BJ546" s="153" t="e">
        <f aca="false">_xlfn.xlookup(BG546,A:A,N:N)+_xlfn.xlookup(BG546,A:A,O:O)</f>
        <v>#NAME?</v>
      </c>
      <c r="BK546" s="153" t="e">
        <f aca="false">_xlfn.xlookup(BG546,A495:A1489,AB495:AB1489)</f>
        <v>#NAME?</v>
      </c>
      <c r="BN546" s="146"/>
      <c r="BO546" s="150"/>
      <c r="BQ546" s="153" t="str">
        <f aca="false">IF(VALUE(MONTH(C546))&lt;10,YEAR(C546)&amp;"-0"&amp;MONTH(C546),YEAR(C546)&amp;"-"&amp;MONTH(C546))</f>
        <v>1900-01</v>
      </c>
      <c r="BR546" s="153" t="n">
        <f aca="false">J546</f>
        <v>0</v>
      </c>
      <c r="BS546" s="153" t="n">
        <f aca="false">IF(ISNUMBER(FIND("-", BR546)), LEFT(BR546, FIND("-", BR546) - 1), BR546)</f>
        <v>0</v>
      </c>
      <c r="BT546" s="189" t="n">
        <f aca="false">L546-M546+O546</f>
        <v>0</v>
      </c>
    </row>
    <row r="547" s="153" customFormat="true" ht="15" hidden="false" customHeight="false" outlineLevel="0" collapsed="false">
      <c r="AN547" s="153" t="e">
        <v>#NAME?</v>
      </c>
      <c r="AO547" s="153" t="e">
        <f aca="false">_xlfn.xlookup(AN547,A:A,F:F)</f>
        <v>#NAME?</v>
      </c>
      <c r="AP547" s="153" t="e">
        <f aca="false">_xlfn.xlookup(AN547,A:A,J:J)</f>
        <v>#NAME?</v>
      </c>
      <c r="AQ547" s="153" t="e">
        <f aca="false">_xlfn.xlookup(AN547,A:A,N:N)+_xlfn.xlookup(AN547,A:A,O:O)</f>
        <v>#NAME?</v>
      </c>
      <c r="AR547" s="150" t="e">
        <f aca="false">_xlfn.xlookup(AN547,A:A,AH:AH)</f>
        <v>#NAME?</v>
      </c>
      <c r="AS547" s="150" t="e">
        <f aca="false">_xlfn.xlookup(AN547,A:A,S:S)</f>
        <v>#NAME?</v>
      </c>
      <c r="AT547" s="150" t="e">
        <f aca="false">_xlfn.xlookup(AN547,A:A,AE:AE)</f>
        <v>#NAME?</v>
      </c>
      <c r="AU547" s="150" t="e">
        <f aca="false">_xlfn.xlookup(AN547,A:A,AF:AF)</f>
        <v>#NAME?</v>
      </c>
      <c r="AX547" s="146"/>
      <c r="AY547" s="150"/>
      <c r="AZ547" s="150"/>
      <c r="BA547" s="150"/>
      <c r="BB547" s="146"/>
      <c r="BC547" s="146"/>
      <c r="BD547" s="151"/>
      <c r="BE547" s="146"/>
      <c r="BF547" s="146"/>
      <c r="BH547" s="152" t="e">
        <f aca="false">_xlfn.xlookup(BG547,A:A,F:F)</f>
        <v>#NAME?</v>
      </c>
      <c r="BI547" s="153" t="e">
        <f aca="false">_xlfn.xlookup(BG547,A:A,J:J)</f>
        <v>#NAME?</v>
      </c>
      <c r="BJ547" s="153" t="e">
        <f aca="false">_xlfn.xlookup(BG547,A:A,N:N)+_xlfn.xlookup(BG547,A:A,O:O)</f>
        <v>#NAME?</v>
      </c>
      <c r="BK547" s="153" t="e">
        <f aca="false">_xlfn.xlookup(BG547,A496:A1490,AB496:AB1490)</f>
        <v>#NAME?</v>
      </c>
      <c r="BN547" s="146"/>
      <c r="BO547" s="150"/>
      <c r="BQ547" s="153" t="str">
        <f aca="false">IF(VALUE(MONTH(C547))&lt;10,YEAR(C547)&amp;"-0"&amp;MONTH(C547),YEAR(C547)&amp;"-"&amp;MONTH(C547))</f>
        <v>1900-01</v>
      </c>
      <c r="BR547" s="153" t="n">
        <f aca="false">J547</f>
        <v>0</v>
      </c>
      <c r="BS547" s="153" t="n">
        <f aca="false">IF(ISNUMBER(FIND("-", BR547)), LEFT(BR547, FIND("-", BR547) - 1), BR547)</f>
        <v>0</v>
      </c>
      <c r="BT547" s="189" t="n">
        <f aca="false">L547-M547+O547</f>
        <v>0</v>
      </c>
    </row>
    <row r="548" s="153" customFormat="true" ht="15" hidden="false" customHeight="false" outlineLevel="0" collapsed="false">
      <c r="AN548" s="153" t="e">
        <v>#NAME?</v>
      </c>
      <c r="AO548" s="153" t="e">
        <f aca="false">_xlfn.xlookup(AN548,A:A,F:F)</f>
        <v>#NAME?</v>
      </c>
      <c r="AP548" s="153" t="e">
        <f aca="false">_xlfn.xlookup(AN548,A:A,J:J)</f>
        <v>#NAME?</v>
      </c>
      <c r="AQ548" s="153" t="e">
        <f aca="false">_xlfn.xlookup(AN548,A:A,N:N)+_xlfn.xlookup(AN548,A:A,O:O)</f>
        <v>#NAME?</v>
      </c>
      <c r="AR548" s="150" t="e">
        <f aca="false">_xlfn.xlookup(AN548,A:A,AH:AH)</f>
        <v>#NAME?</v>
      </c>
      <c r="AS548" s="150" t="e">
        <f aca="false">_xlfn.xlookup(AN548,A:A,S:S)</f>
        <v>#NAME?</v>
      </c>
      <c r="AT548" s="150" t="e">
        <f aca="false">_xlfn.xlookup(AN548,A:A,AE:AE)</f>
        <v>#NAME?</v>
      </c>
      <c r="AU548" s="150" t="e">
        <f aca="false">_xlfn.xlookup(AN548,A:A,AF:AF)</f>
        <v>#NAME?</v>
      </c>
      <c r="AX548" s="146"/>
      <c r="AY548" s="150"/>
      <c r="AZ548" s="150"/>
      <c r="BA548" s="150"/>
      <c r="BB548" s="146"/>
      <c r="BC548" s="146"/>
      <c r="BD548" s="151"/>
      <c r="BE548" s="146"/>
      <c r="BF548" s="146"/>
      <c r="BH548" s="152" t="e">
        <f aca="false">_xlfn.xlookup(BG548,A:A,F:F)</f>
        <v>#NAME?</v>
      </c>
      <c r="BI548" s="153" t="e">
        <f aca="false">_xlfn.xlookup(BG548,A:A,J:J)</f>
        <v>#NAME?</v>
      </c>
      <c r="BJ548" s="153" t="e">
        <f aca="false">_xlfn.xlookup(BG548,A:A,N:N)+_xlfn.xlookup(BG548,A:A,O:O)</f>
        <v>#NAME?</v>
      </c>
      <c r="BK548" s="153" t="e">
        <f aca="false">_xlfn.xlookup(BG548,A497:A1491,AB497:AB1491)</f>
        <v>#NAME?</v>
      </c>
      <c r="BN548" s="146"/>
      <c r="BO548" s="150"/>
      <c r="BQ548" s="153" t="str">
        <f aca="false">IF(VALUE(MONTH(C548))&lt;10,YEAR(C548)&amp;"-0"&amp;MONTH(C548),YEAR(C548)&amp;"-"&amp;MONTH(C548))</f>
        <v>1900-01</v>
      </c>
      <c r="BR548" s="153" t="n">
        <f aca="false">J548</f>
        <v>0</v>
      </c>
      <c r="BS548" s="153" t="n">
        <f aca="false">IF(ISNUMBER(FIND("-", BR548)), LEFT(BR548, FIND("-", BR548) - 1), BR548)</f>
        <v>0</v>
      </c>
      <c r="BT548" s="189" t="n">
        <f aca="false">L548-M548+O548</f>
        <v>0</v>
      </c>
    </row>
    <row r="549" s="153" customFormat="true" ht="15" hidden="false" customHeight="false" outlineLevel="0" collapsed="false">
      <c r="AN549" s="153" t="e">
        <v>#NAME?</v>
      </c>
      <c r="AO549" s="153" t="e">
        <f aca="false">_xlfn.xlookup(AN549,A:A,F:F)</f>
        <v>#NAME?</v>
      </c>
      <c r="AP549" s="153" t="e">
        <f aca="false">_xlfn.xlookup(AN549,A:A,J:J)</f>
        <v>#NAME?</v>
      </c>
      <c r="AQ549" s="153" t="e">
        <f aca="false">_xlfn.xlookup(AN549,A:A,N:N)+_xlfn.xlookup(AN549,A:A,O:O)</f>
        <v>#NAME?</v>
      </c>
      <c r="AR549" s="150" t="e">
        <f aca="false">_xlfn.xlookup(AN549,A:A,AH:AH)</f>
        <v>#NAME?</v>
      </c>
      <c r="AS549" s="150" t="e">
        <f aca="false">_xlfn.xlookup(AN549,A:A,S:S)</f>
        <v>#NAME?</v>
      </c>
      <c r="AT549" s="150" t="e">
        <f aca="false">_xlfn.xlookup(AN549,A:A,AE:AE)</f>
        <v>#NAME?</v>
      </c>
      <c r="AU549" s="150" t="e">
        <f aca="false">_xlfn.xlookup(AN549,A:A,AF:AF)</f>
        <v>#NAME?</v>
      </c>
      <c r="AX549" s="146"/>
      <c r="AY549" s="150"/>
      <c r="AZ549" s="150"/>
      <c r="BA549" s="150"/>
      <c r="BB549" s="146"/>
      <c r="BC549" s="146"/>
      <c r="BD549" s="151"/>
      <c r="BE549" s="146"/>
      <c r="BF549" s="146"/>
      <c r="BH549" s="152" t="e">
        <f aca="false">_xlfn.xlookup(BG549,A:A,F:F)</f>
        <v>#NAME?</v>
      </c>
      <c r="BI549" s="153" t="e">
        <f aca="false">_xlfn.xlookup(BG549,A:A,J:J)</f>
        <v>#NAME?</v>
      </c>
      <c r="BJ549" s="153" t="e">
        <f aca="false">_xlfn.xlookup(BG549,A:A,N:N)+_xlfn.xlookup(BG549,A:A,O:O)</f>
        <v>#NAME?</v>
      </c>
      <c r="BK549" s="153" t="e">
        <f aca="false">_xlfn.xlookup(BG549,A498:A1492,AB498:AB1492)</f>
        <v>#NAME?</v>
      </c>
      <c r="BN549" s="146"/>
      <c r="BO549" s="150"/>
      <c r="BQ549" s="153" t="str">
        <f aca="false">IF(VALUE(MONTH(C549))&lt;10,YEAR(C549)&amp;"-0"&amp;MONTH(C549),YEAR(C549)&amp;"-"&amp;MONTH(C549))</f>
        <v>1900-01</v>
      </c>
      <c r="BR549" s="153" t="n">
        <f aca="false">J549</f>
        <v>0</v>
      </c>
      <c r="BS549" s="153" t="n">
        <f aca="false">IF(ISNUMBER(FIND("-", BR549)), LEFT(BR549, FIND("-", BR549) - 1), BR549)</f>
        <v>0</v>
      </c>
      <c r="BT549" s="189" t="n">
        <f aca="false">L549-M549+O549</f>
        <v>0</v>
      </c>
    </row>
    <row r="550" s="153" customFormat="true" ht="15" hidden="false" customHeight="false" outlineLevel="0" collapsed="false">
      <c r="AN550" s="153" t="e">
        <v>#NAME?</v>
      </c>
      <c r="AO550" s="153" t="e">
        <f aca="false">_xlfn.xlookup(AN550,A:A,F:F)</f>
        <v>#NAME?</v>
      </c>
      <c r="AP550" s="153" t="e">
        <f aca="false">_xlfn.xlookup(AN550,A:A,J:J)</f>
        <v>#NAME?</v>
      </c>
      <c r="AQ550" s="153" t="e">
        <f aca="false">_xlfn.xlookup(AN550,A:A,N:N)+_xlfn.xlookup(AN550,A:A,O:O)</f>
        <v>#NAME?</v>
      </c>
      <c r="AR550" s="150" t="e">
        <f aca="false">_xlfn.xlookup(AN550,A:A,AH:AH)</f>
        <v>#NAME?</v>
      </c>
      <c r="AS550" s="150" t="e">
        <f aca="false">_xlfn.xlookup(AN550,A:A,S:S)</f>
        <v>#NAME?</v>
      </c>
      <c r="AT550" s="150" t="e">
        <f aca="false">_xlfn.xlookup(AN550,A:A,AE:AE)</f>
        <v>#NAME?</v>
      </c>
      <c r="AU550" s="150" t="e">
        <f aca="false">_xlfn.xlookup(AN550,A:A,AF:AF)</f>
        <v>#NAME?</v>
      </c>
      <c r="AX550" s="146"/>
      <c r="AY550" s="150"/>
      <c r="AZ550" s="150"/>
      <c r="BA550" s="150"/>
      <c r="BB550" s="146"/>
      <c r="BC550" s="146"/>
      <c r="BD550" s="151"/>
      <c r="BE550" s="146"/>
      <c r="BF550" s="146"/>
      <c r="BH550" s="152" t="e">
        <f aca="false">_xlfn.xlookup(BG550,A:A,F:F)</f>
        <v>#NAME?</v>
      </c>
      <c r="BI550" s="153" t="e">
        <f aca="false">_xlfn.xlookup(BG550,A:A,J:J)</f>
        <v>#NAME?</v>
      </c>
      <c r="BJ550" s="153" t="e">
        <f aca="false">_xlfn.xlookup(BG550,A:A,N:N)+_xlfn.xlookup(BG550,A:A,O:O)</f>
        <v>#NAME?</v>
      </c>
      <c r="BK550" s="153" t="e">
        <f aca="false">_xlfn.xlookup(BG550,A499:A1493,AB499:AB1493)</f>
        <v>#NAME?</v>
      </c>
      <c r="BN550" s="146"/>
      <c r="BO550" s="150"/>
      <c r="BQ550" s="153" t="str">
        <f aca="false">IF(VALUE(MONTH(C550))&lt;10,YEAR(C550)&amp;"-0"&amp;MONTH(C550),YEAR(C550)&amp;"-"&amp;MONTH(C550))</f>
        <v>1900-01</v>
      </c>
      <c r="BR550" s="153" t="n">
        <f aca="false">J550</f>
        <v>0</v>
      </c>
      <c r="BS550" s="153" t="n">
        <f aca="false">IF(ISNUMBER(FIND("-", BR550)), LEFT(BR550, FIND("-", BR550) - 1), BR550)</f>
        <v>0</v>
      </c>
      <c r="BT550" s="189" t="n">
        <f aca="false">L550-M550+O550</f>
        <v>0</v>
      </c>
    </row>
    <row r="551" s="153" customFormat="true" ht="15" hidden="false" customHeight="false" outlineLevel="0" collapsed="false">
      <c r="AN551" s="153" t="e">
        <v>#NAME?</v>
      </c>
      <c r="AO551" s="153" t="e">
        <f aca="false">_xlfn.xlookup(AN551,A:A,F:F)</f>
        <v>#NAME?</v>
      </c>
      <c r="AP551" s="153" t="e">
        <f aca="false">_xlfn.xlookup(AN551,A:A,J:J)</f>
        <v>#NAME?</v>
      </c>
      <c r="AQ551" s="153" t="e">
        <f aca="false">_xlfn.xlookup(AN551,A:A,N:N)+_xlfn.xlookup(AN551,A:A,O:O)</f>
        <v>#NAME?</v>
      </c>
      <c r="AR551" s="150" t="e">
        <f aca="false">_xlfn.xlookup(AN551,A:A,AH:AH)</f>
        <v>#NAME?</v>
      </c>
      <c r="AS551" s="150" t="e">
        <f aca="false">_xlfn.xlookup(AN551,A:A,S:S)</f>
        <v>#NAME?</v>
      </c>
      <c r="AT551" s="150" t="e">
        <f aca="false">_xlfn.xlookup(AN551,A:A,AE:AE)</f>
        <v>#NAME?</v>
      </c>
      <c r="AU551" s="150" t="e">
        <f aca="false">_xlfn.xlookup(AN551,A:A,AF:AF)</f>
        <v>#NAME?</v>
      </c>
      <c r="AX551" s="146"/>
      <c r="AY551" s="150"/>
      <c r="AZ551" s="150"/>
      <c r="BA551" s="150"/>
      <c r="BB551" s="146"/>
      <c r="BC551" s="146"/>
      <c r="BD551" s="151"/>
      <c r="BE551" s="146"/>
      <c r="BF551" s="146"/>
      <c r="BH551" s="152" t="e">
        <f aca="false">_xlfn.xlookup(BG551,A:A,F:F)</f>
        <v>#NAME?</v>
      </c>
      <c r="BI551" s="153" t="e">
        <f aca="false">_xlfn.xlookup(BG551,A:A,J:J)</f>
        <v>#NAME?</v>
      </c>
      <c r="BJ551" s="153" t="e">
        <f aca="false">_xlfn.xlookup(BG551,A:A,N:N)+_xlfn.xlookup(BG551,A:A,O:O)</f>
        <v>#NAME?</v>
      </c>
      <c r="BK551" s="153" t="e">
        <f aca="false">_xlfn.xlookup(BG551,A500:A1494,AB500:AB1494)</f>
        <v>#NAME?</v>
      </c>
      <c r="BN551" s="146"/>
      <c r="BO551" s="150"/>
      <c r="BQ551" s="153" t="str">
        <f aca="false">IF(VALUE(MONTH(C551))&lt;10,YEAR(C551)&amp;"-0"&amp;MONTH(C551),YEAR(C551)&amp;"-"&amp;MONTH(C551))</f>
        <v>1900-01</v>
      </c>
      <c r="BR551" s="153" t="n">
        <f aca="false">J551</f>
        <v>0</v>
      </c>
      <c r="BS551" s="153" t="n">
        <f aca="false">IF(ISNUMBER(FIND("-", BR551)), LEFT(BR551, FIND("-", BR551) - 1), BR551)</f>
        <v>0</v>
      </c>
      <c r="BT551" s="189" t="n">
        <f aca="false">L551-M551+O551</f>
        <v>0</v>
      </c>
    </row>
    <row r="552" s="153" customFormat="true" ht="15" hidden="false" customHeight="false" outlineLevel="0" collapsed="false">
      <c r="AN552" s="153" t="e">
        <v>#NAME?</v>
      </c>
      <c r="AO552" s="153" t="e">
        <f aca="false">_xlfn.xlookup(AN552,A:A,F:F)</f>
        <v>#NAME?</v>
      </c>
      <c r="AP552" s="153" t="e">
        <f aca="false">_xlfn.xlookup(AN552,A:A,J:J)</f>
        <v>#NAME?</v>
      </c>
      <c r="AQ552" s="153" t="e">
        <f aca="false">_xlfn.xlookup(AN552,A:A,N:N)+_xlfn.xlookup(AN552,A:A,O:O)</f>
        <v>#NAME?</v>
      </c>
      <c r="AR552" s="150" t="e">
        <f aca="false">_xlfn.xlookup(AN552,A:A,AH:AH)</f>
        <v>#NAME?</v>
      </c>
      <c r="AS552" s="150" t="e">
        <f aca="false">_xlfn.xlookup(AN552,A:A,S:S)</f>
        <v>#NAME?</v>
      </c>
      <c r="AT552" s="150" t="e">
        <f aca="false">_xlfn.xlookup(AN552,A:A,AE:AE)</f>
        <v>#NAME?</v>
      </c>
      <c r="AU552" s="150" t="e">
        <f aca="false">_xlfn.xlookup(AN552,A:A,AF:AF)</f>
        <v>#NAME?</v>
      </c>
      <c r="AX552" s="146"/>
      <c r="AY552" s="150"/>
      <c r="AZ552" s="150"/>
      <c r="BA552" s="150"/>
      <c r="BB552" s="146"/>
      <c r="BC552" s="146"/>
      <c r="BD552" s="151"/>
      <c r="BE552" s="146"/>
      <c r="BF552" s="146"/>
      <c r="BH552" s="152" t="e">
        <f aca="false">_xlfn.xlookup(BG552,A:A,F:F)</f>
        <v>#NAME?</v>
      </c>
      <c r="BI552" s="153" t="e">
        <f aca="false">_xlfn.xlookup(BG552,A:A,J:J)</f>
        <v>#NAME?</v>
      </c>
      <c r="BJ552" s="153" t="e">
        <f aca="false">_xlfn.xlookup(BG552,A:A,N:N)+_xlfn.xlookup(BG552,A:A,O:O)</f>
        <v>#NAME?</v>
      </c>
      <c r="BK552" s="153" t="e">
        <f aca="false">_xlfn.xlookup(BG552,A501:A1495,AB501:AB1495)</f>
        <v>#NAME?</v>
      </c>
      <c r="BN552" s="146"/>
      <c r="BO552" s="150"/>
      <c r="BQ552" s="153" t="str">
        <f aca="false">IF(VALUE(MONTH(C552))&lt;10,YEAR(C552)&amp;"-0"&amp;MONTH(C552),YEAR(C552)&amp;"-"&amp;MONTH(C552))</f>
        <v>1900-01</v>
      </c>
      <c r="BR552" s="153" t="n">
        <f aca="false">J552</f>
        <v>0</v>
      </c>
      <c r="BS552" s="153" t="n">
        <f aca="false">IF(ISNUMBER(FIND("-", BR552)), LEFT(BR552, FIND("-", BR552) - 1), BR552)</f>
        <v>0</v>
      </c>
      <c r="BT552" s="189" t="n">
        <f aca="false">L552-M552+O552</f>
        <v>0</v>
      </c>
    </row>
    <row r="553" s="153" customFormat="true" ht="15" hidden="false" customHeight="false" outlineLevel="0" collapsed="false">
      <c r="AN553" s="153" t="e">
        <v>#NAME?</v>
      </c>
      <c r="AO553" s="153" t="e">
        <f aca="false">_xlfn.xlookup(AN553,A:A,F:F)</f>
        <v>#NAME?</v>
      </c>
      <c r="AP553" s="153" t="e">
        <f aca="false">_xlfn.xlookup(AN553,A:A,J:J)</f>
        <v>#NAME?</v>
      </c>
      <c r="AQ553" s="153" t="e">
        <f aca="false">_xlfn.xlookup(AN553,A:A,N:N)+_xlfn.xlookup(AN553,A:A,O:O)</f>
        <v>#NAME?</v>
      </c>
      <c r="AR553" s="150" t="e">
        <f aca="false">_xlfn.xlookup(AN553,A:A,AH:AH)</f>
        <v>#NAME?</v>
      </c>
      <c r="AS553" s="150" t="e">
        <f aca="false">_xlfn.xlookup(AN553,A:A,S:S)</f>
        <v>#NAME?</v>
      </c>
      <c r="AT553" s="150" t="e">
        <f aca="false">_xlfn.xlookup(AN553,A:A,AE:AE)</f>
        <v>#NAME?</v>
      </c>
      <c r="AU553" s="150" t="e">
        <f aca="false">_xlfn.xlookup(AN553,A:A,AF:AF)</f>
        <v>#NAME?</v>
      </c>
      <c r="AX553" s="146"/>
      <c r="AY553" s="150"/>
      <c r="AZ553" s="150"/>
      <c r="BA553" s="150"/>
      <c r="BB553" s="146"/>
      <c r="BC553" s="146"/>
      <c r="BD553" s="151"/>
      <c r="BE553" s="146"/>
      <c r="BF553" s="146"/>
      <c r="BH553" s="152" t="e">
        <f aca="false">_xlfn.xlookup(BG553,A:A,F:F)</f>
        <v>#NAME?</v>
      </c>
      <c r="BI553" s="153" t="e">
        <f aca="false">_xlfn.xlookup(BG553,A:A,J:J)</f>
        <v>#NAME?</v>
      </c>
      <c r="BJ553" s="153" t="e">
        <f aca="false">_xlfn.xlookup(BG553,A:A,N:N)+_xlfn.xlookup(BG553,A:A,O:O)</f>
        <v>#NAME?</v>
      </c>
      <c r="BK553" s="153" t="e">
        <f aca="false">_xlfn.xlookup(BG553,A502:A1496,AB502:AB1496)</f>
        <v>#NAME?</v>
      </c>
      <c r="BN553" s="146"/>
      <c r="BO553" s="150"/>
      <c r="BQ553" s="153" t="str">
        <f aca="false">IF(VALUE(MONTH(C553))&lt;10,YEAR(C553)&amp;"-0"&amp;MONTH(C553),YEAR(C553)&amp;"-"&amp;MONTH(C553))</f>
        <v>1900-01</v>
      </c>
      <c r="BR553" s="153" t="n">
        <f aca="false">J553</f>
        <v>0</v>
      </c>
      <c r="BS553" s="153" t="n">
        <f aca="false">IF(ISNUMBER(FIND("-", BR553)), LEFT(BR553, FIND("-", BR553) - 1), BR553)</f>
        <v>0</v>
      </c>
      <c r="BT553" s="189" t="n">
        <f aca="false">L553-M553+O553</f>
        <v>0</v>
      </c>
    </row>
    <row r="554" s="153" customFormat="true" ht="15" hidden="false" customHeight="false" outlineLevel="0" collapsed="false">
      <c r="AN554" s="153" t="e">
        <v>#NAME?</v>
      </c>
      <c r="AO554" s="153" t="e">
        <f aca="false">_xlfn.xlookup(AN554,A:A,F:F)</f>
        <v>#NAME?</v>
      </c>
      <c r="AP554" s="153" t="e">
        <f aca="false">_xlfn.xlookup(AN554,A:A,J:J)</f>
        <v>#NAME?</v>
      </c>
      <c r="AQ554" s="153" t="e">
        <f aca="false">_xlfn.xlookup(AN554,A:A,N:N)+_xlfn.xlookup(AN554,A:A,O:O)</f>
        <v>#NAME?</v>
      </c>
      <c r="AR554" s="150" t="e">
        <f aca="false">_xlfn.xlookup(AN554,A:A,AH:AH)</f>
        <v>#NAME?</v>
      </c>
      <c r="AS554" s="150" t="e">
        <f aca="false">_xlfn.xlookup(AN554,A:A,S:S)</f>
        <v>#NAME?</v>
      </c>
      <c r="AT554" s="150" t="e">
        <f aca="false">_xlfn.xlookup(AN554,A:A,AE:AE)</f>
        <v>#NAME?</v>
      </c>
      <c r="AU554" s="150" t="e">
        <f aca="false">_xlfn.xlookup(AN554,A:A,AF:AF)</f>
        <v>#NAME?</v>
      </c>
      <c r="AX554" s="146"/>
      <c r="AY554" s="150"/>
      <c r="AZ554" s="150"/>
      <c r="BA554" s="150"/>
      <c r="BB554" s="146"/>
      <c r="BC554" s="146"/>
      <c r="BD554" s="151"/>
      <c r="BE554" s="146"/>
      <c r="BF554" s="146"/>
      <c r="BH554" s="152" t="e">
        <f aca="false">_xlfn.xlookup(BG554,A:A,F:F)</f>
        <v>#NAME?</v>
      </c>
      <c r="BI554" s="153" t="e">
        <f aca="false">_xlfn.xlookup(BG554,A:A,J:J)</f>
        <v>#NAME?</v>
      </c>
      <c r="BJ554" s="153" t="e">
        <f aca="false">_xlfn.xlookup(BG554,A:A,N:N)+_xlfn.xlookup(BG554,A:A,O:O)</f>
        <v>#NAME?</v>
      </c>
      <c r="BK554" s="153" t="e">
        <f aca="false">_xlfn.xlookup(BG554,A503:A1497,AB503:AB1497)</f>
        <v>#NAME?</v>
      </c>
      <c r="BN554" s="146"/>
      <c r="BO554" s="150"/>
      <c r="BQ554" s="153" t="str">
        <f aca="false">IF(VALUE(MONTH(C554))&lt;10,YEAR(C554)&amp;"-0"&amp;MONTH(C554),YEAR(C554)&amp;"-"&amp;MONTH(C554))</f>
        <v>1900-01</v>
      </c>
      <c r="BR554" s="153" t="n">
        <f aca="false">J554</f>
        <v>0</v>
      </c>
      <c r="BS554" s="153" t="n">
        <f aca="false">IF(ISNUMBER(FIND("-", BR554)), LEFT(BR554, FIND("-", BR554) - 1), BR554)</f>
        <v>0</v>
      </c>
      <c r="BT554" s="189" t="n">
        <f aca="false">L554-M554+O554</f>
        <v>0</v>
      </c>
    </row>
    <row r="555" s="153" customFormat="true" ht="15" hidden="false" customHeight="false" outlineLevel="0" collapsed="false">
      <c r="AN555" s="153" t="e">
        <v>#NAME?</v>
      </c>
      <c r="AO555" s="153" t="e">
        <f aca="false">_xlfn.xlookup(AN555,A:A,F:F)</f>
        <v>#NAME?</v>
      </c>
      <c r="AP555" s="153" t="e">
        <f aca="false">_xlfn.xlookup(AN555,A:A,J:J)</f>
        <v>#NAME?</v>
      </c>
      <c r="AQ555" s="153" t="e">
        <f aca="false">_xlfn.xlookup(AN555,A:A,N:N)+_xlfn.xlookup(AN555,A:A,O:O)</f>
        <v>#NAME?</v>
      </c>
      <c r="AR555" s="150" t="e">
        <f aca="false">_xlfn.xlookup(AN555,A:A,AH:AH)</f>
        <v>#NAME?</v>
      </c>
      <c r="AS555" s="150" t="e">
        <f aca="false">_xlfn.xlookup(AN555,A:A,S:S)</f>
        <v>#NAME?</v>
      </c>
      <c r="AT555" s="150" t="e">
        <f aca="false">_xlfn.xlookup(AN555,A:A,AE:AE)</f>
        <v>#NAME?</v>
      </c>
      <c r="AU555" s="150" t="e">
        <f aca="false">_xlfn.xlookup(AN555,A:A,AF:AF)</f>
        <v>#NAME?</v>
      </c>
      <c r="AX555" s="146"/>
      <c r="AY555" s="150"/>
      <c r="AZ555" s="150"/>
      <c r="BA555" s="150"/>
      <c r="BB555" s="146"/>
      <c r="BC555" s="146"/>
      <c r="BD555" s="151"/>
      <c r="BE555" s="146"/>
      <c r="BF555" s="146"/>
      <c r="BH555" s="152" t="e">
        <f aca="false">_xlfn.xlookup(BG555,A:A,F:F)</f>
        <v>#NAME?</v>
      </c>
      <c r="BI555" s="153" t="e">
        <f aca="false">_xlfn.xlookup(BG555,A:A,J:J)</f>
        <v>#NAME?</v>
      </c>
      <c r="BJ555" s="153" t="e">
        <f aca="false">_xlfn.xlookup(BG555,A:A,N:N)+_xlfn.xlookup(BG555,A:A,O:O)</f>
        <v>#NAME?</v>
      </c>
      <c r="BK555" s="153" t="e">
        <f aca="false">_xlfn.xlookup(BG555,A504:A1498,AB504:AB1498)</f>
        <v>#NAME?</v>
      </c>
      <c r="BN555" s="146"/>
      <c r="BO555" s="150"/>
      <c r="BQ555" s="153" t="str">
        <f aca="false">IF(VALUE(MONTH(C555))&lt;10,YEAR(C555)&amp;"-0"&amp;MONTH(C555),YEAR(C555)&amp;"-"&amp;MONTH(C555))</f>
        <v>1900-01</v>
      </c>
      <c r="BR555" s="153" t="n">
        <f aca="false">J555</f>
        <v>0</v>
      </c>
      <c r="BS555" s="153" t="n">
        <f aca="false">IF(ISNUMBER(FIND("-", BR555)), LEFT(BR555, FIND("-", BR555) - 1), BR555)</f>
        <v>0</v>
      </c>
      <c r="BT555" s="189" t="n">
        <f aca="false">L555-M555+O555</f>
        <v>0</v>
      </c>
    </row>
    <row r="556" s="153" customFormat="true" ht="15" hidden="false" customHeight="false" outlineLevel="0" collapsed="false">
      <c r="AN556" s="153" t="e">
        <v>#NAME?</v>
      </c>
      <c r="AO556" s="153" t="e">
        <f aca="false">_xlfn.xlookup(AN556,A:A,F:F)</f>
        <v>#NAME?</v>
      </c>
      <c r="AP556" s="153" t="e">
        <f aca="false">_xlfn.xlookup(AN556,A:A,J:J)</f>
        <v>#NAME?</v>
      </c>
      <c r="AQ556" s="153" t="e">
        <f aca="false">_xlfn.xlookup(AN556,A:A,N:N)+_xlfn.xlookup(AN556,A:A,O:O)</f>
        <v>#NAME?</v>
      </c>
      <c r="AR556" s="150" t="e">
        <f aca="false">_xlfn.xlookup(AN556,A:A,AH:AH)</f>
        <v>#NAME?</v>
      </c>
      <c r="AS556" s="150" t="e">
        <f aca="false">_xlfn.xlookup(AN556,A:A,S:S)</f>
        <v>#NAME?</v>
      </c>
      <c r="AT556" s="150" t="e">
        <f aca="false">_xlfn.xlookup(AN556,A:A,AE:AE)</f>
        <v>#NAME?</v>
      </c>
      <c r="AU556" s="150" t="e">
        <f aca="false">_xlfn.xlookup(AN556,A:A,AF:AF)</f>
        <v>#NAME?</v>
      </c>
      <c r="AX556" s="146"/>
      <c r="AY556" s="150"/>
      <c r="AZ556" s="150"/>
      <c r="BA556" s="150"/>
      <c r="BB556" s="146"/>
      <c r="BC556" s="146"/>
      <c r="BD556" s="151"/>
      <c r="BE556" s="146"/>
      <c r="BF556" s="146"/>
      <c r="BH556" s="152" t="e">
        <f aca="false">_xlfn.xlookup(BG556,A:A,F:F)</f>
        <v>#NAME?</v>
      </c>
      <c r="BI556" s="153" t="e">
        <f aca="false">_xlfn.xlookup(BG556,A:A,J:J)</f>
        <v>#NAME?</v>
      </c>
      <c r="BJ556" s="153" t="e">
        <f aca="false">_xlfn.xlookup(BG556,A:A,N:N)+_xlfn.xlookup(BG556,A:A,O:O)</f>
        <v>#NAME?</v>
      </c>
      <c r="BK556" s="153" t="e">
        <f aca="false">_xlfn.xlookup(BG556,A505:A1499,AB505:AB1499)</f>
        <v>#NAME?</v>
      </c>
      <c r="BN556" s="146"/>
      <c r="BO556" s="150"/>
      <c r="BQ556" s="153" t="str">
        <f aca="false">IF(VALUE(MONTH(C556))&lt;10,YEAR(C556)&amp;"-0"&amp;MONTH(C556),YEAR(C556)&amp;"-"&amp;MONTH(C556))</f>
        <v>1900-01</v>
      </c>
      <c r="BR556" s="153" t="n">
        <f aca="false">J556</f>
        <v>0</v>
      </c>
      <c r="BS556" s="153" t="n">
        <f aca="false">IF(ISNUMBER(FIND("-", BR556)), LEFT(BR556, FIND("-", BR556) - 1), BR556)</f>
        <v>0</v>
      </c>
      <c r="BT556" s="189" t="n">
        <f aca="false">L556-M556+O556</f>
        <v>0</v>
      </c>
    </row>
    <row r="557" s="153" customFormat="true" ht="15" hidden="false" customHeight="false" outlineLevel="0" collapsed="false">
      <c r="AN557" s="153" t="e">
        <v>#NAME?</v>
      </c>
      <c r="AO557" s="153" t="e">
        <f aca="false">_xlfn.xlookup(AN557,A:A,F:F)</f>
        <v>#NAME?</v>
      </c>
      <c r="AP557" s="153" t="e">
        <f aca="false">_xlfn.xlookup(AN557,A:A,J:J)</f>
        <v>#NAME?</v>
      </c>
      <c r="AQ557" s="153" t="e">
        <f aca="false">_xlfn.xlookup(AN557,A:A,N:N)+_xlfn.xlookup(AN557,A:A,O:O)</f>
        <v>#NAME?</v>
      </c>
      <c r="AR557" s="150" t="e">
        <f aca="false">_xlfn.xlookup(AN557,A:A,AH:AH)</f>
        <v>#NAME?</v>
      </c>
      <c r="AS557" s="150" t="e">
        <f aca="false">_xlfn.xlookup(AN557,A:A,S:S)</f>
        <v>#NAME?</v>
      </c>
      <c r="AT557" s="150" t="e">
        <f aca="false">_xlfn.xlookup(AN557,A:A,AE:AE)</f>
        <v>#NAME?</v>
      </c>
      <c r="AU557" s="150" t="e">
        <f aca="false">_xlfn.xlookup(AN557,A:A,AF:AF)</f>
        <v>#NAME?</v>
      </c>
      <c r="AX557" s="146"/>
      <c r="AY557" s="150"/>
      <c r="AZ557" s="150"/>
      <c r="BA557" s="150"/>
      <c r="BB557" s="146"/>
      <c r="BC557" s="146"/>
      <c r="BD557" s="151"/>
      <c r="BE557" s="146"/>
      <c r="BF557" s="146"/>
      <c r="BH557" s="152" t="e">
        <f aca="false">_xlfn.xlookup(BG557,A:A,F:F)</f>
        <v>#NAME?</v>
      </c>
      <c r="BI557" s="153" t="e">
        <f aca="false">_xlfn.xlookup(BG557,A:A,J:J)</f>
        <v>#NAME?</v>
      </c>
      <c r="BJ557" s="153" t="e">
        <f aca="false">_xlfn.xlookup(BG557,A:A,N:N)+_xlfn.xlookup(BG557,A:A,O:O)</f>
        <v>#NAME?</v>
      </c>
      <c r="BK557" s="153" t="e">
        <f aca="false">_xlfn.xlookup(BG557,A506:A1500,AB506:AB1500)</f>
        <v>#NAME?</v>
      </c>
      <c r="BN557" s="146"/>
      <c r="BO557" s="150"/>
      <c r="BQ557" s="153" t="str">
        <f aca="false">IF(VALUE(MONTH(C557))&lt;10,YEAR(C557)&amp;"-0"&amp;MONTH(C557),YEAR(C557)&amp;"-"&amp;MONTH(C557))</f>
        <v>1900-01</v>
      </c>
      <c r="BR557" s="153" t="n">
        <f aca="false">J557</f>
        <v>0</v>
      </c>
      <c r="BS557" s="153" t="n">
        <f aca="false">IF(ISNUMBER(FIND("-", BR557)), LEFT(BR557, FIND("-", BR557) - 1), BR557)</f>
        <v>0</v>
      </c>
      <c r="BT557" s="189" t="n">
        <f aca="false">L557-M557+O557</f>
        <v>0</v>
      </c>
    </row>
    <row r="558" s="153" customFormat="true" ht="15" hidden="false" customHeight="false" outlineLevel="0" collapsed="false">
      <c r="AN558" s="153" t="e">
        <v>#NAME?</v>
      </c>
      <c r="AO558" s="153" t="e">
        <f aca="false">_xlfn.xlookup(AN558,A:A,F:F)</f>
        <v>#NAME?</v>
      </c>
      <c r="AP558" s="153" t="e">
        <f aca="false">_xlfn.xlookup(AN558,A:A,J:J)</f>
        <v>#NAME?</v>
      </c>
      <c r="AQ558" s="153" t="e">
        <f aca="false">_xlfn.xlookup(AN558,A:A,N:N)+_xlfn.xlookup(AN558,A:A,O:O)</f>
        <v>#NAME?</v>
      </c>
      <c r="AR558" s="150" t="e">
        <f aca="false">_xlfn.xlookup(AN558,A:A,AH:AH)</f>
        <v>#NAME?</v>
      </c>
      <c r="AS558" s="150" t="e">
        <f aca="false">_xlfn.xlookup(AN558,A:A,S:S)</f>
        <v>#NAME?</v>
      </c>
      <c r="AT558" s="150" t="e">
        <f aca="false">_xlfn.xlookup(AN558,A:A,AE:AE)</f>
        <v>#NAME?</v>
      </c>
      <c r="AU558" s="150" t="e">
        <f aca="false">_xlfn.xlookup(AN558,A:A,AF:AF)</f>
        <v>#NAME?</v>
      </c>
      <c r="AX558" s="146"/>
      <c r="AY558" s="150"/>
      <c r="AZ558" s="150"/>
      <c r="BA558" s="150"/>
      <c r="BB558" s="146"/>
      <c r="BC558" s="146"/>
      <c r="BD558" s="151"/>
      <c r="BE558" s="146"/>
      <c r="BF558" s="146"/>
      <c r="BH558" s="152" t="e">
        <f aca="false">_xlfn.xlookup(BG558,A:A,F:F)</f>
        <v>#NAME?</v>
      </c>
      <c r="BI558" s="153" t="e">
        <f aca="false">_xlfn.xlookup(BG558,A:A,J:J)</f>
        <v>#NAME?</v>
      </c>
      <c r="BJ558" s="153" t="e">
        <f aca="false">_xlfn.xlookup(BG558,A:A,N:N)+_xlfn.xlookup(BG558,A:A,O:O)</f>
        <v>#NAME?</v>
      </c>
      <c r="BK558" s="153" t="e">
        <f aca="false">_xlfn.xlookup(BG558,A507:A1501,AB507:AB1501)</f>
        <v>#NAME?</v>
      </c>
      <c r="BN558" s="146"/>
      <c r="BO558" s="150"/>
      <c r="BQ558" s="153" t="str">
        <f aca="false">IF(VALUE(MONTH(C558))&lt;10,YEAR(C558)&amp;"-0"&amp;MONTH(C558),YEAR(C558)&amp;"-"&amp;MONTH(C558))</f>
        <v>1900-01</v>
      </c>
      <c r="BR558" s="153" t="n">
        <f aca="false">J558</f>
        <v>0</v>
      </c>
      <c r="BS558" s="153" t="n">
        <f aca="false">IF(ISNUMBER(FIND("-", BR558)), LEFT(BR558, FIND("-", BR558) - 1), BR558)</f>
        <v>0</v>
      </c>
      <c r="BT558" s="189" t="n">
        <f aca="false">L558-M558+O558</f>
        <v>0</v>
      </c>
    </row>
    <row r="559" s="153" customFormat="true" ht="15" hidden="false" customHeight="false" outlineLevel="0" collapsed="false">
      <c r="AN559" s="153" t="e">
        <v>#NAME?</v>
      </c>
      <c r="AO559" s="153" t="e">
        <f aca="false">_xlfn.xlookup(AN559,A:A,F:F)</f>
        <v>#NAME?</v>
      </c>
      <c r="AP559" s="153" t="e">
        <f aca="false">_xlfn.xlookup(AN559,A:A,J:J)</f>
        <v>#NAME?</v>
      </c>
      <c r="AQ559" s="153" t="e">
        <f aca="false">_xlfn.xlookup(AN559,A:A,N:N)+_xlfn.xlookup(AN559,A:A,O:O)</f>
        <v>#NAME?</v>
      </c>
      <c r="AR559" s="150" t="e">
        <f aca="false">_xlfn.xlookup(AN559,A:A,AH:AH)</f>
        <v>#NAME?</v>
      </c>
      <c r="AS559" s="150" t="e">
        <f aca="false">_xlfn.xlookup(AN559,A:A,S:S)</f>
        <v>#NAME?</v>
      </c>
      <c r="AT559" s="150" t="e">
        <f aca="false">_xlfn.xlookup(AN559,A:A,AE:AE)</f>
        <v>#NAME?</v>
      </c>
      <c r="AU559" s="150" t="e">
        <f aca="false">_xlfn.xlookup(AN559,A:A,AF:AF)</f>
        <v>#NAME?</v>
      </c>
      <c r="AX559" s="146"/>
      <c r="AY559" s="150"/>
      <c r="AZ559" s="150"/>
      <c r="BA559" s="150"/>
      <c r="BB559" s="146"/>
      <c r="BC559" s="146"/>
      <c r="BD559" s="151"/>
      <c r="BE559" s="146"/>
      <c r="BF559" s="146"/>
      <c r="BH559" s="152" t="e">
        <f aca="false">_xlfn.xlookup(BG559,A:A,F:F)</f>
        <v>#NAME?</v>
      </c>
      <c r="BI559" s="153" t="e">
        <f aca="false">_xlfn.xlookup(BG559,A:A,J:J)</f>
        <v>#NAME?</v>
      </c>
      <c r="BJ559" s="153" t="e">
        <f aca="false">_xlfn.xlookup(BG559,A:A,N:N)+_xlfn.xlookup(BG559,A:A,O:O)</f>
        <v>#NAME?</v>
      </c>
      <c r="BK559" s="153" t="e">
        <f aca="false">_xlfn.xlookup(BG559,A508:A1502,AB508:AB1502)</f>
        <v>#NAME?</v>
      </c>
      <c r="BN559" s="146"/>
      <c r="BO559" s="150"/>
      <c r="BQ559" s="153" t="str">
        <f aca="false">IF(VALUE(MONTH(C559))&lt;10,YEAR(C559)&amp;"-0"&amp;MONTH(C559),YEAR(C559)&amp;"-"&amp;MONTH(C559))</f>
        <v>1900-01</v>
      </c>
      <c r="BR559" s="153" t="n">
        <f aca="false">J559</f>
        <v>0</v>
      </c>
      <c r="BS559" s="153" t="n">
        <f aca="false">IF(ISNUMBER(FIND("-", BR559)), LEFT(BR559, FIND("-", BR559) - 1), BR559)</f>
        <v>0</v>
      </c>
      <c r="BT559" s="189" t="n">
        <f aca="false">L559-M559+O559</f>
        <v>0</v>
      </c>
    </row>
    <row r="560" s="153" customFormat="true" ht="15" hidden="false" customHeight="false" outlineLevel="0" collapsed="false">
      <c r="AN560" s="153" t="e">
        <v>#NAME?</v>
      </c>
      <c r="AO560" s="153" t="e">
        <f aca="false">_xlfn.xlookup(AN560,A:A,F:F)</f>
        <v>#NAME?</v>
      </c>
      <c r="AP560" s="153" t="e">
        <f aca="false">_xlfn.xlookup(AN560,A:A,J:J)</f>
        <v>#NAME?</v>
      </c>
      <c r="AQ560" s="153" t="e">
        <f aca="false">_xlfn.xlookup(AN560,A:A,N:N)+_xlfn.xlookup(AN560,A:A,O:O)</f>
        <v>#NAME?</v>
      </c>
      <c r="AR560" s="150" t="e">
        <f aca="false">_xlfn.xlookup(AN560,A:A,AH:AH)</f>
        <v>#NAME?</v>
      </c>
      <c r="AS560" s="150" t="e">
        <f aca="false">_xlfn.xlookup(AN560,A:A,S:S)</f>
        <v>#NAME?</v>
      </c>
      <c r="AT560" s="150" t="e">
        <f aca="false">_xlfn.xlookup(AN560,A:A,AE:AE)</f>
        <v>#NAME?</v>
      </c>
      <c r="AU560" s="150" t="e">
        <f aca="false">_xlfn.xlookup(AN560,A:A,AF:AF)</f>
        <v>#NAME?</v>
      </c>
      <c r="AX560" s="146"/>
      <c r="AY560" s="150"/>
      <c r="AZ560" s="150"/>
      <c r="BA560" s="150"/>
      <c r="BB560" s="146"/>
      <c r="BC560" s="146"/>
      <c r="BD560" s="151"/>
      <c r="BE560" s="146"/>
      <c r="BF560" s="146"/>
      <c r="BH560" s="152" t="e">
        <f aca="false">_xlfn.xlookup(BG560,A:A,F:F)</f>
        <v>#NAME?</v>
      </c>
      <c r="BI560" s="153" t="e">
        <f aca="false">_xlfn.xlookup(BG560,A:A,J:J)</f>
        <v>#NAME?</v>
      </c>
      <c r="BJ560" s="153" t="e">
        <f aca="false">_xlfn.xlookup(BG560,A:A,N:N)+_xlfn.xlookup(BG560,A:A,O:O)</f>
        <v>#NAME?</v>
      </c>
      <c r="BK560" s="153" t="e">
        <f aca="false">_xlfn.xlookup(BG560,A509:A1503,AB509:AB1503)</f>
        <v>#NAME?</v>
      </c>
      <c r="BN560" s="146"/>
      <c r="BO560" s="150"/>
      <c r="BQ560" s="153" t="str">
        <f aca="false">IF(VALUE(MONTH(C560))&lt;10,YEAR(C560)&amp;"-0"&amp;MONTH(C560),YEAR(C560)&amp;"-"&amp;MONTH(C560))</f>
        <v>1900-01</v>
      </c>
      <c r="BR560" s="153" t="n">
        <f aca="false">J560</f>
        <v>0</v>
      </c>
      <c r="BS560" s="153" t="n">
        <f aca="false">IF(ISNUMBER(FIND("-", BR560)), LEFT(BR560, FIND("-", BR560) - 1), BR560)</f>
        <v>0</v>
      </c>
      <c r="BT560" s="189" t="n">
        <f aca="false">L560-M560+O560</f>
        <v>0</v>
      </c>
    </row>
    <row r="561" s="153" customFormat="true" ht="15" hidden="false" customHeight="false" outlineLevel="0" collapsed="false">
      <c r="AN561" s="153" t="e">
        <v>#NAME?</v>
      </c>
      <c r="AO561" s="153" t="e">
        <f aca="false">_xlfn.xlookup(AN561,A:A,F:F)</f>
        <v>#NAME?</v>
      </c>
      <c r="AP561" s="153" t="e">
        <f aca="false">_xlfn.xlookup(AN561,A:A,J:J)</f>
        <v>#NAME?</v>
      </c>
      <c r="AQ561" s="153" t="e">
        <f aca="false">_xlfn.xlookup(AN561,A:A,N:N)+_xlfn.xlookup(AN561,A:A,O:O)</f>
        <v>#NAME?</v>
      </c>
      <c r="AR561" s="150" t="e">
        <f aca="false">_xlfn.xlookup(AN561,A:A,AH:AH)</f>
        <v>#NAME?</v>
      </c>
      <c r="AS561" s="150" t="e">
        <f aca="false">_xlfn.xlookup(AN561,A:A,S:S)</f>
        <v>#NAME?</v>
      </c>
      <c r="AT561" s="150" t="e">
        <f aca="false">_xlfn.xlookup(AN561,A:A,AE:AE)</f>
        <v>#NAME?</v>
      </c>
      <c r="AU561" s="150" t="e">
        <f aca="false">_xlfn.xlookup(AN561,A:A,AF:AF)</f>
        <v>#NAME?</v>
      </c>
      <c r="AX561" s="146"/>
      <c r="AY561" s="150"/>
      <c r="AZ561" s="150"/>
      <c r="BA561" s="150"/>
      <c r="BB561" s="146"/>
      <c r="BC561" s="146"/>
      <c r="BD561" s="151"/>
      <c r="BE561" s="146"/>
      <c r="BF561" s="146"/>
      <c r="BH561" s="152" t="e">
        <f aca="false">_xlfn.xlookup(BG561,A:A,F:F)</f>
        <v>#NAME?</v>
      </c>
      <c r="BI561" s="153" t="e">
        <f aca="false">_xlfn.xlookup(BG561,A:A,J:J)</f>
        <v>#NAME?</v>
      </c>
      <c r="BJ561" s="153" t="e">
        <f aca="false">_xlfn.xlookup(BG561,A:A,N:N)+_xlfn.xlookup(BG561,A:A,O:O)</f>
        <v>#NAME?</v>
      </c>
      <c r="BK561" s="153" t="e">
        <f aca="false">_xlfn.xlookup(BG561,A510:A1504,AB510:AB1504)</f>
        <v>#NAME?</v>
      </c>
      <c r="BN561" s="146"/>
      <c r="BO561" s="150"/>
      <c r="BQ561" s="153" t="str">
        <f aca="false">IF(VALUE(MONTH(C561))&lt;10,YEAR(C561)&amp;"-0"&amp;MONTH(C561),YEAR(C561)&amp;"-"&amp;MONTH(C561))</f>
        <v>1900-01</v>
      </c>
      <c r="BR561" s="153" t="n">
        <f aca="false">J561</f>
        <v>0</v>
      </c>
      <c r="BS561" s="153" t="n">
        <f aca="false">IF(ISNUMBER(FIND("-", BR561)), LEFT(BR561, FIND("-", BR561) - 1), BR561)</f>
        <v>0</v>
      </c>
      <c r="BT561" s="189" t="n">
        <f aca="false">L561-M561+O561</f>
        <v>0</v>
      </c>
    </row>
    <row r="562" s="153" customFormat="true" ht="15" hidden="false" customHeight="false" outlineLevel="0" collapsed="false">
      <c r="AN562" s="153" t="e">
        <v>#NAME?</v>
      </c>
      <c r="AO562" s="153" t="e">
        <f aca="false">_xlfn.xlookup(AN562,A:A,F:F)</f>
        <v>#NAME?</v>
      </c>
      <c r="AP562" s="153" t="e">
        <f aca="false">_xlfn.xlookup(AN562,A:A,J:J)</f>
        <v>#NAME?</v>
      </c>
      <c r="AQ562" s="153" t="e">
        <f aca="false">_xlfn.xlookup(AN562,A:A,N:N)+_xlfn.xlookup(AN562,A:A,O:O)</f>
        <v>#NAME?</v>
      </c>
      <c r="AR562" s="150" t="e">
        <f aca="false">_xlfn.xlookup(AN562,A:A,AH:AH)</f>
        <v>#NAME?</v>
      </c>
      <c r="AS562" s="150" t="e">
        <f aca="false">_xlfn.xlookup(AN562,A:A,S:S)</f>
        <v>#NAME?</v>
      </c>
      <c r="AT562" s="150" t="e">
        <f aca="false">_xlfn.xlookup(AN562,A:A,AE:AE)</f>
        <v>#NAME?</v>
      </c>
      <c r="AU562" s="150" t="e">
        <f aca="false">_xlfn.xlookup(AN562,A:A,AF:AF)</f>
        <v>#NAME?</v>
      </c>
      <c r="AX562" s="146"/>
      <c r="AY562" s="150"/>
      <c r="AZ562" s="150"/>
      <c r="BA562" s="150"/>
      <c r="BB562" s="146"/>
      <c r="BC562" s="146"/>
      <c r="BD562" s="151"/>
      <c r="BE562" s="146"/>
      <c r="BF562" s="146"/>
      <c r="BH562" s="152" t="e">
        <f aca="false">_xlfn.xlookup(BG562,A:A,F:F)</f>
        <v>#NAME?</v>
      </c>
      <c r="BI562" s="153" t="e">
        <f aca="false">_xlfn.xlookup(BG562,A:A,J:J)</f>
        <v>#NAME?</v>
      </c>
      <c r="BJ562" s="153" t="e">
        <f aca="false">_xlfn.xlookup(BG562,A:A,N:N)+_xlfn.xlookup(BG562,A:A,O:O)</f>
        <v>#NAME?</v>
      </c>
      <c r="BK562" s="153" t="e">
        <f aca="false">_xlfn.xlookup(BG562,A511:A1505,AB511:AB1505)</f>
        <v>#NAME?</v>
      </c>
      <c r="BN562" s="146"/>
      <c r="BO562" s="150"/>
      <c r="BQ562" s="153" t="str">
        <f aca="false">IF(VALUE(MONTH(C562))&lt;10,YEAR(C562)&amp;"-0"&amp;MONTH(C562),YEAR(C562)&amp;"-"&amp;MONTH(C562))</f>
        <v>1900-01</v>
      </c>
      <c r="BR562" s="153" t="n">
        <f aca="false">J562</f>
        <v>0</v>
      </c>
      <c r="BS562" s="153" t="n">
        <f aca="false">IF(ISNUMBER(FIND("-", BR562)), LEFT(BR562, FIND("-", BR562) - 1), BR562)</f>
        <v>0</v>
      </c>
      <c r="BT562" s="189" t="n">
        <f aca="false">L562-M562+O562</f>
        <v>0</v>
      </c>
    </row>
    <row r="563" s="153" customFormat="true" ht="15" hidden="false" customHeight="false" outlineLevel="0" collapsed="false">
      <c r="AN563" s="153" t="e">
        <v>#NAME?</v>
      </c>
      <c r="AO563" s="153" t="e">
        <f aca="false">_xlfn.xlookup(AN563,A:A,F:F)</f>
        <v>#NAME?</v>
      </c>
      <c r="AP563" s="153" t="e">
        <f aca="false">_xlfn.xlookup(AN563,A:A,J:J)</f>
        <v>#NAME?</v>
      </c>
      <c r="AQ563" s="153" t="e">
        <f aca="false">_xlfn.xlookup(AN563,A:A,N:N)+_xlfn.xlookup(AN563,A:A,O:O)</f>
        <v>#NAME?</v>
      </c>
      <c r="AR563" s="150" t="e">
        <f aca="false">_xlfn.xlookup(AN563,A:A,AH:AH)</f>
        <v>#NAME?</v>
      </c>
      <c r="AS563" s="150" t="e">
        <f aca="false">_xlfn.xlookup(AN563,A:A,S:S)</f>
        <v>#NAME?</v>
      </c>
      <c r="AT563" s="150" t="e">
        <f aca="false">_xlfn.xlookup(AN563,A:A,AE:AE)</f>
        <v>#NAME?</v>
      </c>
      <c r="AU563" s="150" t="e">
        <f aca="false">_xlfn.xlookup(AN563,A:A,AF:AF)</f>
        <v>#NAME?</v>
      </c>
      <c r="AX563" s="146"/>
      <c r="AY563" s="150"/>
      <c r="AZ563" s="150"/>
      <c r="BA563" s="150"/>
      <c r="BB563" s="146"/>
      <c r="BC563" s="146"/>
      <c r="BD563" s="151"/>
      <c r="BE563" s="146"/>
      <c r="BF563" s="146"/>
      <c r="BH563" s="152" t="e">
        <f aca="false">_xlfn.xlookup(BG563,A:A,F:F)</f>
        <v>#NAME?</v>
      </c>
      <c r="BI563" s="153" t="e">
        <f aca="false">_xlfn.xlookup(BG563,A:A,J:J)</f>
        <v>#NAME?</v>
      </c>
      <c r="BJ563" s="153" t="e">
        <f aca="false">_xlfn.xlookup(BG563,A:A,N:N)+_xlfn.xlookup(BG563,A:A,O:O)</f>
        <v>#NAME?</v>
      </c>
      <c r="BK563" s="153" t="e">
        <f aca="false">_xlfn.xlookup(BG563,A512:A1506,AB512:AB1506)</f>
        <v>#NAME?</v>
      </c>
      <c r="BN563" s="146"/>
      <c r="BO563" s="150"/>
      <c r="BQ563" s="153" t="str">
        <f aca="false">IF(VALUE(MONTH(C563))&lt;10,YEAR(C563)&amp;"-0"&amp;MONTH(C563),YEAR(C563)&amp;"-"&amp;MONTH(C563))</f>
        <v>1900-01</v>
      </c>
      <c r="BR563" s="153" t="n">
        <f aca="false">J563</f>
        <v>0</v>
      </c>
      <c r="BS563" s="153" t="n">
        <f aca="false">IF(ISNUMBER(FIND("-", BR563)), LEFT(BR563, FIND("-", BR563) - 1), BR563)</f>
        <v>0</v>
      </c>
      <c r="BT563" s="189" t="n">
        <f aca="false">L563-M563+O563</f>
        <v>0</v>
      </c>
    </row>
    <row r="564" s="153" customFormat="true" ht="15" hidden="false" customHeight="false" outlineLevel="0" collapsed="false">
      <c r="AN564" s="153" t="e">
        <v>#NAME?</v>
      </c>
      <c r="AO564" s="153" t="e">
        <f aca="false">_xlfn.xlookup(AN564,A:A,F:F)</f>
        <v>#NAME?</v>
      </c>
      <c r="AP564" s="153" t="e">
        <f aca="false">_xlfn.xlookup(AN564,A:A,J:J)</f>
        <v>#NAME?</v>
      </c>
      <c r="AQ564" s="153" t="e">
        <f aca="false">_xlfn.xlookup(AN564,A:A,N:N)+_xlfn.xlookup(AN564,A:A,O:O)</f>
        <v>#NAME?</v>
      </c>
      <c r="AR564" s="150" t="e">
        <f aca="false">_xlfn.xlookup(AN564,A:A,AH:AH)</f>
        <v>#NAME?</v>
      </c>
      <c r="AS564" s="150" t="e">
        <f aca="false">_xlfn.xlookup(AN564,A:A,S:S)</f>
        <v>#NAME?</v>
      </c>
      <c r="AT564" s="150" t="e">
        <f aca="false">_xlfn.xlookup(AN564,A:A,AE:AE)</f>
        <v>#NAME?</v>
      </c>
      <c r="AU564" s="150" t="e">
        <f aca="false">_xlfn.xlookup(AN564,A:A,AF:AF)</f>
        <v>#NAME?</v>
      </c>
      <c r="AX564" s="146"/>
      <c r="AY564" s="150"/>
      <c r="AZ564" s="150"/>
      <c r="BA564" s="150"/>
      <c r="BB564" s="146"/>
      <c r="BC564" s="146"/>
      <c r="BD564" s="151"/>
      <c r="BE564" s="146"/>
      <c r="BF564" s="146"/>
      <c r="BH564" s="152" t="e">
        <f aca="false">_xlfn.xlookup(BG564,A:A,F:F)</f>
        <v>#NAME?</v>
      </c>
      <c r="BI564" s="153" t="e">
        <f aca="false">_xlfn.xlookup(BG564,A:A,J:J)</f>
        <v>#NAME?</v>
      </c>
      <c r="BJ564" s="153" t="e">
        <f aca="false">_xlfn.xlookup(BG564,A:A,N:N)+_xlfn.xlookup(BG564,A:A,O:O)</f>
        <v>#NAME?</v>
      </c>
      <c r="BK564" s="153" t="e">
        <f aca="false">_xlfn.xlookup(BG564,A513:A1507,AB513:AB1507)</f>
        <v>#NAME?</v>
      </c>
      <c r="BN564" s="146"/>
      <c r="BO564" s="150"/>
      <c r="BQ564" s="153" t="str">
        <f aca="false">IF(VALUE(MONTH(C564))&lt;10,YEAR(C564)&amp;"-0"&amp;MONTH(C564),YEAR(C564)&amp;"-"&amp;MONTH(C564))</f>
        <v>1900-01</v>
      </c>
      <c r="BR564" s="153" t="n">
        <f aca="false">J564</f>
        <v>0</v>
      </c>
      <c r="BS564" s="153" t="n">
        <f aca="false">IF(ISNUMBER(FIND("-", BR564)), LEFT(BR564, FIND("-", BR564) - 1), BR564)</f>
        <v>0</v>
      </c>
      <c r="BT564" s="189" t="n">
        <f aca="false">L564-M564+O564</f>
        <v>0</v>
      </c>
    </row>
    <row r="565" s="153" customFormat="true" ht="15" hidden="false" customHeight="false" outlineLevel="0" collapsed="false">
      <c r="AN565" s="153" t="e">
        <v>#NAME?</v>
      </c>
      <c r="AO565" s="153" t="e">
        <f aca="false">_xlfn.xlookup(AN565,A:A,F:F)</f>
        <v>#NAME?</v>
      </c>
      <c r="AP565" s="153" t="e">
        <f aca="false">_xlfn.xlookup(AN565,A:A,J:J)</f>
        <v>#NAME?</v>
      </c>
      <c r="AQ565" s="153" t="e">
        <f aca="false">_xlfn.xlookup(AN565,A:A,N:N)+_xlfn.xlookup(AN565,A:A,O:O)</f>
        <v>#NAME?</v>
      </c>
      <c r="AR565" s="150" t="e">
        <f aca="false">_xlfn.xlookup(AN565,A:A,AH:AH)</f>
        <v>#NAME?</v>
      </c>
      <c r="AS565" s="150" t="e">
        <f aca="false">_xlfn.xlookup(AN565,A:A,S:S)</f>
        <v>#NAME?</v>
      </c>
      <c r="AT565" s="150" t="e">
        <f aca="false">_xlfn.xlookup(AN565,A:A,AE:AE)</f>
        <v>#NAME?</v>
      </c>
      <c r="AU565" s="150" t="e">
        <f aca="false">_xlfn.xlookup(AN565,A:A,AF:AF)</f>
        <v>#NAME?</v>
      </c>
      <c r="AX565" s="146"/>
      <c r="AY565" s="150"/>
      <c r="AZ565" s="150"/>
      <c r="BA565" s="150"/>
      <c r="BB565" s="146"/>
      <c r="BC565" s="146"/>
      <c r="BD565" s="151"/>
      <c r="BE565" s="146"/>
      <c r="BF565" s="146"/>
      <c r="BH565" s="152" t="e">
        <f aca="false">_xlfn.xlookup(BG565,A:A,F:F)</f>
        <v>#NAME?</v>
      </c>
      <c r="BI565" s="153" t="e">
        <f aca="false">_xlfn.xlookup(BG565,A:A,J:J)</f>
        <v>#NAME?</v>
      </c>
      <c r="BJ565" s="153" t="e">
        <f aca="false">_xlfn.xlookup(BG565,A:A,N:N)+_xlfn.xlookup(BG565,A:A,O:O)</f>
        <v>#NAME?</v>
      </c>
      <c r="BK565" s="153" t="e">
        <f aca="false">_xlfn.xlookup(BG565,A514:A1508,AB514:AB1508)</f>
        <v>#NAME?</v>
      </c>
      <c r="BN565" s="146"/>
      <c r="BO565" s="150"/>
      <c r="BQ565" s="153" t="str">
        <f aca="false">IF(VALUE(MONTH(C565))&lt;10,YEAR(C565)&amp;"-0"&amp;MONTH(C565),YEAR(C565)&amp;"-"&amp;MONTH(C565))</f>
        <v>1900-01</v>
      </c>
      <c r="BR565" s="153" t="n">
        <f aca="false">J565</f>
        <v>0</v>
      </c>
      <c r="BS565" s="153" t="n">
        <f aca="false">IF(ISNUMBER(FIND("-", BR565)), LEFT(BR565, FIND("-", BR565) - 1), BR565)</f>
        <v>0</v>
      </c>
      <c r="BT565" s="189" t="n">
        <f aca="false">L565-M565+O565</f>
        <v>0</v>
      </c>
    </row>
    <row r="566" s="153" customFormat="true" ht="15" hidden="false" customHeight="false" outlineLevel="0" collapsed="false">
      <c r="AN566" s="153" t="e">
        <v>#NAME?</v>
      </c>
      <c r="AO566" s="153" t="e">
        <f aca="false">_xlfn.xlookup(AN566,A:A,F:F)</f>
        <v>#NAME?</v>
      </c>
      <c r="AP566" s="153" t="e">
        <f aca="false">_xlfn.xlookup(AN566,A:A,J:J)</f>
        <v>#NAME?</v>
      </c>
      <c r="AQ566" s="153" t="e">
        <f aca="false">_xlfn.xlookup(AN566,A:A,N:N)+_xlfn.xlookup(AN566,A:A,O:O)</f>
        <v>#NAME?</v>
      </c>
      <c r="AR566" s="150" t="e">
        <f aca="false">_xlfn.xlookup(AN566,A:A,AH:AH)</f>
        <v>#NAME?</v>
      </c>
      <c r="AS566" s="150" t="e">
        <f aca="false">_xlfn.xlookup(AN566,A:A,S:S)</f>
        <v>#NAME?</v>
      </c>
      <c r="AT566" s="150" t="e">
        <f aca="false">_xlfn.xlookup(AN566,A:A,AE:AE)</f>
        <v>#NAME?</v>
      </c>
      <c r="AU566" s="150" t="e">
        <f aca="false">_xlfn.xlookup(AN566,A:A,AF:AF)</f>
        <v>#NAME?</v>
      </c>
      <c r="AX566" s="146"/>
      <c r="AY566" s="150"/>
      <c r="AZ566" s="150"/>
      <c r="BA566" s="150"/>
      <c r="BB566" s="146"/>
      <c r="BC566" s="146"/>
      <c r="BD566" s="151"/>
      <c r="BE566" s="146"/>
      <c r="BF566" s="146"/>
      <c r="BH566" s="152" t="e">
        <f aca="false">_xlfn.xlookup(BG566,A:A,F:F)</f>
        <v>#NAME?</v>
      </c>
      <c r="BI566" s="153" t="e">
        <f aca="false">_xlfn.xlookup(BG566,A:A,J:J)</f>
        <v>#NAME?</v>
      </c>
      <c r="BJ566" s="153" t="e">
        <f aca="false">_xlfn.xlookup(BG566,A:A,N:N)+_xlfn.xlookup(BG566,A:A,O:O)</f>
        <v>#NAME?</v>
      </c>
      <c r="BK566" s="153" t="e">
        <f aca="false">_xlfn.xlookup(BG566,A515:A1509,AB515:AB1509)</f>
        <v>#NAME?</v>
      </c>
      <c r="BN566" s="146"/>
      <c r="BO566" s="150"/>
      <c r="BQ566" s="153" t="str">
        <f aca="false">IF(VALUE(MONTH(C566))&lt;10,YEAR(C566)&amp;"-0"&amp;MONTH(C566),YEAR(C566)&amp;"-"&amp;MONTH(C566))</f>
        <v>1900-01</v>
      </c>
      <c r="BR566" s="153" t="n">
        <f aca="false">J566</f>
        <v>0</v>
      </c>
      <c r="BS566" s="153" t="n">
        <f aca="false">IF(ISNUMBER(FIND("-", BR566)), LEFT(BR566, FIND("-", BR566) - 1), BR566)</f>
        <v>0</v>
      </c>
      <c r="BT566" s="189" t="n">
        <f aca="false">L566-M566+O566</f>
        <v>0</v>
      </c>
    </row>
    <row r="567" s="153" customFormat="true" ht="15" hidden="false" customHeight="false" outlineLevel="0" collapsed="false">
      <c r="AN567" s="153" t="e">
        <v>#NAME?</v>
      </c>
      <c r="AO567" s="153" t="e">
        <f aca="false">_xlfn.xlookup(AN567,A:A,F:F)</f>
        <v>#NAME?</v>
      </c>
      <c r="AP567" s="153" t="e">
        <f aca="false">_xlfn.xlookup(AN567,A:A,J:J)</f>
        <v>#NAME?</v>
      </c>
      <c r="AQ567" s="153" t="e">
        <f aca="false">_xlfn.xlookup(AN567,A:A,N:N)+_xlfn.xlookup(AN567,A:A,O:O)</f>
        <v>#NAME?</v>
      </c>
      <c r="AR567" s="150" t="e">
        <f aca="false">_xlfn.xlookup(AN567,A:A,AH:AH)</f>
        <v>#NAME?</v>
      </c>
      <c r="AS567" s="150" t="e">
        <f aca="false">_xlfn.xlookup(AN567,A:A,S:S)</f>
        <v>#NAME?</v>
      </c>
      <c r="AT567" s="150" t="e">
        <f aca="false">_xlfn.xlookup(AN567,A:A,AE:AE)</f>
        <v>#NAME?</v>
      </c>
      <c r="AU567" s="150" t="e">
        <f aca="false">_xlfn.xlookup(AN567,A:A,AF:AF)</f>
        <v>#NAME?</v>
      </c>
      <c r="AX567" s="146"/>
      <c r="AY567" s="150"/>
      <c r="AZ567" s="150"/>
      <c r="BA567" s="150"/>
      <c r="BB567" s="146"/>
      <c r="BC567" s="146"/>
      <c r="BD567" s="151"/>
      <c r="BE567" s="146"/>
      <c r="BF567" s="146"/>
      <c r="BH567" s="152" t="e">
        <f aca="false">_xlfn.xlookup(BG567,A:A,F:F)</f>
        <v>#NAME?</v>
      </c>
      <c r="BI567" s="153" t="e">
        <f aca="false">_xlfn.xlookup(BG567,A:A,J:J)</f>
        <v>#NAME?</v>
      </c>
      <c r="BJ567" s="153" t="e">
        <f aca="false">_xlfn.xlookup(BG567,A:A,N:N)+_xlfn.xlookup(BG567,A:A,O:O)</f>
        <v>#NAME?</v>
      </c>
      <c r="BK567" s="153" t="e">
        <f aca="false">_xlfn.xlookup(BG567,A516:A1510,AB516:AB1510)</f>
        <v>#NAME?</v>
      </c>
      <c r="BN567" s="146"/>
      <c r="BO567" s="150"/>
      <c r="BQ567" s="153" t="str">
        <f aca="false">IF(VALUE(MONTH(C567))&lt;10,YEAR(C567)&amp;"-0"&amp;MONTH(C567),YEAR(C567)&amp;"-"&amp;MONTH(C567))</f>
        <v>1900-01</v>
      </c>
      <c r="BR567" s="153" t="n">
        <f aca="false">J567</f>
        <v>0</v>
      </c>
      <c r="BS567" s="153" t="n">
        <f aca="false">IF(ISNUMBER(FIND("-", BR567)), LEFT(BR567, FIND("-", BR567) - 1), BR567)</f>
        <v>0</v>
      </c>
      <c r="BT567" s="189" t="n">
        <f aca="false">L567-M567+O567</f>
        <v>0</v>
      </c>
    </row>
    <row r="568" s="153" customFormat="true" ht="15" hidden="false" customHeight="false" outlineLevel="0" collapsed="false">
      <c r="AN568" s="153" t="e">
        <v>#NAME?</v>
      </c>
      <c r="AO568" s="153" t="e">
        <f aca="false">_xlfn.xlookup(AN568,A:A,F:F)</f>
        <v>#NAME?</v>
      </c>
      <c r="AP568" s="153" t="e">
        <f aca="false">_xlfn.xlookup(AN568,A:A,J:J)</f>
        <v>#NAME?</v>
      </c>
      <c r="AQ568" s="153" t="e">
        <f aca="false">_xlfn.xlookup(AN568,A:A,N:N)+_xlfn.xlookup(AN568,A:A,O:O)</f>
        <v>#NAME?</v>
      </c>
      <c r="AR568" s="150" t="e">
        <f aca="false">_xlfn.xlookup(AN568,A:A,AH:AH)</f>
        <v>#NAME?</v>
      </c>
      <c r="AS568" s="150" t="e">
        <f aca="false">_xlfn.xlookup(AN568,A:A,S:S)</f>
        <v>#NAME?</v>
      </c>
      <c r="AT568" s="150" t="e">
        <f aca="false">_xlfn.xlookup(AN568,A:A,AE:AE)</f>
        <v>#NAME?</v>
      </c>
      <c r="AU568" s="150" t="e">
        <f aca="false">_xlfn.xlookup(AN568,A:A,AF:AF)</f>
        <v>#NAME?</v>
      </c>
      <c r="AX568" s="146"/>
      <c r="AY568" s="150"/>
      <c r="AZ568" s="150"/>
      <c r="BA568" s="150"/>
      <c r="BB568" s="146"/>
      <c r="BC568" s="146"/>
      <c r="BD568" s="151"/>
      <c r="BE568" s="146"/>
      <c r="BF568" s="146"/>
      <c r="BH568" s="152" t="e">
        <f aca="false">_xlfn.xlookup(BG568,A:A,F:F)</f>
        <v>#NAME?</v>
      </c>
      <c r="BI568" s="153" t="e">
        <f aca="false">_xlfn.xlookup(BG568,A:A,J:J)</f>
        <v>#NAME?</v>
      </c>
      <c r="BJ568" s="153" t="e">
        <f aca="false">_xlfn.xlookup(BG568,A:A,N:N)+_xlfn.xlookup(BG568,A:A,O:O)</f>
        <v>#NAME?</v>
      </c>
      <c r="BK568" s="153" t="e">
        <f aca="false">_xlfn.xlookup(BG568,A517:A1511,AB517:AB1511)</f>
        <v>#NAME?</v>
      </c>
      <c r="BN568" s="146"/>
      <c r="BO568" s="150"/>
      <c r="BQ568" s="153" t="str">
        <f aca="false">IF(VALUE(MONTH(C568))&lt;10,YEAR(C568)&amp;"-0"&amp;MONTH(C568),YEAR(C568)&amp;"-"&amp;MONTH(C568))</f>
        <v>1900-01</v>
      </c>
      <c r="BR568" s="153" t="n">
        <f aca="false">J568</f>
        <v>0</v>
      </c>
      <c r="BS568" s="153" t="n">
        <f aca="false">IF(ISNUMBER(FIND("-", BR568)), LEFT(BR568, FIND("-", BR568) - 1), BR568)</f>
        <v>0</v>
      </c>
      <c r="BT568" s="189" t="n">
        <f aca="false">L568-M568+O568</f>
        <v>0</v>
      </c>
    </row>
    <row r="569" s="153" customFormat="true" ht="15" hidden="false" customHeight="false" outlineLevel="0" collapsed="false">
      <c r="AN569" s="153" t="e">
        <v>#NAME?</v>
      </c>
      <c r="AO569" s="153" t="e">
        <f aca="false">_xlfn.xlookup(AN569,A:A,F:F)</f>
        <v>#NAME?</v>
      </c>
      <c r="AP569" s="153" t="e">
        <f aca="false">_xlfn.xlookup(AN569,A:A,J:J)</f>
        <v>#NAME?</v>
      </c>
      <c r="AQ569" s="153" t="e">
        <f aca="false">_xlfn.xlookup(AN569,A:A,N:N)+_xlfn.xlookup(AN569,A:A,O:O)</f>
        <v>#NAME?</v>
      </c>
      <c r="AR569" s="150" t="e">
        <f aca="false">_xlfn.xlookup(AN569,A:A,AH:AH)</f>
        <v>#NAME?</v>
      </c>
      <c r="AS569" s="150" t="e">
        <f aca="false">_xlfn.xlookup(AN569,A:A,S:S)</f>
        <v>#NAME?</v>
      </c>
      <c r="AT569" s="150" t="e">
        <f aca="false">_xlfn.xlookup(AN569,A:A,AE:AE)</f>
        <v>#NAME?</v>
      </c>
      <c r="AU569" s="150" t="e">
        <f aca="false">_xlfn.xlookup(AN569,A:A,AF:AF)</f>
        <v>#NAME?</v>
      </c>
      <c r="AX569" s="146"/>
      <c r="AY569" s="150"/>
      <c r="AZ569" s="150"/>
      <c r="BA569" s="150"/>
      <c r="BB569" s="146"/>
      <c r="BC569" s="146"/>
      <c r="BD569" s="151"/>
      <c r="BE569" s="146"/>
      <c r="BF569" s="146"/>
      <c r="BH569" s="152" t="e">
        <f aca="false">_xlfn.xlookup(BG569,A:A,F:F)</f>
        <v>#NAME?</v>
      </c>
      <c r="BI569" s="153" t="e">
        <f aca="false">_xlfn.xlookup(BG569,A:A,J:J)</f>
        <v>#NAME?</v>
      </c>
      <c r="BJ569" s="153" t="e">
        <f aca="false">_xlfn.xlookup(BG569,A:A,N:N)+_xlfn.xlookup(BG569,A:A,O:O)</f>
        <v>#NAME?</v>
      </c>
      <c r="BK569" s="153" t="e">
        <f aca="false">_xlfn.xlookup(BG569,A518:A1512,AB518:AB1512)</f>
        <v>#NAME?</v>
      </c>
      <c r="BN569" s="146"/>
      <c r="BO569" s="150"/>
      <c r="BQ569" s="153" t="str">
        <f aca="false">IF(VALUE(MONTH(C569))&lt;10,YEAR(C569)&amp;"-0"&amp;MONTH(C569),YEAR(C569)&amp;"-"&amp;MONTH(C569))</f>
        <v>1900-01</v>
      </c>
      <c r="BR569" s="153" t="n">
        <f aca="false">J569</f>
        <v>0</v>
      </c>
      <c r="BS569" s="153" t="n">
        <f aca="false">IF(ISNUMBER(FIND("-", BR569)), LEFT(BR569, FIND("-", BR569) - 1), BR569)</f>
        <v>0</v>
      </c>
      <c r="BT569" s="189" t="n">
        <f aca="false">L569-M569+O569</f>
        <v>0</v>
      </c>
    </row>
    <row r="570" s="153" customFormat="true" ht="15" hidden="false" customHeight="false" outlineLevel="0" collapsed="false">
      <c r="AN570" s="153" t="e">
        <v>#NAME?</v>
      </c>
      <c r="AO570" s="153" t="e">
        <f aca="false">_xlfn.xlookup(AN570,A:A,F:F)</f>
        <v>#NAME?</v>
      </c>
      <c r="AP570" s="153" t="e">
        <f aca="false">_xlfn.xlookup(AN570,A:A,J:J)</f>
        <v>#NAME?</v>
      </c>
      <c r="AQ570" s="153" t="e">
        <f aca="false">_xlfn.xlookup(AN570,A:A,N:N)+_xlfn.xlookup(AN570,A:A,O:O)</f>
        <v>#NAME?</v>
      </c>
      <c r="AR570" s="150" t="e">
        <f aca="false">_xlfn.xlookup(AN570,A:A,AH:AH)</f>
        <v>#NAME?</v>
      </c>
      <c r="AS570" s="150" t="e">
        <f aca="false">_xlfn.xlookup(AN570,A:A,S:S)</f>
        <v>#NAME?</v>
      </c>
      <c r="AT570" s="150" t="e">
        <f aca="false">_xlfn.xlookup(AN570,A:A,AE:AE)</f>
        <v>#NAME?</v>
      </c>
      <c r="AU570" s="150" t="e">
        <f aca="false">_xlfn.xlookup(AN570,A:A,AF:AF)</f>
        <v>#NAME?</v>
      </c>
      <c r="AX570" s="146"/>
      <c r="AY570" s="150"/>
      <c r="AZ570" s="150"/>
      <c r="BA570" s="150"/>
      <c r="BB570" s="146"/>
      <c r="BC570" s="146"/>
      <c r="BD570" s="151"/>
      <c r="BE570" s="146"/>
      <c r="BF570" s="146"/>
      <c r="BH570" s="152" t="e">
        <f aca="false">_xlfn.xlookup(BG570,A:A,F:F)</f>
        <v>#NAME?</v>
      </c>
      <c r="BI570" s="153" t="e">
        <f aca="false">_xlfn.xlookup(BG570,A:A,J:J)</f>
        <v>#NAME?</v>
      </c>
      <c r="BJ570" s="153" t="e">
        <f aca="false">_xlfn.xlookup(BG570,A:A,N:N)+_xlfn.xlookup(BG570,A:A,O:O)</f>
        <v>#NAME?</v>
      </c>
      <c r="BK570" s="153" t="e">
        <f aca="false">_xlfn.xlookup(BG570,A519:A1513,AB519:AB1513)</f>
        <v>#NAME?</v>
      </c>
      <c r="BN570" s="146"/>
      <c r="BO570" s="150"/>
      <c r="BQ570" s="153" t="str">
        <f aca="false">IF(VALUE(MONTH(C570))&lt;10,YEAR(C570)&amp;"-0"&amp;MONTH(C570),YEAR(C570)&amp;"-"&amp;MONTH(C570))</f>
        <v>1900-01</v>
      </c>
      <c r="BR570" s="153" t="n">
        <f aca="false">J570</f>
        <v>0</v>
      </c>
      <c r="BS570" s="153" t="n">
        <f aca="false">IF(ISNUMBER(FIND("-", BR570)), LEFT(BR570, FIND("-", BR570) - 1), BR570)</f>
        <v>0</v>
      </c>
      <c r="BT570" s="189" t="n">
        <f aca="false">L570-M570+O570</f>
        <v>0</v>
      </c>
    </row>
    <row r="571" s="153" customFormat="true" ht="15" hidden="false" customHeight="false" outlineLevel="0" collapsed="false">
      <c r="AN571" s="153" t="e">
        <v>#NAME?</v>
      </c>
      <c r="AO571" s="153" t="e">
        <f aca="false">_xlfn.xlookup(AN571,A:A,F:F)</f>
        <v>#NAME?</v>
      </c>
      <c r="AP571" s="153" t="e">
        <f aca="false">_xlfn.xlookup(AN571,A:A,J:J)</f>
        <v>#NAME?</v>
      </c>
      <c r="AQ571" s="153" t="e">
        <f aca="false">_xlfn.xlookup(AN571,A:A,N:N)+_xlfn.xlookup(AN571,A:A,O:O)</f>
        <v>#NAME?</v>
      </c>
      <c r="AR571" s="150" t="e">
        <f aca="false">_xlfn.xlookup(AN571,A:A,AH:AH)</f>
        <v>#NAME?</v>
      </c>
      <c r="AS571" s="150" t="e">
        <f aca="false">_xlfn.xlookup(AN571,A:A,S:S)</f>
        <v>#NAME?</v>
      </c>
      <c r="AT571" s="150" t="e">
        <f aca="false">_xlfn.xlookup(AN571,A:A,AE:AE)</f>
        <v>#NAME?</v>
      </c>
      <c r="AU571" s="150" t="e">
        <f aca="false">_xlfn.xlookup(AN571,A:A,AF:AF)</f>
        <v>#NAME?</v>
      </c>
      <c r="AX571" s="146"/>
      <c r="AY571" s="150"/>
      <c r="AZ571" s="150"/>
      <c r="BA571" s="150"/>
      <c r="BB571" s="146"/>
      <c r="BC571" s="146"/>
      <c r="BD571" s="151"/>
      <c r="BE571" s="146"/>
      <c r="BF571" s="146"/>
      <c r="BH571" s="152" t="e">
        <f aca="false">_xlfn.xlookup(BG571,A:A,F:F)</f>
        <v>#NAME?</v>
      </c>
      <c r="BI571" s="153" t="e">
        <f aca="false">_xlfn.xlookup(BG571,A:A,J:J)</f>
        <v>#NAME?</v>
      </c>
      <c r="BJ571" s="153" t="e">
        <f aca="false">_xlfn.xlookup(BG571,A:A,N:N)+_xlfn.xlookup(BG571,A:A,O:O)</f>
        <v>#NAME?</v>
      </c>
      <c r="BK571" s="153" t="e">
        <f aca="false">_xlfn.xlookup(BG571,A520:A1514,AB520:AB1514)</f>
        <v>#NAME?</v>
      </c>
      <c r="BN571" s="146"/>
      <c r="BO571" s="150"/>
      <c r="BQ571" s="153" t="str">
        <f aca="false">IF(VALUE(MONTH(C571))&lt;10,YEAR(C571)&amp;"-0"&amp;MONTH(C571),YEAR(C571)&amp;"-"&amp;MONTH(C571))</f>
        <v>1900-01</v>
      </c>
      <c r="BR571" s="153" t="n">
        <f aca="false">J571</f>
        <v>0</v>
      </c>
      <c r="BS571" s="153" t="n">
        <f aca="false">IF(ISNUMBER(FIND("-", BR571)), LEFT(BR571, FIND("-", BR571) - 1), BR571)</f>
        <v>0</v>
      </c>
      <c r="BT571" s="189" t="n">
        <f aca="false">L571-M571+O571</f>
        <v>0</v>
      </c>
    </row>
    <row r="572" s="153" customFormat="true" ht="15" hidden="false" customHeight="false" outlineLevel="0" collapsed="false">
      <c r="AN572" s="153" t="e">
        <v>#NAME?</v>
      </c>
      <c r="AO572" s="153" t="e">
        <f aca="false">_xlfn.xlookup(AN572,A:A,F:F)</f>
        <v>#NAME?</v>
      </c>
      <c r="AP572" s="153" t="e">
        <f aca="false">_xlfn.xlookup(AN572,A:A,J:J)</f>
        <v>#NAME?</v>
      </c>
      <c r="AQ572" s="153" t="e">
        <f aca="false">_xlfn.xlookup(AN572,A:A,N:N)+_xlfn.xlookup(AN572,A:A,O:O)</f>
        <v>#NAME?</v>
      </c>
      <c r="AR572" s="150" t="e">
        <f aca="false">_xlfn.xlookup(AN572,A:A,AH:AH)</f>
        <v>#NAME?</v>
      </c>
      <c r="AS572" s="150" t="e">
        <f aca="false">_xlfn.xlookup(AN572,A:A,S:S)</f>
        <v>#NAME?</v>
      </c>
      <c r="AT572" s="150" t="e">
        <f aca="false">_xlfn.xlookup(AN572,A:A,AE:AE)</f>
        <v>#NAME?</v>
      </c>
      <c r="AU572" s="150" t="e">
        <f aca="false">_xlfn.xlookup(AN572,A:A,AF:AF)</f>
        <v>#NAME?</v>
      </c>
      <c r="AX572" s="146"/>
      <c r="AY572" s="150"/>
      <c r="AZ572" s="150"/>
      <c r="BA572" s="150"/>
      <c r="BB572" s="146"/>
      <c r="BC572" s="146"/>
      <c r="BD572" s="151"/>
      <c r="BE572" s="146"/>
      <c r="BF572" s="146"/>
      <c r="BH572" s="152" t="e">
        <f aca="false">_xlfn.xlookup(BG572,A:A,F:F)</f>
        <v>#NAME?</v>
      </c>
      <c r="BI572" s="153" t="e">
        <f aca="false">_xlfn.xlookup(BG572,A:A,J:J)</f>
        <v>#NAME?</v>
      </c>
      <c r="BJ572" s="153" t="e">
        <f aca="false">_xlfn.xlookup(BG572,A:A,N:N)+_xlfn.xlookup(BG572,A:A,O:O)</f>
        <v>#NAME?</v>
      </c>
      <c r="BK572" s="153" t="e">
        <f aca="false">_xlfn.xlookup(BG572,A521:A1515,AB521:AB1515)</f>
        <v>#NAME?</v>
      </c>
      <c r="BN572" s="146"/>
      <c r="BO572" s="150"/>
      <c r="BQ572" s="153" t="str">
        <f aca="false">IF(VALUE(MONTH(C572))&lt;10,YEAR(C572)&amp;"-0"&amp;MONTH(C572),YEAR(C572)&amp;"-"&amp;MONTH(C572))</f>
        <v>1900-01</v>
      </c>
      <c r="BR572" s="153" t="n">
        <f aca="false">J572</f>
        <v>0</v>
      </c>
      <c r="BS572" s="153" t="n">
        <f aca="false">IF(ISNUMBER(FIND("-", BR572)), LEFT(BR572, FIND("-", BR572) - 1), BR572)</f>
        <v>0</v>
      </c>
      <c r="BT572" s="189" t="n">
        <f aca="false">L572-M572+O572</f>
        <v>0</v>
      </c>
    </row>
    <row r="573" s="153" customFormat="true" ht="15" hidden="false" customHeight="false" outlineLevel="0" collapsed="false">
      <c r="AN573" s="153" t="e">
        <v>#NAME?</v>
      </c>
      <c r="AO573" s="153" t="e">
        <f aca="false">_xlfn.xlookup(AN573,A:A,F:F)</f>
        <v>#NAME?</v>
      </c>
      <c r="AP573" s="153" t="e">
        <f aca="false">_xlfn.xlookup(AN573,A:A,J:J)</f>
        <v>#NAME?</v>
      </c>
      <c r="AQ573" s="153" t="e">
        <f aca="false">_xlfn.xlookup(AN573,A:A,N:N)+_xlfn.xlookup(AN573,A:A,O:O)</f>
        <v>#NAME?</v>
      </c>
      <c r="AR573" s="150" t="e">
        <f aca="false">_xlfn.xlookup(AN573,A:A,AH:AH)</f>
        <v>#NAME?</v>
      </c>
      <c r="AS573" s="150" t="e">
        <f aca="false">_xlfn.xlookup(AN573,A:A,S:S)</f>
        <v>#NAME?</v>
      </c>
      <c r="AT573" s="150" t="e">
        <f aca="false">_xlfn.xlookup(AN573,A:A,AE:AE)</f>
        <v>#NAME?</v>
      </c>
      <c r="AU573" s="150" t="e">
        <f aca="false">_xlfn.xlookup(AN573,A:A,AF:AF)</f>
        <v>#NAME?</v>
      </c>
      <c r="AX573" s="146"/>
      <c r="AY573" s="150"/>
      <c r="AZ573" s="150"/>
      <c r="BA573" s="150"/>
      <c r="BB573" s="146"/>
      <c r="BC573" s="146"/>
      <c r="BD573" s="151"/>
      <c r="BE573" s="146"/>
      <c r="BF573" s="146"/>
      <c r="BH573" s="152" t="e">
        <f aca="false">_xlfn.xlookup(BG573,A:A,F:F)</f>
        <v>#NAME?</v>
      </c>
      <c r="BI573" s="153" t="e">
        <f aca="false">_xlfn.xlookup(BG573,A:A,J:J)</f>
        <v>#NAME?</v>
      </c>
      <c r="BJ573" s="153" t="e">
        <f aca="false">_xlfn.xlookup(BG573,A:A,N:N)+_xlfn.xlookup(BG573,A:A,O:O)</f>
        <v>#NAME?</v>
      </c>
      <c r="BK573" s="153" t="e">
        <f aca="false">_xlfn.xlookup(BG573,A522:A1516,AB522:AB1516)</f>
        <v>#NAME?</v>
      </c>
      <c r="BN573" s="146"/>
      <c r="BO573" s="150"/>
      <c r="BQ573" s="153" t="str">
        <f aca="false">IF(VALUE(MONTH(C573))&lt;10,YEAR(C573)&amp;"-0"&amp;MONTH(C573),YEAR(C573)&amp;"-"&amp;MONTH(C573))</f>
        <v>1900-01</v>
      </c>
      <c r="BR573" s="153" t="n">
        <f aca="false">J573</f>
        <v>0</v>
      </c>
      <c r="BS573" s="153" t="n">
        <f aca="false">IF(ISNUMBER(FIND("-", BR573)), LEFT(BR573, FIND("-", BR573) - 1), BR573)</f>
        <v>0</v>
      </c>
      <c r="BT573" s="189" t="n">
        <f aca="false">L573-M573+O573</f>
        <v>0</v>
      </c>
    </row>
    <row r="574" s="153" customFormat="true" ht="15" hidden="false" customHeight="false" outlineLevel="0" collapsed="false">
      <c r="AN574" s="153" t="e">
        <v>#NAME?</v>
      </c>
      <c r="AO574" s="153" t="e">
        <f aca="false">_xlfn.xlookup(AN574,A:A,F:F)</f>
        <v>#NAME?</v>
      </c>
      <c r="AP574" s="153" t="e">
        <f aca="false">_xlfn.xlookup(AN574,A:A,J:J)</f>
        <v>#NAME?</v>
      </c>
      <c r="AQ574" s="153" t="e">
        <f aca="false">_xlfn.xlookup(AN574,A:A,N:N)+_xlfn.xlookup(AN574,A:A,O:O)</f>
        <v>#NAME?</v>
      </c>
      <c r="AR574" s="150" t="e">
        <f aca="false">_xlfn.xlookup(AN574,A:A,AH:AH)</f>
        <v>#NAME?</v>
      </c>
      <c r="AS574" s="150" t="e">
        <f aca="false">_xlfn.xlookup(AN574,A:A,S:S)</f>
        <v>#NAME?</v>
      </c>
      <c r="AT574" s="150" t="e">
        <f aca="false">_xlfn.xlookup(AN574,A:A,AE:AE)</f>
        <v>#NAME?</v>
      </c>
      <c r="AU574" s="150" t="e">
        <f aca="false">_xlfn.xlookup(AN574,A:A,AF:AF)</f>
        <v>#NAME?</v>
      </c>
      <c r="AX574" s="146"/>
      <c r="AY574" s="150"/>
      <c r="AZ574" s="150"/>
      <c r="BA574" s="150"/>
      <c r="BB574" s="146"/>
      <c r="BC574" s="146"/>
      <c r="BD574" s="151"/>
      <c r="BE574" s="146"/>
      <c r="BF574" s="146"/>
      <c r="BH574" s="152" t="e">
        <f aca="false">_xlfn.xlookup(BG574,A:A,F:F)</f>
        <v>#NAME?</v>
      </c>
      <c r="BI574" s="153" t="e">
        <f aca="false">_xlfn.xlookup(BG574,A:A,J:J)</f>
        <v>#NAME?</v>
      </c>
      <c r="BJ574" s="153" t="e">
        <f aca="false">_xlfn.xlookup(BG574,A:A,N:N)+_xlfn.xlookup(BG574,A:A,O:O)</f>
        <v>#NAME?</v>
      </c>
      <c r="BK574" s="153" t="e">
        <f aca="false">_xlfn.xlookup(BG574,A523:A1517,AB523:AB1517)</f>
        <v>#NAME?</v>
      </c>
      <c r="BN574" s="146"/>
      <c r="BO574" s="150"/>
      <c r="BQ574" s="153" t="str">
        <f aca="false">IF(VALUE(MONTH(C574))&lt;10,YEAR(C574)&amp;"-0"&amp;MONTH(C574),YEAR(C574)&amp;"-"&amp;MONTH(C574))</f>
        <v>1900-01</v>
      </c>
      <c r="BR574" s="153" t="n">
        <f aca="false">J574</f>
        <v>0</v>
      </c>
      <c r="BS574" s="153" t="n">
        <f aca="false">IF(ISNUMBER(FIND("-", BR574)), LEFT(BR574, FIND("-", BR574) - 1), BR574)</f>
        <v>0</v>
      </c>
      <c r="BT574" s="189" t="n">
        <f aca="false">L574-M574+O574</f>
        <v>0</v>
      </c>
    </row>
    <row r="575" s="153" customFormat="true" ht="15" hidden="false" customHeight="false" outlineLevel="0" collapsed="false">
      <c r="AN575" s="153" t="e">
        <v>#NAME?</v>
      </c>
      <c r="AO575" s="153" t="e">
        <f aca="false">_xlfn.xlookup(AN575,A:A,F:F)</f>
        <v>#NAME?</v>
      </c>
      <c r="AP575" s="153" t="e">
        <f aca="false">_xlfn.xlookup(AN575,A:A,J:J)</f>
        <v>#NAME?</v>
      </c>
      <c r="AQ575" s="153" t="e">
        <f aca="false">_xlfn.xlookup(AN575,A:A,N:N)+_xlfn.xlookup(AN575,A:A,O:O)</f>
        <v>#NAME?</v>
      </c>
      <c r="AR575" s="150" t="e">
        <f aca="false">_xlfn.xlookup(AN575,A:A,AH:AH)</f>
        <v>#NAME?</v>
      </c>
      <c r="AS575" s="150" t="e">
        <f aca="false">_xlfn.xlookup(AN575,A:A,S:S)</f>
        <v>#NAME?</v>
      </c>
      <c r="AT575" s="150" t="e">
        <f aca="false">_xlfn.xlookup(AN575,A:A,AE:AE)</f>
        <v>#NAME?</v>
      </c>
      <c r="AU575" s="150" t="e">
        <f aca="false">_xlfn.xlookup(AN575,A:A,AF:AF)</f>
        <v>#NAME?</v>
      </c>
      <c r="AX575" s="146"/>
      <c r="AY575" s="150"/>
      <c r="AZ575" s="150"/>
      <c r="BA575" s="150"/>
      <c r="BB575" s="146"/>
      <c r="BC575" s="146"/>
      <c r="BD575" s="151"/>
      <c r="BE575" s="146"/>
      <c r="BF575" s="146"/>
      <c r="BH575" s="152" t="e">
        <f aca="false">_xlfn.xlookup(BG575,A:A,F:F)</f>
        <v>#NAME?</v>
      </c>
      <c r="BI575" s="153" t="e">
        <f aca="false">_xlfn.xlookup(BG575,A:A,J:J)</f>
        <v>#NAME?</v>
      </c>
      <c r="BJ575" s="153" t="e">
        <f aca="false">_xlfn.xlookup(BG575,A:A,N:N)+_xlfn.xlookup(BG575,A:A,O:O)</f>
        <v>#NAME?</v>
      </c>
      <c r="BK575" s="153" t="e">
        <f aca="false">_xlfn.xlookup(BG575,A524:A1518,AB524:AB1518)</f>
        <v>#NAME?</v>
      </c>
      <c r="BN575" s="146"/>
      <c r="BO575" s="150"/>
      <c r="BQ575" s="153" t="str">
        <f aca="false">IF(VALUE(MONTH(C575))&lt;10,YEAR(C575)&amp;"-0"&amp;MONTH(C575),YEAR(C575)&amp;"-"&amp;MONTH(C575))</f>
        <v>1900-01</v>
      </c>
      <c r="BR575" s="153" t="n">
        <f aca="false">J575</f>
        <v>0</v>
      </c>
      <c r="BS575" s="153" t="n">
        <f aca="false">IF(ISNUMBER(FIND("-", BR575)), LEFT(BR575, FIND("-", BR575) - 1), BR575)</f>
        <v>0</v>
      </c>
      <c r="BT575" s="189" t="n">
        <f aca="false">L575-M575+O575</f>
        <v>0</v>
      </c>
    </row>
    <row r="576" s="153" customFormat="true" ht="15" hidden="false" customHeight="false" outlineLevel="0" collapsed="false">
      <c r="AN576" s="153" t="e">
        <v>#NAME?</v>
      </c>
      <c r="AO576" s="153" t="e">
        <f aca="false">_xlfn.xlookup(AN576,A:A,F:F)</f>
        <v>#NAME?</v>
      </c>
      <c r="AP576" s="153" t="e">
        <f aca="false">_xlfn.xlookup(AN576,A:A,J:J)</f>
        <v>#NAME?</v>
      </c>
      <c r="AQ576" s="153" t="e">
        <f aca="false">_xlfn.xlookup(AN576,A:A,N:N)+_xlfn.xlookup(AN576,A:A,O:O)</f>
        <v>#NAME?</v>
      </c>
      <c r="AR576" s="150" t="e">
        <f aca="false">_xlfn.xlookup(AN576,A:A,AH:AH)</f>
        <v>#NAME?</v>
      </c>
      <c r="AS576" s="150" t="e">
        <f aca="false">_xlfn.xlookup(AN576,A:A,S:S)</f>
        <v>#NAME?</v>
      </c>
      <c r="AT576" s="150" t="e">
        <f aca="false">_xlfn.xlookup(AN576,A:A,AE:AE)</f>
        <v>#NAME?</v>
      </c>
      <c r="AU576" s="150" t="e">
        <f aca="false">_xlfn.xlookup(AN576,A:A,AF:AF)</f>
        <v>#NAME?</v>
      </c>
      <c r="AX576" s="146"/>
      <c r="AY576" s="150"/>
      <c r="AZ576" s="150"/>
      <c r="BA576" s="150"/>
      <c r="BB576" s="146"/>
      <c r="BC576" s="146"/>
      <c r="BD576" s="151"/>
      <c r="BE576" s="146"/>
      <c r="BF576" s="146"/>
      <c r="BH576" s="152" t="e">
        <f aca="false">_xlfn.xlookup(BG576,A:A,F:F)</f>
        <v>#NAME?</v>
      </c>
      <c r="BI576" s="153" t="e">
        <f aca="false">_xlfn.xlookup(BG576,A:A,J:J)</f>
        <v>#NAME?</v>
      </c>
      <c r="BJ576" s="153" t="e">
        <f aca="false">_xlfn.xlookup(BG576,A:A,N:N)+_xlfn.xlookup(BG576,A:A,O:O)</f>
        <v>#NAME?</v>
      </c>
      <c r="BK576" s="153" t="e">
        <f aca="false">_xlfn.xlookup(BG576,A525:A1519,AB525:AB1519)</f>
        <v>#NAME?</v>
      </c>
      <c r="BN576" s="146"/>
      <c r="BO576" s="150"/>
      <c r="BQ576" s="153" t="str">
        <f aca="false">IF(VALUE(MONTH(C576))&lt;10,YEAR(C576)&amp;"-0"&amp;MONTH(C576),YEAR(C576)&amp;"-"&amp;MONTH(C576))</f>
        <v>1900-01</v>
      </c>
      <c r="BR576" s="153" t="n">
        <f aca="false">J576</f>
        <v>0</v>
      </c>
      <c r="BS576" s="153" t="n">
        <f aca="false">IF(ISNUMBER(FIND("-", BR576)), LEFT(BR576, FIND("-", BR576) - 1), BR576)</f>
        <v>0</v>
      </c>
      <c r="BT576" s="189" t="n">
        <f aca="false">L576-M576+O576</f>
        <v>0</v>
      </c>
    </row>
    <row r="577" s="153" customFormat="true" ht="15" hidden="false" customHeight="false" outlineLevel="0" collapsed="false">
      <c r="AN577" s="153" t="e">
        <v>#NAME?</v>
      </c>
      <c r="AO577" s="153" t="e">
        <f aca="false">_xlfn.xlookup(AN577,A:A,F:F)</f>
        <v>#NAME?</v>
      </c>
      <c r="AP577" s="153" t="e">
        <f aca="false">_xlfn.xlookup(AN577,A:A,J:J)</f>
        <v>#NAME?</v>
      </c>
      <c r="AQ577" s="153" t="e">
        <f aca="false">_xlfn.xlookup(AN577,A:A,N:N)+_xlfn.xlookup(AN577,A:A,O:O)</f>
        <v>#NAME?</v>
      </c>
      <c r="AR577" s="150" t="e">
        <f aca="false">_xlfn.xlookup(AN577,A:A,AH:AH)</f>
        <v>#NAME?</v>
      </c>
      <c r="AS577" s="150" t="e">
        <f aca="false">_xlfn.xlookup(AN577,A:A,S:S)</f>
        <v>#NAME?</v>
      </c>
      <c r="AT577" s="150" t="e">
        <f aca="false">_xlfn.xlookup(AN577,A:A,AE:AE)</f>
        <v>#NAME?</v>
      </c>
      <c r="AU577" s="150" t="e">
        <f aca="false">_xlfn.xlookup(AN577,A:A,AF:AF)</f>
        <v>#NAME?</v>
      </c>
      <c r="AX577" s="146"/>
      <c r="AY577" s="150"/>
      <c r="AZ577" s="150"/>
      <c r="BA577" s="150"/>
      <c r="BB577" s="146"/>
      <c r="BC577" s="146"/>
      <c r="BD577" s="151"/>
      <c r="BE577" s="146"/>
      <c r="BF577" s="146"/>
      <c r="BH577" s="152" t="e">
        <f aca="false">_xlfn.xlookup(BG577,A:A,F:F)</f>
        <v>#NAME?</v>
      </c>
      <c r="BI577" s="153" t="e">
        <f aca="false">_xlfn.xlookup(BG577,A:A,J:J)</f>
        <v>#NAME?</v>
      </c>
      <c r="BJ577" s="153" t="e">
        <f aca="false">_xlfn.xlookup(BG577,A:A,N:N)+_xlfn.xlookup(BG577,A:A,O:O)</f>
        <v>#NAME?</v>
      </c>
      <c r="BK577" s="153" t="e">
        <f aca="false">_xlfn.xlookup(BG577,A526:A1520,AB526:AB1520)</f>
        <v>#NAME?</v>
      </c>
      <c r="BN577" s="146"/>
      <c r="BO577" s="150"/>
      <c r="BQ577" s="153" t="str">
        <f aca="false">IF(VALUE(MONTH(C577))&lt;10,YEAR(C577)&amp;"-0"&amp;MONTH(C577),YEAR(C577)&amp;"-"&amp;MONTH(C577))</f>
        <v>1900-01</v>
      </c>
      <c r="BR577" s="153" t="n">
        <f aca="false">J577</f>
        <v>0</v>
      </c>
      <c r="BS577" s="153" t="n">
        <f aca="false">IF(ISNUMBER(FIND("-", BR577)), LEFT(BR577, FIND("-", BR577) - 1), BR577)</f>
        <v>0</v>
      </c>
      <c r="BT577" s="189" t="n">
        <f aca="false">L577-M577+O577</f>
        <v>0</v>
      </c>
    </row>
    <row r="578" s="153" customFormat="true" ht="15" hidden="false" customHeight="false" outlineLevel="0" collapsed="false">
      <c r="AN578" s="153" t="e">
        <v>#NAME?</v>
      </c>
      <c r="AO578" s="153" t="e">
        <f aca="false">_xlfn.xlookup(AN578,A:A,F:F)</f>
        <v>#NAME?</v>
      </c>
      <c r="AP578" s="153" t="e">
        <f aca="false">_xlfn.xlookup(AN578,A:A,J:J)</f>
        <v>#NAME?</v>
      </c>
      <c r="AQ578" s="153" t="e">
        <f aca="false">_xlfn.xlookup(AN578,A:A,N:N)+_xlfn.xlookup(AN578,A:A,O:O)</f>
        <v>#NAME?</v>
      </c>
      <c r="AR578" s="150" t="e">
        <f aca="false">_xlfn.xlookup(AN578,A:A,AH:AH)</f>
        <v>#NAME?</v>
      </c>
      <c r="AS578" s="150" t="e">
        <f aca="false">_xlfn.xlookup(AN578,A:A,S:S)</f>
        <v>#NAME?</v>
      </c>
      <c r="AT578" s="150" t="e">
        <f aca="false">_xlfn.xlookup(AN578,A:A,AE:AE)</f>
        <v>#NAME?</v>
      </c>
      <c r="AU578" s="150" t="e">
        <f aca="false">_xlfn.xlookup(AN578,A:A,AF:AF)</f>
        <v>#NAME?</v>
      </c>
      <c r="AX578" s="146"/>
      <c r="AY578" s="150"/>
      <c r="AZ578" s="150"/>
      <c r="BA578" s="150"/>
      <c r="BB578" s="146"/>
      <c r="BC578" s="146"/>
      <c r="BD578" s="151"/>
      <c r="BE578" s="146"/>
      <c r="BF578" s="146"/>
      <c r="BH578" s="152" t="e">
        <f aca="false">_xlfn.xlookup(BG578,A:A,F:F)</f>
        <v>#NAME?</v>
      </c>
      <c r="BI578" s="153" t="e">
        <f aca="false">_xlfn.xlookup(BG578,A:A,J:J)</f>
        <v>#NAME?</v>
      </c>
      <c r="BJ578" s="153" t="e">
        <f aca="false">_xlfn.xlookup(BG578,A:A,N:N)+_xlfn.xlookup(BG578,A:A,O:O)</f>
        <v>#NAME?</v>
      </c>
      <c r="BK578" s="153" t="e">
        <f aca="false">_xlfn.xlookup(BG578,A527:A1521,AB527:AB1521)</f>
        <v>#NAME?</v>
      </c>
      <c r="BN578" s="146"/>
      <c r="BO578" s="150"/>
      <c r="BQ578" s="153" t="str">
        <f aca="false">IF(VALUE(MONTH(C578))&lt;10,YEAR(C578)&amp;"-0"&amp;MONTH(C578),YEAR(C578)&amp;"-"&amp;MONTH(C578))</f>
        <v>1900-01</v>
      </c>
      <c r="BR578" s="153" t="n">
        <f aca="false">J578</f>
        <v>0</v>
      </c>
      <c r="BS578" s="153" t="n">
        <f aca="false">IF(ISNUMBER(FIND("-", BR578)), LEFT(BR578, FIND("-", BR578) - 1), BR578)</f>
        <v>0</v>
      </c>
      <c r="BT578" s="189" t="n">
        <f aca="false">L578-M578+O578</f>
        <v>0</v>
      </c>
    </row>
    <row r="579" s="153" customFormat="true" ht="15" hidden="false" customHeight="false" outlineLevel="0" collapsed="false">
      <c r="AN579" s="153" t="e">
        <v>#NAME?</v>
      </c>
      <c r="AO579" s="153" t="e">
        <f aca="false">_xlfn.xlookup(AN579,A:A,F:F)</f>
        <v>#NAME?</v>
      </c>
      <c r="AP579" s="153" t="e">
        <f aca="false">_xlfn.xlookup(AN579,A:A,J:J)</f>
        <v>#NAME?</v>
      </c>
      <c r="AQ579" s="153" t="e">
        <f aca="false">_xlfn.xlookup(AN579,A:A,N:N)+_xlfn.xlookup(AN579,A:A,O:O)</f>
        <v>#NAME?</v>
      </c>
      <c r="AR579" s="150" t="e">
        <f aca="false">_xlfn.xlookup(AN579,A:A,AH:AH)</f>
        <v>#NAME?</v>
      </c>
      <c r="AS579" s="150" t="e">
        <f aca="false">_xlfn.xlookup(AN579,A:A,S:S)</f>
        <v>#NAME?</v>
      </c>
      <c r="AT579" s="150" t="e">
        <f aca="false">_xlfn.xlookup(AN579,A:A,AE:AE)</f>
        <v>#NAME?</v>
      </c>
      <c r="AU579" s="150" t="e">
        <f aca="false">_xlfn.xlookup(AN579,A:A,AF:AF)</f>
        <v>#NAME?</v>
      </c>
      <c r="AX579" s="146"/>
      <c r="AY579" s="150"/>
      <c r="AZ579" s="150"/>
      <c r="BA579" s="150"/>
      <c r="BB579" s="146"/>
      <c r="BC579" s="146"/>
      <c r="BD579" s="151"/>
      <c r="BE579" s="146"/>
      <c r="BF579" s="146"/>
      <c r="BH579" s="152" t="e">
        <f aca="false">_xlfn.xlookup(BG579,A:A,F:F)</f>
        <v>#NAME?</v>
      </c>
      <c r="BI579" s="153" t="e">
        <f aca="false">_xlfn.xlookup(BG579,A:A,J:J)</f>
        <v>#NAME?</v>
      </c>
      <c r="BJ579" s="153" t="e">
        <f aca="false">_xlfn.xlookup(BG579,A:A,N:N)+_xlfn.xlookup(BG579,A:A,O:O)</f>
        <v>#NAME?</v>
      </c>
      <c r="BK579" s="153" t="e">
        <f aca="false">_xlfn.xlookup(BG579,A528:A1522,AB528:AB1522)</f>
        <v>#NAME?</v>
      </c>
      <c r="BN579" s="146"/>
      <c r="BO579" s="150"/>
      <c r="BQ579" s="153" t="str">
        <f aca="false">IF(VALUE(MONTH(C579))&lt;10,YEAR(C579)&amp;"-0"&amp;MONTH(C579),YEAR(C579)&amp;"-"&amp;MONTH(C579))</f>
        <v>1900-01</v>
      </c>
      <c r="BR579" s="153" t="n">
        <f aca="false">J579</f>
        <v>0</v>
      </c>
      <c r="BS579" s="153" t="n">
        <f aca="false">IF(ISNUMBER(FIND("-", BR579)), LEFT(BR579, FIND("-", BR579) - 1), BR579)</f>
        <v>0</v>
      </c>
      <c r="BT579" s="189" t="n">
        <f aca="false">L579-M579+O579</f>
        <v>0</v>
      </c>
    </row>
    <row r="580" s="153" customFormat="true" ht="15" hidden="false" customHeight="false" outlineLevel="0" collapsed="false">
      <c r="AN580" s="153" t="e">
        <v>#NAME?</v>
      </c>
      <c r="AO580" s="153" t="e">
        <f aca="false">_xlfn.xlookup(AN580,A:A,F:F)</f>
        <v>#NAME?</v>
      </c>
      <c r="AP580" s="153" t="e">
        <f aca="false">_xlfn.xlookup(AN580,A:A,J:J)</f>
        <v>#NAME?</v>
      </c>
      <c r="AQ580" s="153" t="e">
        <f aca="false">_xlfn.xlookup(AN580,A:A,N:N)+_xlfn.xlookup(AN580,A:A,O:O)</f>
        <v>#NAME?</v>
      </c>
      <c r="AR580" s="150" t="e">
        <f aca="false">_xlfn.xlookup(AN580,A:A,AH:AH)</f>
        <v>#NAME?</v>
      </c>
      <c r="AS580" s="150" t="e">
        <f aca="false">_xlfn.xlookup(AN580,A:A,S:S)</f>
        <v>#NAME?</v>
      </c>
      <c r="AT580" s="150" t="e">
        <f aca="false">_xlfn.xlookup(AN580,A:A,AE:AE)</f>
        <v>#NAME?</v>
      </c>
      <c r="AU580" s="150" t="e">
        <f aca="false">_xlfn.xlookup(AN580,A:A,AF:AF)</f>
        <v>#NAME?</v>
      </c>
      <c r="AX580" s="146"/>
      <c r="AY580" s="150"/>
      <c r="AZ580" s="150"/>
      <c r="BA580" s="150"/>
      <c r="BB580" s="146"/>
      <c r="BC580" s="146"/>
      <c r="BD580" s="151"/>
      <c r="BE580" s="146"/>
      <c r="BF580" s="146"/>
      <c r="BH580" s="152" t="e">
        <f aca="false">_xlfn.xlookup(BG580,A:A,F:F)</f>
        <v>#NAME?</v>
      </c>
      <c r="BI580" s="153" t="e">
        <f aca="false">_xlfn.xlookup(BG580,A:A,J:J)</f>
        <v>#NAME?</v>
      </c>
      <c r="BJ580" s="153" t="e">
        <f aca="false">_xlfn.xlookup(BG580,A:A,N:N)+_xlfn.xlookup(BG580,A:A,O:O)</f>
        <v>#NAME?</v>
      </c>
      <c r="BK580" s="153" t="e">
        <f aca="false">_xlfn.xlookup(BG580,A529:A1523,AB529:AB1523)</f>
        <v>#NAME?</v>
      </c>
      <c r="BN580" s="146"/>
      <c r="BO580" s="150"/>
      <c r="BQ580" s="153" t="str">
        <f aca="false">IF(VALUE(MONTH(C580))&lt;10,YEAR(C580)&amp;"-0"&amp;MONTH(C580),YEAR(C580)&amp;"-"&amp;MONTH(C580))</f>
        <v>1900-01</v>
      </c>
      <c r="BR580" s="153" t="n">
        <f aca="false">J580</f>
        <v>0</v>
      </c>
      <c r="BS580" s="153" t="n">
        <f aca="false">IF(ISNUMBER(FIND("-", BR580)), LEFT(BR580, FIND("-", BR580) - 1), BR580)</f>
        <v>0</v>
      </c>
      <c r="BT580" s="189" t="n">
        <f aca="false">L580-M580+O580</f>
        <v>0</v>
      </c>
    </row>
    <row r="581" s="153" customFormat="true" ht="15" hidden="false" customHeight="false" outlineLevel="0" collapsed="false">
      <c r="AN581" s="153" t="e">
        <v>#NAME?</v>
      </c>
      <c r="AO581" s="153" t="e">
        <f aca="false">_xlfn.xlookup(AN581,A:A,F:F)</f>
        <v>#NAME?</v>
      </c>
      <c r="AP581" s="153" t="e">
        <f aca="false">_xlfn.xlookup(AN581,A:A,J:J)</f>
        <v>#NAME?</v>
      </c>
      <c r="AQ581" s="153" t="e">
        <f aca="false">_xlfn.xlookup(AN581,A:A,N:N)+_xlfn.xlookup(AN581,A:A,O:O)</f>
        <v>#NAME?</v>
      </c>
      <c r="AR581" s="150" t="e">
        <f aca="false">_xlfn.xlookup(AN581,A:A,AH:AH)</f>
        <v>#NAME?</v>
      </c>
      <c r="AS581" s="150" t="e">
        <f aca="false">_xlfn.xlookup(AN581,A:A,S:S)</f>
        <v>#NAME?</v>
      </c>
      <c r="AT581" s="150" t="e">
        <f aca="false">_xlfn.xlookup(AN581,A:A,AE:AE)</f>
        <v>#NAME?</v>
      </c>
      <c r="AU581" s="150" t="e">
        <f aca="false">_xlfn.xlookup(AN581,A:A,AF:AF)</f>
        <v>#NAME?</v>
      </c>
      <c r="AX581" s="146"/>
      <c r="AY581" s="150"/>
      <c r="AZ581" s="150"/>
      <c r="BA581" s="150"/>
      <c r="BB581" s="146"/>
      <c r="BC581" s="146"/>
      <c r="BD581" s="151"/>
      <c r="BE581" s="146"/>
      <c r="BF581" s="146"/>
      <c r="BH581" s="152" t="e">
        <f aca="false">_xlfn.xlookup(BG581,A:A,F:F)</f>
        <v>#NAME?</v>
      </c>
      <c r="BI581" s="153" t="e">
        <f aca="false">_xlfn.xlookup(BG581,A:A,J:J)</f>
        <v>#NAME?</v>
      </c>
      <c r="BJ581" s="153" t="e">
        <f aca="false">_xlfn.xlookup(BG581,A:A,N:N)+_xlfn.xlookup(BG581,A:A,O:O)</f>
        <v>#NAME?</v>
      </c>
      <c r="BK581" s="153" t="e">
        <f aca="false">_xlfn.xlookup(BG581,A530:A1524,AB530:AB1524)</f>
        <v>#NAME?</v>
      </c>
      <c r="BN581" s="146"/>
      <c r="BO581" s="150"/>
      <c r="BQ581" s="153" t="str">
        <f aca="false">IF(VALUE(MONTH(C581))&lt;10,YEAR(C581)&amp;"-0"&amp;MONTH(C581),YEAR(C581)&amp;"-"&amp;MONTH(C581))</f>
        <v>1900-01</v>
      </c>
      <c r="BR581" s="153" t="n">
        <f aca="false">J581</f>
        <v>0</v>
      </c>
      <c r="BS581" s="153" t="n">
        <f aca="false">IF(ISNUMBER(FIND("-", BR581)), LEFT(BR581, FIND("-", BR581) - 1), BR581)</f>
        <v>0</v>
      </c>
      <c r="BT581" s="189" t="n">
        <f aca="false">L581-M581+O581</f>
        <v>0</v>
      </c>
    </row>
    <row r="582" s="153" customFormat="true" ht="15" hidden="false" customHeight="false" outlineLevel="0" collapsed="false">
      <c r="AN582" s="153" t="e">
        <v>#NAME?</v>
      </c>
      <c r="AO582" s="153" t="e">
        <f aca="false">_xlfn.xlookup(AN582,A:A,F:F)</f>
        <v>#NAME?</v>
      </c>
      <c r="AP582" s="153" t="e">
        <f aca="false">_xlfn.xlookup(AN582,A:A,J:J)</f>
        <v>#NAME?</v>
      </c>
      <c r="AQ582" s="153" t="e">
        <f aca="false">_xlfn.xlookup(AN582,A:A,N:N)+_xlfn.xlookup(AN582,A:A,O:O)</f>
        <v>#NAME?</v>
      </c>
      <c r="AR582" s="150" t="e">
        <f aca="false">_xlfn.xlookup(AN582,A:A,AH:AH)</f>
        <v>#NAME?</v>
      </c>
      <c r="AS582" s="150" t="e">
        <f aca="false">_xlfn.xlookup(AN582,A:A,S:S)</f>
        <v>#NAME?</v>
      </c>
      <c r="AT582" s="150" t="e">
        <f aca="false">_xlfn.xlookup(AN582,A:A,AE:AE)</f>
        <v>#NAME?</v>
      </c>
      <c r="AU582" s="150" t="e">
        <f aca="false">_xlfn.xlookup(AN582,A:A,AF:AF)</f>
        <v>#NAME?</v>
      </c>
      <c r="AX582" s="146"/>
      <c r="AY582" s="150"/>
      <c r="AZ582" s="150"/>
      <c r="BA582" s="150"/>
      <c r="BB582" s="146"/>
      <c r="BC582" s="146"/>
      <c r="BD582" s="151"/>
      <c r="BE582" s="146"/>
      <c r="BF582" s="146"/>
      <c r="BH582" s="152" t="e">
        <f aca="false">_xlfn.xlookup(BG582,A:A,F:F)</f>
        <v>#NAME?</v>
      </c>
      <c r="BI582" s="153" t="e">
        <f aca="false">_xlfn.xlookup(BG582,A:A,J:J)</f>
        <v>#NAME?</v>
      </c>
      <c r="BJ582" s="153" t="e">
        <f aca="false">_xlfn.xlookup(BG582,A:A,N:N)+_xlfn.xlookup(BG582,A:A,O:O)</f>
        <v>#NAME?</v>
      </c>
      <c r="BK582" s="153" t="e">
        <f aca="false">_xlfn.xlookup(BG582,A531:A1525,AB531:AB1525)</f>
        <v>#NAME?</v>
      </c>
      <c r="BN582" s="146"/>
      <c r="BO582" s="150"/>
      <c r="BQ582" s="153" t="str">
        <f aca="false">IF(VALUE(MONTH(C582))&lt;10,YEAR(C582)&amp;"-0"&amp;MONTH(C582),YEAR(C582)&amp;"-"&amp;MONTH(C582))</f>
        <v>1900-01</v>
      </c>
      <c r="BR582" s="153" t="n">
        <f aca="false">J582</f>
        <v>0</v>
      </c>
      <c r="BS582" s="153" t="n">
        <f aca="false">IF(ISNUMBER(FIND("-", BR582)), LEFT(BR582, FIND("-", BR582) - 1), BR582)</f>
        <v>0</v>
      </c>
      <c r="BT582" s="189" t="n">
        <f aca="false">L582-M582+O582</f>
        <v>0</v>
      </c>
    </row>
    <row r="583" s="153" customFormat="true" ht="15" hidden="false" customHeight="false" outlineLevel="0" collapsed="false">
      <c r="AN583" s="153" t="e">
        <v>#NAME?</v>
      </c>
      <c r="AO583" s="153" t="e">
        <f aca="false">_xlfn.xlookup(AN583,A:A,F:F)</f>
        <v>#NAME?</v>
      </c>
      <c r="AP583" s="153" t="e">
        <f aca="false">_xlfn.xlookup(AN583,A:A,J:J)</f>
        <v>#NAME?</v>
      </c>
      <c r="AQ583" s="153" t="e">
        <f aca="false">_xlfn.xlookup(AN583,A:A,N:N)+_xlfn.xlookup(AN583,A:A,O:O)</f>
        <v>#NAME?</v>
      </c>
      <c r="AR583" s="150" t="e">
        <f aca="false">_xlfn.xlookup(AN583,A:A,AH:AH)</f>
        <v>#NAME?</v>
      </c>
      <c r="AS583" s="150" t="e">
        <f aca="false">_xlfn.xlookup(AN583,A:A,S:S)</f>
        <v>#NAME?</v>
      </c>
      <c r="AT583" s="150" t="e">
        <f aca="false">_xlfn.xlookup(AN583,A:A,AE:AE)</f>
        <v>#NAME?</v>
      </c>
      <c r="AU583" s="150" t="e">
        <f aca="false">_xlfn.xlookup(AN583,A:A,AF:AF)</f>
        <v>#NAME?</v>
      </c>
      <c r="AX583" s="146"/>
      <c r="AY583" s="150"/>
      <c r="AZ583" s="150"/>
      <c r="BA583" s="150"/>
      <c r="BB583" s="146"/>
      <c r="BC583" s="146"/>
      <c r="BD583" s="151"/>
      <c r="BE583" s="146"/>
      <c r="BF583" s="146"/>
      <c r="BH583" s="152" t="e">
        <f aca="false">_xlfn.xlookup(BG583,A:A,F:F)</f>
        <v>#NAME?</v>
      </c>
      <c r="BI583" s="153" t="e">
        <f aca="false">_xlfn.xlookup(BG583,A:A,J:J)</f>
        <v>#NAME?</v>
      </c>
      <c r="BJ583" s="153" t="e">
        <f aca="false">_xlfn.xlookup(BG583,A:A,N:N)+_xlfn.xlookup(BG583,A:A,O:O)</f>
        <v>#NAME?</v>
      </c>
      <c r="BK583" s="153" t="e">
        <f aca="false">_xlfn.xlookup(BG583,A532:A1526,AB532:AB1526)</f>
        <v>#NAME?</v>
      </c>
      <c r="BN583" s="146"/>
      <c r="BO583" s="150"/>
      <c r="BQ583" s="153" t="str">
        <f aca="false">IF(VALUE(MONTH(C583))&lt;10,YEAR(C583)&amp;"-0"&amp;MONTH(C583),YEAR(C583)&amp;"-"&amp;MONTH(C583))</f>
        <v>1900-01</v>
      </c>
      <c r="BR583" s="153" t="n">
        <f aca="false">J583</f>
        <v>0</v>
      </c>
      <c r="BS583" s="153" t="n">
        <f aca="false">IF(ISNUMBER(FIND("-", BR583)), LEFT(BR583, FIND("-", BR583) - 1), BR583)</f>
        <v>0</v>
      </c>
      <c r="BT583" s="189" t="n">
        <f aca="false">L583-M583+O583</f>
        <v>0</v>
      </c>
    </row>
    <row r="584" s="153" customFormat="true" ht="15" hidden="false" customHeight="false" outlineLevel="0" collapsed="false">
      <c r="AN584" s="153" t="e">
        <v>#NAME?</v>
      </c>
      <c r="AO584" s="153" t="e">
        <f aca="false">_xlfn.xlookup(AN584,A:A,F:F)</f>
        <v>#NAME?</v>
      </c>
      <c r="AP584" s="153" t="e">
        <f aca="false">_xlfn.xlookup(AN584,A:A,J:J)</f>
        <v>#NAME?</v>
      </c>
      <c r="AQ584" s="153" t="e">
        <f aca="false">_xlfn.xlookup(AN584,A:A,N:N)+_xlfn.xlookup(AN584,A:A,O:O)</f>
        <v>#NAME?</v>
      </c>
      <c r="AR584" s="150" t="e">
        <f aca="false">_xlfn.xlookup(AN584,A:A,AH:AH)</f>
        <v>#NAME?</v>
      </c>
      <c r="AS584" s="150" t="e">
        <f aca="false">_xlfn.xlookup(AN584,A:A,S:S)</f>
        <v>#NAME?</v>
      </c>
      <c r="AT584" s="150" t="e">
        <f aca="false">_xlfn.xlookup(AN584,A:A,AE:AE)</f>
        <v>#NAME?</v>
      </c>
      <c r="AU584" s="150" t="e">
        <f aca="false">_xlfn.xlookup(AN584,A:A,AF:AF)</f>
        <v>#NAME?</v>
      </c>
      <c r="AX584" s="146"/>
      <c r="AY584" s="150"/>
      <c r="AZ584" s="150"/>
      <c r="BA584" s="150"/>
      <c r="BB584" s="146"/>
      <c r="BC584" s="146"/>
      <c r="BD584" s="151"/>
      <c r="BE584" s="146"/>
      <c r="BF584" s="146"/>
      <c r="BH584" s="152" t="e">
        <f aca="false">_xlfn.xlookup(BG584,A:A,F:F)</f>
        <v>#NAME?</v>
      </c>
      <c r="BI584" s="153" t="e">
        <f aca="false">_xlfn.xlookup(BG584,A:A,J:J)</f>
        <v>#NAME?</v>
      </c>
      <c r="BJ584" s="153" t="e">
        <f aca="false">_xlfn.xlookup(BG584,A:A,N:N)+_xlfn.xlookup(BG584,A:A,O:O)</f>
        <v>#NAME?</v>
      </c>
      <c r="BK584" s="153" t="e">
        <f aca="false">_xlfn.xlookup(BG584,A533:A1527,AB533:AB1527)</f>
        <v>#NAME?</v>
      </c>
      <c r="BN584" s="146"/>
      <c r="BO584" s="150"/>
      <c r="BQ584" s="153" t="str">
        <f aca="false">IF(VALUE(MONTH(C584))&lt;10,YEAR(C584)&amp;"-0"&amp;MONTH(C584),YEAR(C584)&amp;"-"&amp;MONTH(C584))</f>
        <v>1900-01</v>
      </c>
      <c r="BR584" s="153" t="n">
        <f aca="false">J584</f>
        <v>0</v>
      </c>
      <c r="BS584" s="153" t="n">
        <f aca="false">IF(ISNUMBER(FIND("-", BR584)), LEFT(BR584, FIND("-", BR584) - 1), BR584)</f>
        <v>0</v>
      </c>
      <c r="BT584" s="189" t="n">
        <f aca="false">L584-M584+O584</f>
        <v>0</v>
      </c>
    </row>
    <row r="585" s="153" customFormat="true" ht="15" hidden="false" customHeight="false" outlineLevel="0" collapsed="false">
      <c r="AN585" s="153" t="e">
        <v>#NAME?</v>
      </c>
      <c r="AO585" s="153" t="e">
        <f aca="false">_xlfn.xlookup(AN585,A:A,F:F)</f>
        <v>#NAME?</v>
      </c>
      <c r="AP585" s="153" t="e">
        <f aca="false">_xlfn.xlookup(AN585,A:A,J:J)</f>
        <v>#NAME?</v>
      </c>
      <c r="AQ585" s="153" t="e">
        <f aca="false">_xlfn.xlookup(AN585,A:A,N:N)+_xlfn.xlookup(AN585,A:A,O:O)</f>
        <v>#NAME?</v>
      </c>
      <c r="AR585" s="150" t="e">
        <f aca="false">_xlfn.xlookup(AN585,A:A,AH:AH)</f>
        <v>#NAME?</v>
      </c>
      <c r="AS585" s="150" t="e">
        <f aca="false">_xlfn.xlookup(AN585,A:A,S:S)</f>
        <v>#NAME?</v>
      </c>
      <c r="AT585" s="150" t="e">
        <f aca="false">_xlfn.xlookup(AN585,A:A,AE:AE)</f>
        <v>#NAME?</v>
      </c>
      <c r="AU585" s="150" t="e">
        <f aca="false">_xlfn.xlookup(AN585,A:A,AF:AF)</f>
        <v>#NAME?</v>
      </c>
      <c r="AX585" s="146"/>
      <c r="AY585" s="150"/>
      <c r="AZ585" s="150"/>
      <c r="BA585" s="150"/>
      <c r="BB585" s="146"/>
      <c r="BC585" s="146"/>
      <c r="BD585" s="151"/>
      <c r="BE585" s="146"/>
      <c r="BF585" s="146"/>
      <c r="BH585" s="152" t="e">
        <f aca="false">_xlfn.xlookup(BG585,A:A,F:F)</f>
        <v>#NAME?</v>
      </c>
      <c r="BI585" s="153" t="e">
        <f aca="false">_xlfn.xlookup(BG585,A:A,J:J)</f>
        <v>#NAME?</v>
      </c>
      <c r="BJ585" s="153" t="e">
        <f aca="false">_xlfn.xlookup(BG585,A:A,N:N)+_xlfn.xlookup(BG585,A:A,O:O)</f>
        <v>#NAME?</v>
      </c>
      <c r="BK585" s="153" t="e">
        <f aca="false">_xlfn.xlookup(BG585,A534:A1528,AB534:AB1528)</f>
        <v>#NAME?</v>
      </c>
      <c r="BN585" s="146"/>
      <c r="BO585" s="150"/>
      <c r="BQ585" s="153" t="str">
        <f aca="false">IF(VALUE(MONTH(C585))&lt;10,YEAR(C585)&amp;"-0"&amp;MONTH(C585),YEAR(C585)&amp;"-"&amp;MONTH(C585))</f>
        <v>1900-01</v>
      </c>
      <c r="BR585" s="153" t="n">
        <f aca="false">J585</f>
        <v>0</v>
      </c>
      <c r="BS585" s="153" t="n">
        <f aca="false">IF(ISNUMBER(FIND("-", BR585)), LEFT(BR585, FIND("-", BR585) - 1), BR585)</f>
        <v>0</v>
      </c>
      <c r="BT585" s="189" t="n">
        <f aca="false">L585-M585+O585</f>
        <v>0</v>
      </c>
    </row>
    <row r="586" s="153" customFormat="true" ht="15" hidden="false" customHeight="false" outlineLevel="0" collapsed="false">
      <c r="AN586" s="153" t="e">
        <v>#NAME?</v>
      </c>
      <c r="AO586" s="153" t="e">
        <f aca="false">_xlfn.xlookup(AN586,A:A,F:F)</f>
        <v>#NAME?</v>
      </c>
      <c r="AP586" s="153" t="e">
        <f aca="false">_xlfn.xlookup(AN586,A:A,J:J)</f>
        <v>#NAME?</v>
      </c>
      <c r="AQ586" s="153" t="e">
        <f aca="false">_xlfn.xlookup(AN586,A:A,N:N)+_xlfn.xlookup(AN586,A:A,O:O)</f>
        <v>#NAME?</v>
      </c>
      <c r="AR586" s="150" t="e">
        <f aca="false">_xlfn.xlookup(AN586,A:A,AH:AH)</f>
        <v>#NAME?</v>
      </c>
      <c r="AS586" s="150" t="e">
        <f aca="false">_xlfn.xlookup(AN586,A:A,S:S)</f>
        <v>#NAME?</v>
      </c>
      <c r="AT586" s="150" t="e">
        <f aca="false">_xlfn.xlookup(AN586,A:A,AE:AE)</f>
        <v>#NAME?</v>
      </c>
      <c r="AU586" s="150" t="e">
        <f aca="false">_xlfn.xlookup(AN586,A:A,AF:AF)</f>
        <v>#NAME?</v>
      </c>
      <c r="AX586" s="146"/>
      <c r="AY586" s="150"/>
      <c r="AZ586" s="150"/>
      <c r="BA586" s="150"/>
      <c r="BB586" s="146"/>
      <c r="BC586" s="146"/>
      <c r="BD586" s="151"/>
      <c r="BE586" s="146"/>
      <c r="BF586" s="146"/>
      <c r="BH586" s="152" t="e">
        <f aca="false">_xlfn.xlookup(BG586,A:A,F:F)</f>
        <v>#NAME?</v>
      </c>
      <c r="BI586" s="153" t="e">
        <f aca="false">_xlfn.xlookup(BG586,A:A,J:J)</f>
        <v>#NAME?</v>
      </c>
      <c r="BJ586" s="153" t="e">
        <f aca="false">_xlfn.xlookup(BG586,A:A,N:N)+_xlfn.xlookup(BG586,A:A,O:O)</f>
        <v>#NAME?</v>
      </c>
      <c r="BK586" s="153" t="e">
        <f aca="false">_xlfn.xlookup(BG586,A535:A1529,AB535:AB1529)</f>
        <v>#NAME?</v>
      </c>
      <c r="BN586" s="146"/>
      <c r="BO586" s="150"/>
      <c r="BQ586" s="153" t="str">
        <f aca="false">IF(VALUE(MONTH(C586))&lt;10,YEAR(C586)&amp;"-0"&amp;MONTH(C586),YEAR(C586)&amp;"-"&amp;MONTH(C586))</f>
        <v>1900-01</v>
      </c>
      <c r="BR586" s="153" t="n">
        <f aca="false">J586</f>
        <v>0</v>
      </c>
      <c r="BS586" s="153" t="n">
        <f aca="false">IF(ISNUMBER(FIND("-", BR586)), LEFT(BR586, FIND("-", BR586) - 1), BR586)</f>
        <v>0</v>
      </c>
      <c r="BT586" s="189" t="n">
        <f aca="false">L586-M586+O586</f>
        <v>0</v>
      </c>
    </row>
    <row r="587" s="153" customFormat="true" ht="15" hidden="false" customHeight="false" outlineLevel="0" collapsed="false">
      <c r="AN587" s="153" t="e">
        <v>#NAME?</v>
      </c>
      <c r="AO587" s="153" t="e">
        <f aca="false">_xlfn.xlookup(AN587,A:A,F:F)</f>
        <v>#NAME?</v>
      </c>
      <c r="AP587" s="153" t="e">
        <f aca="false">_xlfn.xlookup(AN587,A:A,J:J)</f>
        <v>#NAME?</v>
      </c>
      <c r="AQ587" s="153" t="e">
        <f aca="false">_xlfn.xlookup(AN587,A:A,N:N)+_xlfn.xlookup(AN587,A:A,O:O)</f>
        <v>#NAME?</v>
      </c>
      <c r="AR587" s="150" t="e">
        <f aca="false">_xlfn.xlookup(AN587,A:A,AH:AH)</f>
        <v>#NAME?</v>
      </c>
      <c r="AS587" s="150" t="e">
        <f aca="false">_xlfn.xlookup(AN587,A:A,S:S)</f>
        <v>#NAME?</v>
      </c>
      <c r="AT587" s="150" t="e">
        <f aca="false">_xlfn.xlookup(AN587,A:A,AE:AE)</f>
        <v>#NAME?</v>
      </c>
      <c r="AU587" s="150" t="e">
        <f aca="false">_xlfn.xlookup(AN587,A:A,AF:AF)</f>
        <v>#NAME?</v>
      </c>
      <c r="AX587" s="146"/>
      <c r="AY587" s="150"/>
      <c r="AZ587" s="150"/>
      <c r="BA587" s="150"/>
      <c r="BB587" s="146"/>
      <c r="BC587" s="146"/>
      <c r="BD587" s="151"/>
      <c r="BE587" s="146"/>
      <c r="BF587" s="146"/>
      <c r="BH587" s="152" t="e">
        <f aca="false">_xlfn.xlookup(BG587,A:A,F:F)</f>
        <v>#NAME?</v>
      </c>
      <c r="BI587" s="153" t="e">
        <f aca="false">_xlfn.xlookup(BG587,A:A,J:J)</f>
        <v>#NAME?</v>
      </c>
      <c r="BJ587" s="153" t="e">
        <f aca="false">_xlfn.xlookup(BG587,A:A,N:N)+_xlfn.xlookup(BG587,A:A,O:O)</f>
        <v>#NAME?</v>
      </c>
      <c r="BK587" s="153" t="e">
        <f aca="false">_xlfn.xlookup(BG587,A536:A1530,AB536:AB1530)</f>
        <v>#NAME?</v>
      </c>
      <c r="BN587" s="146"/>
      <c r="BO587" s="150"/>
      <c r="BQ587" s="153" t="str">
        <f aca="false">IF(VALUE(MONTH(C587))&lt;10,YEAR(C587)&amp;"-0"&amp;MONTH(C587),YEAR(C587)&amp;"-"&amp;MONTH(C587))</f>
        <v>1900-01</v>
      </c>
      <c r="BR587" s="153" t="n">
        <f aca="false">J587</f>
        <v>0</v>
      </c>
      <c r="BS587" s="153" t="n">
        <f aca="false">IF(ISNUMBER(FIND("-", BR587)), LEFT(BR587, FIND("-", BR587) - 1), BR587)</f>
        <v>0</v>
      </c>
      <c r="BT587" s="189" t="n">
        <f aca="false">L587-M587+O587</f>
        <v>0</v>
      </c>
    </row>
    <row r="588" s="153" customFormat="true" ht="15" hidden="false" customHeight="false" outlineLevel="0" collapsed="false">
      <c r="AN588" s="153" t="e">
        <v>#NAME?</v>
      </c>
      <c r="AO588" s="153" t="e">
        <f aca="false">_xlfn.xlookup(AN588,A:A,F:F)</f>
        <v>#NAME?</v>
      </c>
      <c r="AP588" s="153" t="e">
        <f aca="false">_xlfn.xlookup(AN588,A:A,J:J)</f>
        <v>#NAME?</v>
      </c>
      <c r="AQ588" s="153" t="e">
        <f aca="false">_xlfn.xlookup(AN588,A:A,N:N)+_xlfn.xlookup(AN588,A:A,O:O)</f>
        <v>#NAME?</v>
      </c>
      <c r="AR588" s="150" t="e">
        <f aca="false">_xlfn.xlookup(AN588,A:A,AH:AH)</f>
        <v>#NAME?</v>
      </c>
      <c r="AS588" s="150" t="e">
        <f aca="false">_xlfn.xlookup(AN588,A:A,S:S)</f>
        <v>#NAME?</v>
      </c>
      <c r="AT588" s="150" t="e">
        <f aca="false">_xlfn.xlookup(AN588,A:A,AE:AE)</f>
        <v>#NAME?</v>
      </c>
      <c r="AU588" s="150" t="e">
        <f aca="false">_xlfn.xlookup(AN588,A:A,AF:AF)</f>
        <v>#NAME?</v>
      </c>
      <c r="AX588" s="146"/>
      <c r="AY588" s="150"/>
      <c r="AZ588" s="150"/>
      <c r="BA588" s="150"/>
      <c r="BB588" s="146"/>
      <c r="BC588" s="146"/>
      <c r="BD588" s="151"/>
      <c r="BE588" s="146"/>
      <c r="BF588" s="146"/>
      <c r="BH588" s="152" t="e">
        <f aca="false">_xlfn.xlookup(BG588,A:A,F:F)</f>
        <v>#NAME?</v>
      </c>
      <c r="BI588" s="153" t="e">
        <f aca="false">_xlfn.xlookup(BG588,A:A,J:J)</f>
        <v>#NAME?</v>
      </c>
      <c r="BJ588" s="153" t="e">
        <f aca="false">_xlfn.xlookup(BG588,A:A,N:N)+_xlfn.xlookup(BG588,A:A,O:O)</f>
        <v>#NAME?</v>
      </c>
      <c r="BK588" s="153" t="e">
        <f aca="false">_xlfn.xlookup(BG588,A537:A1531,AB537:AB1531)</f>
        <v>#NAME?</v>
      </c>
      <c r="BN588" s="146"/>
      <c r="BO588" s="150"/>
      <c r="BQ588" s="153" t="str">
        <f aca="false">IF(VALUE(MONTH(C588))&lt;10,YEAR(C588)&amp;"-0"&amp;MONTH(C588),YEAR(C588)&amp;"-"&amp;MONTH(C588))</f>
        <v>1900-01</v>
      </c>
      <c r="BR588" s="153" t="n">
        <f aca="false">J588</f>
        <v>0</v>
      </c>
      <c r="BS588" s="153" t="n">
        <f aca="false">IF(ISNUMBER(FIND("-", BR588)), LEFT(BR588, FIND("-", BR588) - 1), BR588)</f>
        <v>0</v>
      </c>
      <c r="BT588" s="189" t="n">
        <f aca="false">L588-M588+O588</f>
        <v>0</v>
      </c>
    </row>
    <row r="589" s="153" customFormat="true" ht="15" hidden="false" customHeight="false" outlineLevel="0" collapsed="false">
      <c r="AN589" s="153" t="e">
        <v>#NAME?</v>
      </c>
      <c r="AO589" s="153" t="e">
        <f aca="false">_xlfn.xlookup(AN589,A:A,F:F)</f>
        <v>#NAME?</v>
      </c>
      <c r="AP589" s="153" t="e">
        <f aca="false">_xlfn.xlookup(AN589,A:A,J:J)</f>
        <v>#NAME?</v>
      </c>
      <c r="AQ589" s="153" t="e">
        <f aca="false">_xlfn.xlookup(AN589,A:A,N:N)+_xlfn.xlookup(AN589,A:A,O:O)</f>
        <v>#NAME?</v>
      </c>
      <c r="AR589" s="150" t="e">
        <f aca="false">_xlfn.xlookup(AN589,A:A,AH:AH)</f>
        <v>#NAME?</v>
      </c>
      <c r="AS589" s="150" t="e">
        <f aca="false">_xlfn.xlookup(AN589,A:A,S:S)</f>
        <v>#NAME?</v>
      </c>
      <c r="AT589" s="150" t="e">
        <f aca="false">_xlfn.xlookup(AN589,A:A,AE:AE)</f>
        <v>#NAME?</v>
      </c>
      <c r="AU589" s="150" t="e">
        <f aca="false">_xlfn.xlookup(AN589,A:A,AF:AF)</f>
        <v>#NAME?</v>
      </c>
      <c r="AX589" s="146"/>
      <c r="AY589" s="150"/>
      <c r="AZ589" s="150"/>
      <c r="BA589" s="150"/>
      <c r="BB589" s="146"/>
      <c r="BC589" s="146"/>
      <c r="BD589" s="151"/>
      <c r="BE589" s="146"/>
      <c r="BF589" s="146"/>
      <c r="BH589" s="152" t="e">
        <f aca="false">_xlfn.xlookup(BG589,A:A,F:F)</f>
        <v>#NAME?</v>
      </c>
      <c r="BI589" s="153" t="e">
        <f aca="false">_xlfn.xlookup(BG589,A:A,J:J)</f>
        <v>#NAME?</v>
      </c>
      <c r="BJ589" s="153" t="e">
        <f aca="false">_xlfn.xlookup(BG589,A:A,N:N)+_xlfn.xlookup(BG589,A:A,O:O)</f>
        <v>#NAME?</v>
      </c>
      <c r="BK589" s="153" t="e">
        <f aca="false">_xlfn.xlookup(BG589,A538:A1532,AB538:AB1532)</f>
        <v>#NAME?</v>
      </c>
      <c r="BN589" s="146"/>
      <c r="BO589" s="150"/>
      <c r="BQ589" s="153" t="str">
        <f aca="false">IF(VALUE(MONTH(C589))&lt;10,YEAR(C589)&amp;"-0"&amp;MONTH(C589),YEAR(C589)&amp;"-"&amp;MONTH(C589))</f>
        <v>1900-01</v>
      </c>
      <c r="BR589" s="153" t="n">
        <f aca="false">J589</f>
        <v>0</v>
      </c>
      <c r="BS589" s="153" t="n">
        <f aca="false">IF(ISNUMBER(FIND("-", BR589)), LEFT(BR589, FIND("-", BR589) - 1), BR589)</f>
        <v>0</v>
      </c>
      <c r="BT589" s="189" t="n">
        <f aca="false">L589-M589+O589</f>
        <v>0</v>
      </c>
    </row>
    <row r="590" s="153" customFormat="true" ht="15" hidden="false" customHeight="false" outlineLevel="0" collapsed="false">
      <c r="AN590" s="153" t="e">
        <v>#NAME?</v>
      </c>
      <c r="AO590" s="153" t="e">
        <f aca="false">_xlfn.xlookup(AN590,A:A,F:F)</f>
        <v>#NAME?</v>
      </c>
      <c r="AP590" s="153" t="e">
        <f aca="false">_xlfn.xlookup(AN590,A:A,J:J)</f>
        <v>#NAME?</v>
      </c>
      <c r="AQ590" s="153" t="e">
        <f aca="false">_xlfn.xlookup(AN590,A:A,N:N)+_xlfn.xlookup(AN590,A:A,O:O)</f>
        <v>#NAME?</v>
      </c>
      <c r="AR590" s="150" t="e">
        <f aca="false">_xlfn.xlookup(AN590,A:A,AH:AH)</f>
        <v>#NAME?</v>
      </c>
      <c r="AS590" s="150" t="e">
        <f aca="false">_xlfn.xlookup(AN590,A:A,S:S)</f>
        <v>#NAME?</v>
      </c>
      <c r="AT590" s="150" t="e">
        <f aca="false">_xlfn.xlookup(AN590,A:A,AE:AE)</f>
        <v>#NAME?</v>
      </c>
      <c r="AU590" s="150" t="e">
        <f aca="false">_xlfn.xlookup(AN590,A:A,AF:AF)</f>
        <v>#NAME?</v>
      </c>
      <c r="AX590" s="146"/>
      <c r="AY590" s="150"/>
      <c r="AZ590" s="150"/>
      <c r="BA590" s="150"/>
      <c r="BB590" s="146"/>
      <c r="BC590" s="146"/>
      <c r="BD590" s="151"/>
      <c r="BE590" s="146"/>
      <c r="BF590" s="146"/>
      <c r="BH590" s="152" t="e">
        <f aca="false">_xlfn.xlookup(BG590,A:A,F:F)</f>
        <v>#NAME?</v>
      </c>
      <c r="BI590" s="153" t="e">
        <f aca="false">_xlfn.xlookup(BG590,A:A,J:J)</f>
        <v>#NAME?</v>
      </c>
      <c r="BJ590" s="153" t="e">
        <f aca="false">_xlfn.xlookup(BG590,A:A,N:N)+_xlfn.xlookup(BG590,A:A,O:O)</f>
        <v>#NAME?</v>
      </c>
      <c r="BK590" s="153" t="e">
        <f aca="false">_xlfn.xlookup(BG590,A539:A1533,AB539:AB1533)</f>
        <v>#NAME?</v>
      </c>
      <c r="BN590" s="146"/>
      <c r="BO590" s="150"/>
      <c r="BQ590" s="153" t="str">
        <f aca="false">IF(VALUE(MONTH(C590))&lt;10,YEAR(C590)&amp;"-0"&amp;MONTH(C590),YEAR(C590)&amp;"-"&amp;MONTH(C590))</f>
        <v>1900-01</v>
      </c>
      <c r="BR590" s="153" t="n">
        <f aca="false">J590</f>
        <v>0</v>
      </c>
      <c r="BS590" s="153" t="n">
        <f aca="false">IF(ISNUMBER(FIND("-", BR590)), LEFT(BR590, FIND("-", BR590) - 1), BR590)</f>
        <v>0</v>
      </c>
      <c r="BT590" s="189" t="n">
        <f aca="false">L590-M590+O590</f>
        <v>0</v>
      </c>
    </row>
    <row r="591" s="153" customFormat="true" ht="15" hidden="false" customHeight="false" outlineLevel="0" collapsed="false">
      <c r="AN591" s="153" t="e">
        <v>#NAME?</v>
      </c>
      <c r="AO591" s="153" t="e">
        <f aca="false">_xlfn.xlookup(AN591,A:A,F:F)</f>
        <v>#NAME?</v>
      </c>
      <c r="AP591" s="153" t="e">
        <f aca="false">_xlfn.xlookup(AN591,A:A,J:J)</f>
        <v>#NAME?</v>
      </c>
      <c r="AQ591" s="153" t="e">
        <f aca="false">_xlfn.xlookup(AN591,A:A,N:N)+_xlfn.xlookup(AN591,A:A,O:O)</f>
        <v>#NAME?</v>
      </c>
      <c r="AR591" s="150" t="e">
        <f aca="false">_xlfn.xlookup(AN591,A:A,AH:AH)</f>
        <v>#NAME?</v>
      </c>
      <c r="AS591" s="150" t="e">
        <f aca="false">_xlfn.xlookup(AN591,A:A,S:S)</f>
        <v>#NAME?</v>
      </c>
      <c r="AT591" s="150" t="e">
        <f aca="false">_xlfn.xlookup(AN591,A:A,AE:AE)</f>
        <v>#NAME?</v>
      </c>
      <c r="AU591" s="150" t="e">
        <f aca="false">_xlfn.xlookup(AN591,A:A,AF:AF)</f>
        <v>#NAME?</v>
      </c>
      <c r="AX591" s="146"/>
      <c r="AY591" s="150"/>
      <c r="AZ591" s="150"/>
      <c r="BA591" s="150"/>
      <c r="BB591" s="146"/>
      <c r="BC591" s="146"/>
      <c r="BD591" s="151"/>
      <c r="BE591" s="146"/>
      <c r="BF591" s="146"/>
      <c r="BH591" s="152" t="e">
        <f aca="false">_xlfn.xlookup(BG591,A:A,F:F)</f>
        <v>#NAME?</v>
      </c>
      <c r="BI591" s="153" t="e">
        <f aca="false">_xlfn.xlookup(BG591,A:A,J:J)</f>
        <v>#NAME?</v>
      </c>
      <c r="BJ591" s="153" t="e">
        <f aca="false">_xlfn.xlookup(BG591,A:A,N:N)+_xlfn.xlookup(BG591,A:A,O:O)</f>
        <v>#NAME?</v>
      </c>
      <c r="BK591" s="153" t="e">
        <f aca="false">_xlfn.xlookup(BG591,A540:A1534,AB540:AB1534)</f>
        <v>#NAME?</v>
      </c>
      <c r="BN591" s="146"/>
      <c r="BO591" s="150"/>
      <c r="BQ591" s="153" t="str">
        <f aca="false">IF(VALUE(MONTH(C591))&lt;10,YEAR(C591)&amp;"-0"&amp;MONTH(C591),YEAR(C591)&amp;"-"&amp;MONTH(C591))</f>
        <v>1900-01</v>
      </c>
      <c r="BR591" s="153" t="n">
        <f aca="false">J591</f>
        <v>0</v>
      </c>
      <c r="BS591" s="153" t="n">
        <f aca="false">IF(ISNUMBER(FIND("-", BR591)), LEFT(BR591, FIND("-", BR591) - 1), BR591)</f>
        <v>0</v>
      </c>
      <c r="BT591" s="189" t="n">
        <f aca="false">L591-M591+O591</f>
        <v>0</v>
      </c>
    </row>
    <row r="592" s="153" customFormat="true" ht="15" hidden="false" customHeight="false" outlineLevel="0" collapsed="false">
      <c r="AN592" s="153" t="e">
        <v>#NAME?</v>
      </c>
      <c r="AO592" s="153" t="e">
        <f aca="false">_xlfn.xlookup(AN592,A:A,F:F)</f>
        <v>#NAME?</v>
      </c>
      <c r="AP592" s="153" t="e">
        <f aca="false">_xlfn.xlookup(AN592,A:A,J:J)</f>
        <v>#NAME?</v>
      </c>
      <c r="AQ592" s="153" t="e">
        <f aca="false">_xlfn.xlookup(AN592,A:A,N:N)+_xlfn.xlookup(AN592,A:A,O:O)</f>
        <v>#NAME?</v>
      </c>
      <c r="AR592" s="150" t="e">
        <f aca="false">_xlfn.xlookup(AN592,A:A,AH:AH)</f>
        <v>#NAME?</v>
      </c>
      <c r="AS592" s="150" t="e">
        <f aca="false">_xlfn.xlookup(AN592,A:A,S:S)</f>
        <v>#NAME?</v>
      </c>
      <c r="AT592" s="150" t="e">
        <f aca="false">_xlfn.xlookup(AN592,A:A,AE:AE)</f>
        <v>#NAME?</v>
      </c>
      <c r="AU592" s="150" t="e">
        <f aca="false">_xlfn.xlookup(AN592,A:A,AF:AF)</f>
        <v>#NAME?</v>
      </c>
      <c r="AX592" s="146"/>
      <c r="AY592" s="150"/>
      <c r="AZ592" s="150"/>
      <c r="BA592" s="150"/>
      <c r="BB592" s="146"/>
      <c r="BC592" s="146"/>
      <c r="BD592" s="151"/>
      <c r="BE592" s="146"/>
      <c r="BF592" s="146"/>
      <c r="BH592" s="152" t="e">
        <f aca="false">_xlfn.xlookup(BG592,A:A,F:F)</f>
        <v>#NAME?</v>
      </c>
      <c r="BI592" s="153" t="e">
        <f aca="false">_xlfn.xlookup(BG592,A:A,J:J)</f>
        <v>#NAME?</v>
      </c>
      <c r="BJ592" s="153" t="e">
        <f aca="false">_xlfn.xlookup(BG592,A:A,N:N)+_xlfn.xlookup(BG592,A:A,O:O)</f>
        <v>#NAME?</v>
      </c>
      <c r="BK592" s="153" t="e">
        <f aca="false">_xlfn.xlookup(BG592,A541:A1535,AB541:AB1535)</f>
        <v>#NAME?</v>
      </c>
      <c r="BN592" s="146"/>
      <c r="BO592" s="150"/>
      <c r="BQ592" s="153" t="str">
        <f aca="false">IF(VALUE(MONTH(C592))&lt;10,YEAR(C592)&amp;"-0"&amp;MONTH(C592),YEAR(C592)&amp;"-"&amp;MONTH(C592))</f>
        <v>1900-01</v>
      </c>
      <c r="BR592" s="153" t="n">
        <f aca="false">J592</f>
        <v>0</v>
      </c>
      <c r="BS592" s="153" t="n">
        <f aca="false">IF(ISNUMBER(FIND("-", BR592)), LEFT(BR592, FIND("-", BR592) - 1), BR592)</f>
        <v>0</v>
      </c>
      <c r="BT592" s="189" t="n">
        <f aca="false">L592-M592+O592</f>
        <v>0</v>
      </c>
    </row>
    <row r="593" s="153" customFormat="true" ht="15" hidden="false" customHeight="false" outlineLevel="0" collapsed="false">
      <c r="AN593" s="153" t="e">
        <v>#NAME?</v>
      </c>
      <c r="AO593" s="153" t="e">
        <f aca="false">_xlfn.xlookup(AN593,A:A,F:F)</f>
        <v>#NAME?</v>
      </c>
      <c r="AP593" s="153" t="e">
        <f aca="false">_xlfn.xlookup(AN593,A:A,J:J)</f>
        <v>#NAME?</v>
      </c>
      <c r="AQ593" s="153" t="e">
        <f aca="false">_xlfn.xlookup(AN593,A:A,N:N)+_xlfn.xlookup(AN593,A:A,O:O)</f>
        <v>#NAME?</v>
      </c>
      <c r="AR593" s="150" t="e">
        <f aca="false">_xlfn.xlookup(AN593,A:A,AH:AH)</f>
        <v>#NAME?</v>
      </c>
      <c r="AS593" s="150" t="e">
        <f aca="false">_xlfn.xlookup(AN593,A:A,S:S)</f>
        <v>#NAME?</v>
      </c>
      <c r="AT593" s="150" t="e">
        <f aca="false">_xlfn.xlookup(AN593,A:A,AE:AE)</f>
        <v>#NAME?</v>
      </c>
      <c r="AU593" s="150" t="e">
        <f aca="false">_xlfn.xlookup(AN593,A:A,AF:AF)</f>
        <v>#NAME?</v>
      </c>
      <c r="AX593" s="146"/>
      <c r="AY593" s="150"/>
      <c r="AZ593" s="150"/>
      <c r="BA593" s="150"/>
      <c r="BB593" s="146"/>
      <c r="BC593" s="146"/>
      <c r="BD593" s="151"/>
      <c r="BE593" s="146"/>
      <c r="BF593" s="146"/>
      <c r="BH593" s="152" t="e">
        <f aca="false">_xlfn.xlookup(BG593,A:A,F:F)</f>
        <v>#NAME?</v>
      </c>
      <c r="BI593" s="153" t="e">
        <f aca="false">_xlfn.xlookup(BG593,A:A,J:J)</f>
        <v>#NAME?</v>
      </c>
      <c r="BJ593" s="153" t="e">
        <f aca="false">_xlfn.xlookup(BG593,A:A,N:N)+_xlfn.xlookup(BG593,A:A,O:O)</f>
        <v>#NAME?</v>
      </c>
      <c r="BK593" s="153" t="e">
        <f aca="false">_xlfn.xlookup(BG593,A542:A1536,AB542:AB1536)</f>
        <v>#NAME?</v>
      </c>
      <c r="BN593" s="146"/>
      <c r="BO593" s="150"/>
      <c r="BQ593" s="153" t="str">
        <f aca="false">IF(VALUE(MONTH(C593))&lt;10,YEAR(C593)&amp;"-0"&amp;MONTH(C593),YEAR(C593)&amp;"-"&amp;MONTH(C593))</f>
        <v>1900-01</v>
      </c>
      <c r="BR593" s="153" t="n">
        <f aca="false">J593</f>
        <v>0</v>
      </c>
      <c r="BS593" s="153" t="n">
        <f aca="false">IF(ISNUMBER(FIND("-", BR593)), LEFT(BR593, FIND("-", BR593) - 1), BR593)</f>
        <v>0</v>
      </c>
      <c r="BT593" s="189" t="n">
        <f aca="false">L593-M593+O593</f>
        <v>0</v>
      </c>
    </row>
    <row r="594" s="153" customFormat="true" ht="15" hidden="false" customHeight="false" outlineLevel="0" collapsed="false">
      <c r="AN594" s="153" t="e">
        <v>#NAME?</v>
      </c>
      <c r="AO594" s="153" t="e">
        <f aca="false">_xlfn.xlookup(AN594,A:A,F:F)</f>
        <v>#NAME?</v>
      </c>
      <c r="AP594" s="153" t="e">
        <f aca="false">_xlfn.xlookup(AN594,A:A,J:J)</f>
        <v>#NAME?</v>
      </c>
      <c r="AQ594" s="153" t="e">
        <f aca="false">_xlfn.xlookup(AN594,A:A,N:N)+_xlfn.xlookup(AN594,A:A,O:O)</f>
        <v>#NAME?</v>
      </c>
      <c r="AR594" s="150" t="e">
        <f aca="false">_xlfn.xlookup(AN594,A:A,AH:AH)</f>
        <v>#NAME?</v>
      </c>
      <c r="AS594" s="150" t="e">
        <f aca="false">_xlfn.xlookup(AN594,A:A,S:S)</f>
        <v>#NAME?</v>
      </c>
      <c r="AT594" s="150" t="e">
        <f aca="false">_xlfn.xlookup(AN594,A:A,AE:AE)</f>
        <v>#NAME?</v>
      </c>
      <c r="AU594" s="150" t="e">
        <f aca="false">_xlfn.xlookup(AN594,A:A,AF:AF)</f>
        <v>#NAME?</v>
      </c>
      <c r="AX594" s="146"/>
      <c r="AY594" s="150"/>
      <c r="AZ594" s="150"/>
      <c r="BA594" s="150"/>
      <c r="BB594" s="146"/>
      <c r="BC594" s="146"/>
      <c r="BD594" s="151"/>
      <c r="BE594" s="146"/>
      <c r="BF594" s="146"/>
      <c r="BH594" s="152" t="e">
        <f aca="false">_xlfn.xlookup(BG594,A:A,F:F)</f>
        <v>#NAME?</v>
      </c>
      <c r="BI594" s="153" t="e">
        <f aca="false">_xlfn.xlookup(BG594,A:A,J:J)</f>
        <v>#NAME?</v>
      </c>
      <c r="BJ594" s="153" t="e">
        <f aca="false">_xlfn.xlookup(BG594,A:A,N:N)+_xlfn.xlookup(BG594,A:A,O:O)</f>
        <v>#NAME?</v>
      </c>
      <c r="BK594" s="153" t="e">
        <f aca="false">_xlfn.xlookup(BG594,A543:A1537,AB543:AB1537)</f>
        <v>#NAME?</v>
      </c>
      <c r="BN594" s="146"/>
      <c r="BO594" s="150"/>
      <c r="BQ594" s="153" t="str">
        <f aca="false">IF(VALUE(MONTH(C594))&lt;10,YEAR(C594)&amp;"-0"&amp;MONTH(C594),YEAR(C594)&amp;"-"&amp;MONTH(C594))</f>
        <v>1900-01</v>
      </c>
      <c r="BR594" s="153" t="n">
        <f aca="false">J594</f>
        <v>0</v>
      </c>
      <c r="BS594" s="153" t="n">
        <f aca="false">IF(ISNUMBER(FIND("-", BR594)), LEFT(BR594, FIND("-", BR594) - 1), BR594)</f>
        <v>0</v>
      </c>
      <c r="BT594" s="189" t="n">
        <f aca="false">L594-M594+O594</f>
        <v>0</v>
      </c>
    </row>
    <row r="595" s="153" customFormat="true" ht="15" hidden="false" customHeight="false" outlineLevel="0" collapsed="false">
      <c r="AN595" s="153" t="e">
        <v>#NAME?</v>
      </c>
      <c r="AO595" s="153" t="e">
        <f aca="false">_xlfn.xlookup(AN595,A:A,F:F)</f>
        <v>#NAME?</v>
      </c>
      <c r="AP595" s="153" t="e">
        <f aca="false">_xlfn.xlookup(AN595,A:A,J:J)</f>
        <v>#NAME?</v>
      </c>
      <c r="AQ595" s="153" t="e">
        <f aca="false">_xlfn.xlookup(AN595,A:A,N:N)+_xlfn.xlookup(AN595,A:A,O:O)</f>
        <v>#NAME?</v>
      </c>
      <c r="AR595" s="150" t="e">
        <f aca="false">_xlfn.xlookup(AN595,A:A,AH:AH)</f>
        <v>#NAME?</v>
      </c>
      <c r="AS595" s="150" t="e">
        <f aca="false">_xlfn.xlookup(AN595,A:A,S:S)</f>
        <v>#NAME?</v>
      </c>
      <c r="AT595" s="150" t="e">
        <f aca="false">_xlfn.xlookup(AN595,A:A,AE:AE)</f>
        <v>#NAME?</v>
      </c>
      <c r="AU595" s="150" t="e">
        <f aca="false">_xlfn.xlookup(AN595,A:A,AF:AF)</f>
        <v>#NAME?</v>
      </c>
      <c r="AX595" s="146"/>
      <c r="AY595" s="150"/>
      <c r="AZ595" s="150"/>
      <c r="BA595" s="150"/>
      <c r="BB595" s="146"/>
      <c r="BC595" s="146"/>
      <c r="BD595" s="151"/>
      <c r="BE595" s="146"/>
      <c r="BF595" s="146"/>
      <c r="BH595" s="152" t="e">
        <f aca="false">_xlfn.xlookup(BG595,A:A,F:F)</f>
        <v>#NAME?</v>
      </c>
      <c r="BI595" s="153" t="e">
        <f aca="false">_xlfn.xlookup(BG595,A:A,J:J)</f>
        <v>#NAME?</v>
      </c>
      <c r="BJ595" s="153" t="e">
        <f aca="false">_xlfn.xlookup(BG595,A:A,N:N)+_xlfn.xlookup(BG595,A:A,O:O)</f>
        <v>#NAME?</v>
      </c>
      <c r="BK595" s="153" t="e">
        <f aca="false">_xlfn.xlookup(BG595,A544:A1538,AB544:AB1538)</f>
        <v>#NAME?</v>
      </c>
      <c r="BN595" s="146"/>
      <c r="BO595" s="150"/>
      <c r="BQ595" s="153" t="str">
        <f aca="false">IF(VALUE(MONTH(C595))&lt;10,YEAR(C595)&amp;"-0"&amp;MONTH(C595),YEAR(C595)&amp;"-"&amp;MONTH(C595))</f>
        <v>1900-01</v>
      </c>
      <c r="BR595" s="153" t="n">
        <f aca="false">J595</f>
        <v>0</v>
      </c>
      <c r="BS595" s="153" t="n">
        <f aca="false">IF(ISNUMBER(FIND("-", BR595)), LEFT(BR595, FIND("-", BR595) - 1), BR595)</f>
        <v>0</v>
      </c>
      <c r="BT595" s="189" t="n">
        <f aca="false">L595-M595+O595</f>
        <v>0</v>
      </c>
    </row>
    <row r="596" s="153" customFormat="true" ht="15" hidden="false" customHeight="false" outlineLevel="0" collapsed="false">
      <c r="AN596" s="153" t="e">
        <v>#NAME?</v>
      </c>
      <c r="AO596" s="153" t="e">
        <f aca="false">_xlfn.xlookup(AN596,A:A,F:F)</f>
        <v>#NAME?</v>
      </c>
      <c r="AP596" s="153" t="e">
        <f aca="false">_xlfn.xlookup(AN596,A:A,J:J)</f>
        <v>#NAME?</v>
      </c>
      <c r="AQ596" s="153" t="e">
        <f aca="false">_xlfn.xlookup(AN596,A:A,N:N)+_xlfn.xlookup(AN596,A:A,O:O)</f>
        <v>#NAME?</v>
      </c>
      <c r="AR596" s="150" t="e">
        <f aca="false">_xlfn.xlookup(AN596,A:A,AH:AH)</f>
        <v>#NAME?</v>
      </c>
      <c r="AS596" s="150" t="e">
        <f aca="false">_xlfn.xlookup(AN596,A:A,S:S)</f>
        <v>#NAME?</v>
      </c>
      <c r="AT596" s="150" t="e">
        <f aca="false">_xlfn.xlookup(AN596,A:A,AE:AE)</f>
        <v>#NAME?</v>
      </c>
      <c r="AU596" s="150" t="e">
        <f aca="false">_xlfn.xlookup(AN596,A:A,AF:AF)</f>
        <v>#NAME?</v>
      </c>
      <c r="AX596" s="146"/>
      <c r="AY596" s="150"/>
      <c r="AZ596" s="150"/>
      <c r="BA596" s="150"/>
      <c r="BB596" s="146"/>
      <c r="BC596" s="146"/>
      <c r="BD596" s="151"/>
      <c r="BE596" s="146"/>
      <c r="BF596" s="146"/>
      <c r="BH596" s="152" t="e">
        <f aca="false">_xlfn.xlookup(BG596,A:A,F:F)</f>
        <v>#NAME?</v>
      </c>
      <c r="BI596" s="153" t="e">
        <f aca="false">_xlfn.xlookup(BG596,A:A,J:J)</f>
        <v>#NAME?</v>
      </c>
      <c r="BJ596" s="153" t="e">
        <f aca="false">_xlfn.xlookup(BG596,A:A,N:N)+_xlfn.xlookup(BG596,A:A,O:O)</f>
        <v>#NAME?</v>
      </c>
      <c r="BK596" s="153" t="e">
        <f aca="false">_xlfn.xlookup(BG596,A545:A1539,AB545:AB1539)</f>
        <v>#NAME?</v>
      </c>
      <c r="BN596" s="146"/>
      <c r="BO596" s="150"/>
      <c r="BQ596" s="153" t="str">
        <f aca="false">IF(VALUE(MONTH(C596))&lt;10,YEAR(C596)&amp;"-0"&amp;MONTH(C596),YEAR(C596)&amp;"-"&amp;MONTH(C596))</f>
        <v>1900-01</v>
      </c>
      <c r="BR596" s="153" t="n">
        <f aca="false">J596</f>
        <v>0</v>
      </c>
      <c r="BS596" s="153" t="n">
        <f aca="false">IF(ISNUMBER(FIND("-", BR596)), LEFT(BR596, FIND("-", BR596) - 1), BR596)</f>
        <v>0</v>
      </c>
      <c r="BT596" s="189" t="n">
        <f aca="false">L596-M596+O596</f>
        <v>0</v>
      </c>
    </row>
    <row r="597" s="153" customFormat="true" ht="15" hidden="false" customHeight="false" outlineLevel="0" collapsed="false">
      <c r="AN597" s="153" t="e">
        <v>#NAME?</v>
      </c>
      <c r="AO597" s="153" t="e">
        <f aca="false">_xlfn.xlookup(AN597,A:A,F:F)</f>
        <v>#NAME?</v>
      </c>
      <c r="AP597" s="153" t="e">
        <f aca="false">_xlfn.xlookup(AN597,A:A,J:J)</f>
        <v>#NAME?</v>
      </c>
      <c r="AQ597" s="153" t="e">
        <f aca="false">_xlfn.xlookup(AN597,A:A,N:N)+_xlfn.xlookup(AN597,A:A,O:O)</f>
        <v>#NAME?</v>
      </c>
      <c r="AR597" s="150" t="e">
        <f aca="false">_xlfn.xlookup(AN597,A:A,AH:AH)</f>
        <v>#NAME?</v>
      </c>
      <c r="AS597" s="150" t="e">
        <f aca="false">_xlfn.xlookup(AN597,A:A,S:S)</f>
        <v>#NAME?</v>
      </c>
      <c r="AT597" s="150" t="e">
        <f aca="false">_xlfn.xlookup(AN597,A:A,AE:AE)</f>
        <v>#NAME?</v>
      </c>
      <c r="AU597" s="150" t="e">
        <f aca="false">_xlfn.xlookup(AN597,A:A,AF:AF)</f>
        <v>#NAME?</v>
      </c>
      <c r="AX597" s="146"/>
      <c r="AY597" s="150"/>
      <c r="AZ597" s="150"/>
      <c r="BA597" s="150"/>
      <c r="BB597" s="146"/>
      <c r="BC597" s="146"/>
      <c r="BD597" s="151"/>
      <c r="BE597" s="146"/>
      <c r="BF597" s="146"/>
      <c r="BH597" s="152" t="e">
        <f aca="false">_xlfn.xlookup(BG597,A:A,F:F)</f>
        <v>#NAME?</v>
      </c>
      <c r="BI597" s="153" t="e">
        <f aca="false">_xlfn.xlookup(BG597,A:A,J:J)</f>
        <v>#NAME?</v>
      </c>
      <c r="BJ597" s="153" t="e">
        <f aca="false">_xlfn.xlookup(BG597,A:A,N:N)+_xlfn.xlookup(BG597,A:A,O:O)</f>
        <v>#NAME?</v>
      </c>
      <c r="BK597" s="153" t="e">
        <f aca="false">_xlfn.xlookup(BG597,A546:A1540,AB546:AB1540)</f>
        <v>#NAME?</v>
      </c>
      <c r="BN597" s="146"/>
      <c r="BO597" s="150"/>
      <c r="BQ597" s="153" t="str">
        <f aca="false">IF(VALUE(MONTH(C597))&lt;10,YEAR(C597)&amp;"-0"&amp;MONTH(C597),YEAR(C597)&amp;"-"&amp;MONTH(C597))</f>
        <v>1900-01</v>
      </c>
      <c r="BR597" s="153" t="n">
        <f aca="false">J597</f>
        <v>0</v>
      </c>
      <c r="BS597" s="153" t="n">
        <f aca="false">IF(ISNUMBER(FIND("-", BR597)), LEFT(BR597, FIND("-", BR597) - 1), BR597)</f>
        <v>0</v>
      </c>
      <c r="BT597" s="189" t="n">
        <f aca="false">L597-M597+O597</f>
        <v>0</v>
      </c>
    </row>
    <row r="598" s="153" customFormat="true" ht="15" hidden="false" customHeight="false" outlineLevel="0" collapsed="false">
      <c r="AN598" s="153" t="e">
        <v>#NAME?</v>
      </c>
      <c r="AO598" s="153" t="e">
        <f aca="false">_xlfn.xlookup(AN598,A:A,F:F)</f>
        <v>#NAME?</v>
      </c>
      <c r="AP598" s="153" t="e">
        <f aca="false">_xlfn.xlookup(AN598,A:A,J:J)</f>
        <v>#NAME?</v>
      </c>
      <c r="AQ598" s="153" t="e">
        <f aca="false">_xlfn.xlookup(AN598,A:A,N:N)+_xlfn.xlookup(AN598,A:A,O:O)</f>
        <v>#NAME?</v>
      </c>
      <c r="AR598" s="150" t="e">
        <f aca="false">_xlfn.xlookup(AN598,A:A,AH:AH)</f>
        <v>#NAME?</v>
      </c>
      <c r="AS598" s="150" t="e">
        <f aca="false">_xlfn.xlookup(AN598,A:A,S:S)</f>
        <v>#NAME?</v>
      </c>
      <c r="AT598" s="150" t="e">
        <f aca="false">_xlfn.xlookup(AN598,A:A,AE:AE)</f>
        <v>#NAME?</v>
      </c>
      <c r="AU598" s="150" t="e">
        <f aca="false">_xlfn.xlookup(AN598,A:A,AF:AF)</f>
        <v>#NAME?</v>
      </c>
      <c r="AX598" s="146"/>
      <c r="AY598" s="150"/>
      <c r="AZ598" s="150"/>
      <c r="BA598" s="150"/>
      <c r="BB598" s="146"/>
      <c r="BC598" s="146"/>
      <c r="BD598" s="151"/>
      <c r="BE598" s="146"/>
      <c r="BF598" s="146"/>
      <c r="BH598" s="152" t="e">
        <f aca="false">_xlfn.xlookup(BG598,A:A,F:F)</f>
        <v>#NAME?</v>
      </c>
      <c r="BI598" s="153" t="e">
        <f aca="false">_xlfn.xlookup(BG598,A:A,J:J)</f>
        <v>#NAME?</v>
      </c>
      <c r="BJ598" s="153" t="e">
        <f aca="false">_xlfn.xlookup(BG598,A:A,N:N)+_xlfn.xlookup(BG598,A:A,O:O)</f>
        <v>#NAME?</v>
      </c>
      <c r="BK598" s="153" t="e">
        <f aca="false">_xlfn.xlookup(BG598,A547:A1541,AB547:AB1541)</f>
        <v>#NAME?</v>
      </c>
      <c r="BN598" s="146"/>
      <c r="BO598" s="150"/>
      <c r="BQ598" s="153" t="str">
        <f aca="false">IF(VALUE(MONTH(C598))&lt;10,YEAR(C598)&amp;"-0"&amp;MONTH(C598),YEAR(C598)&amp;"-"&amp;MONTH(C598))</f>
        <v>1900-01</v>
      </c>
      <c r="BR598" s="153" t="n">
        <f aca="false">J598</f>
        <v>0</v>
      </c>
      <c r="BS598" s="153" t="n">
        <f aca="false">IF(ISNUMBER(FIND("-", BR598)), LEFT(BR598, FIND("-", BR598) - 1), BR598)</f>
        <v>0</v>
      </c>
      <c r="BT598" s="189" t="n">
        <f aca="false">L598-M598+O598</f>
        <v>0</v>
      </c>
    </row>
    <row r="599" s="153" customFormat="true" ht="15" hidden="false" customHeight="false" outlineLevel="0" collapsed="false">
      <c r="AN599" s="153" t="e">
        <v>#NAME?</v>
      </c>
      <c r="AO599" s="153" t="e">
        <f aca="false">_xlfn.xlookup(AN599,A:A,F:F)</f>
        <v>#NAME?</v>
      </c>
      <c r="AP599" s="153" t="e">
        <f aca="false">_xlfn.xlookup(AN599,A:A,J:J)</f>
        <v>#NAME?</v>
      </c>
      <c r="AQ599" s="153" t="e">
        <f aca="false">_xlfn.xlookup(AN599,A:A,N:N)+_xlfn.xlookup(AN599,A:A,O:O)</f>
        <v>#NAME?</v>
      </c>
      <c r="AR599" s="150" t="e">
        <f aca="false">_xlfn.xlookup(AN599,A:A,AH:AH)</f>
        <v>#NAME?</v>
      </c>
      <c r="AS599" s="150" t="e">
        <f aca="false">_xlfn.xlookup(AN599,A:A,S:S)</f>
        <v>#NAME?</v>
      </c>
      <c r="AT599" s="150" t="e">
        <f aca="false">_xlfn.xlookup(AN599,A:A,AE:AE)</f>
        <v>#NAME?</v>
      </c>
      <c r="AU599" s="150" t="e">
        <f aca="false">_xlfn.xlookup(AN599,A:A,AF:AF)</f>
        <v>#NAME?</v>
      </c>
      <c r="AX599" s="146"/>
      <c r="AY599" s="150"/>
      <c r="AZ599" s="150"/>
      <c r="BA599" s="150"/>
      <c r="BB599" s="146"/>
      <c r="BC599" s="146"/>
      <c r="BD599" s="151"/>
      <c r="BE599" s="146"/>
      <c r="BF599" s="146"/>
      <c r="BH599" s="152" t="e">
        <f aca="false">_xlfn.xlookup(BG599,A:A,F:F)</f>
        <v>#NAME?</v>
      </c>
      <c r="BI599" s="153" t="e">
        <f aca="false">_xlfn.xlookup(BG599,A:A,J:J)</f>
        <v>#NAME?</v>
      </c>
      <c r="BJ599" s="153" t="e">
        <f aca="false">_xlfn.xlookup(BG599,A:A,N:N)+_xlfn.xlookup(BG599,A:A,O:O)</f>
        <v>#NAME?</v>
      </c>
      <c r="BK599" s="153" t="e">
        <f aca="false">_xlfn.xlookup(BG599,A548:A1542,AB548:AB1542)</f>
        <v>#NAME?</v>
      </c>
      <c r="BN599" s="146"/>
      <c r="BO599" s="150"/>
      <c r="BQ599" s="153" t="str">
        <f aca="false">IF(VALUE(MONTH(C599))&lt;10,YEAR(C599)&amp;"-0"&amp;MONTH(C599),YEAR(C599)&amp;"-"&amp;MONTH(C599))</f>
        <v>1900-01</v>
      </c>
      <c r="BR599" s="153" t="n">
        <f aca="false">J599</f>
        <v>0</v>
      </c>
      <c r="BS599" s="153" t="n">
        <f aca="false">IF(ISNUMBER(FIND("-", BR599)), LEFT(BR599, FIND("-", BR599) - 1), BR599)</f>
        <v>0</v>
      </c>
      <c r="BT599" s="189" t="n">
        <f aca="false">L599-M599+O599</f>
        <v>0</v>
      </c>
    </row>
    <row r="600" s="153" customFormat="true" ht="15" hidden="false" customHeight="false" outlineLevel="0" collapsed="false">
      <c r="AN600" s="153" t="e">
        <v>#NAME?</v>
      </c>
      <c r="AO600" s="153" t="e">
        <f aca="false">_xlfn.xlookup(AN600,A:A,F:F)</f>
        <v>#NAME?</v>
      </c>
      <c r="AP600" s="153" t="e">
        <f aca="false">_xlfn.xlookup(AN600,A:A,J:J)</f>
        <v>#NAME?</v>
      </c>
      <c r="AQ600" s="153" t="e">
        <f aca="false">_xlfn.xlookup(AN600,A:A,N:N)+_xlfn.xlookup(AN600,A:A,O:O)</f>
        <v>#NAME?</v>
      </c>
      <c r="AR600" s="150" t="e">
        <f aca="false">_xlfn.xlookup(AN600,A:A,AH:AH)</f>
        <v>#NAME?</v>
      </c>
      <c r="AS600" s="150" t="e">
        <f aca="false">_xlfn.xlookup(AN600,A:A,S:S)</f>
        <v>#NAME?</v>
      </c>
      <c r="AT600" s="150" t="e">
        <f aca="false">_xlfn.xlookup(AN600,A:A,AE:AE)</f>
        <v>#NAME?</v>
      </c>
      <c r="AU600" s="150" t="e">
        <f aca="false">_xlfn.xlookup(AN600,A:A,AF:AF)</f>
        <v>#NAME?</v>
      </c>
      <c r="AX600" s="146"/>
      <c r="AY600" s="150"/>
      <c r="AZ600" s="150"/>
      <c r="BA600" s="150"/>
      <c r="BB600" s="146"/>
      <c r="BC600" s="146"/>
      <c r="BD600" s="151"/>
      <c r="BE600" s="146"/>
      <c r="BF600" s="146"/>
      <c r="BH600" s="152" t="e">
        <f aca="false">_xlfn.xlookup(BG600,A:A,F:F)</f>
        <v>#NAME?</v>
      </c>
      <c r="BI600" s="153" t="e">
        <f aca="false">_xlfn.xlookup(BG600,A:A,J:J)</f>
        <v>#NAME?</v>
      </c>
      <c r="BJ600" s="153" t="e">
        <f aca="false">_xlfn.xlookup(BG600,A:A,N:N)+_xlfn.xlookup(BG600,A:A,O:O)</f>
        <v>#NAME?</v>
      </c>
      <c r="BK600" s="153" t="e">
        <f aca="false">_xlfn.xlookup(BG600,A549:A1543,AB549:AB1543)</f>
        <v>#NAME?</v>
      </c>
      <c r="BN600" s="146"/>
      <c r="BO600" s="150"/>
      <c r="BQ600" s="153" t="str">
        <f aca="false">IF(VALUE(MONTH(C600))&lt;10,YEAR(C600)&amp;"-0"&amp;MONTH(C600),YEAR(C600)&amp;"-"&amp;MONTH(C600))</f>
        <v>1900-01</v>
      </c>
      <c r="BR600" s="153" t="n">
        <f aca="false">J600</f>
        <v>0</v>
      </c>
      <c r="BS600" s="153" t="n">
        <f aca="false">IF(ISNUMBER(FIND("-", BR600)), LEFT(BR600, FIND("-", BR600) - 1), BR600)</f>
        <v>0</v>
      </c>
      <c r="BT600" s="189" t="n">
        <f aca="false">L600-M600+O600</f>
        <v>0</v>
      </c>
    </row>
    <row r="601" s="153" customFormat="true" ht="15" hidden="false" customHeight="false" outlineLevel="0" collapsed="false">
      <c r="AN601" s="153" t="e">
        <v>#NAME?</v>
      </c>
      <c r="AO601" s="153" t="e">
        <f aca="false">_xlfn.xlookup(AN601,A:A,F:F)</f>
        <v>#NAME?</v>
      </c>
      <c r="AP601" s="153" t="e">
        <f aca="false">_xlfn.xlookup(AN601,A:A,J:J)</f>
        <v>#NAME?</v>
      </c>
      <c r="AQ601" s="153" t="e">
        <f aca="false">_xlfn.xlookup(AN601,A:A,N:N)+_xlfn.xlookup(AN601,A:A,O:O)</f>
        <v>#NAME?</v>
      </c>
      <c r="AR601" s="150" t="e">
        <f aca="false">_xlfn.xlookup(AN601,A:A,AH:AH)</f>
        <v>#NAME?</v>
      </c>
      <c r="AS601" s="150" t="e">
        <f aca="false">_xlfn.xlookup(AN601,A:A,S:S)</f>
        <v>#NAME?</v>
      </c>
      <c r="AT601" s="150" t="e">
        <f aca="false">_xlfn.xlookup(AN601,A:A,AE:AE)</f>
        <v>#NAME?</v>
      </c>
      <c r="AU601" s="150" t="e">
        <f aca="false">_xlfn.xlookup(AN601,A:A,AF:AF)</f>
        <v>#NAME?</v>
      </c>
      <c r="AX601" s="146"/>
      <c r="AY601" s="150"/>
      <c r="AZ601" s="150"/>
      <c r="BA601" s="150"/>
      <c r="BB601" s="146"/>
      <c r="BC601" s="146"/>
      <c r="BD601" s="151"/>
      <c r="BE601" s="146"/>
      <c r="BF601" s="146"/>
      <c r="BH601" s="152" t="e">
        <f aca="false">_xlfn.xlookup(BG601,A:A,F:F)</f>
        <v>#NAME?</v>
      </c>
      <c r="BI601" s="153" t="e">
        <f aca="false">_xlfn.xlookup(BG601,A:A,J:J)</f>
        <v>#NAME?</v>
      </c>
      <c r="BJ601" s="153" t="e">
        <f aca="false">_xlfn.xlookup(BG601,A:A,N:N)+_xlfn.xlookup(BG601,A:A,O:O)</f>
        <v>#NAME?</v>
      </c>
      <c r="BK601" s="153" t="e">
        <f aca="false">_xlfn.xlookup(BG601,A550:A1544,AB550:AB1544)</f>
        <v>#NAME?</v>
      </c>
      <c r="BN601" s="146"/>
      <c r="BO601" s="150"/>
      <c r="BQ601" s="153" t="str">
        <f aca="false">IF(VALUE(MONTH(C601))&lt;10,YEAR(C601)&amp;"-0"&amp;MONTH(C601),YEAR(C601)&amp;"-"&amp;MONTH(C601))</f>
        <v>1900-01</v>
      </c>
      <c r="BR601" s="153" t="n">
        <f aca="false">J601</f>
        <v>0</v>
      </c>
      <c r="BS601" s="153" t="n">
        <f aca="false">IF(ISNUMBER(FIND("-", BR601)), LEFT(BR601, FIND("-", BR601) - 1), BR601)</f>
        <v>0</v>
      </c>
      <c r="BT601" s="189" t="n">
        <f aca="false">L601-M601+O601</f>
        <v>0</v>
      </c>
    </row>
    <row r="602" s="153" customFormat="true" ht="15" hidden="false" customHeight="false" outlineLevel="0" collapsed="false">
      <c r="AN602" s="153" t="e">
        <v>#NAME?</v>
      </c>
      <c r="AO602" s="153" t="e">
        <f aca="false">_xlfn.xlookup(AN602,A:A,F:F)</f>
        <v>#NAME?</v>
      </c>
      <c r="AP602" s="153" t="e">
        <f aca="false">_xlfn.xlookup(AN602,A:A,J:J)</f>
        <v>#NAME?</v>
      </c>
      <c r="AQ602" s="153" t="e">
        <f aca="false">_xlfn.xlookup(AN602,A:A,N:N)+_xlfn.xlookup(AN602,A:A,O:O)</f>
        <v>#NAME?</v>
      </c>
      <c r="AR602" s="150" t="e">
        <f aca="false">_xlfn.xlookup(AN602,A:A,AH:AH)</f>
        <v>#NAME?</v>
      </c>
      <c r="AS602" s="150" t="e">
        <f aca="false">_xlfn.xlookup(AN602,A:A,S:S)</f>
        <v>#NAME?</v>
      </c>
      <c r="AT602" s="150" t="e">
        <f aca="false">_xlfn.xlookup(AN602,A:A,AE:AE)</f>
        <v>#NAME?</v>
      </c>
      <c r="AU602" s="150" t="e">
        <f aca="false">_xlfn.xlookup(AN602,A:A,AF:AF)</f>
        <v>#NAME?</v>
      </c>
      <c r="AX602" s="146"/>
      <c r="AY602" s="150"/>
      <c r="AZ602" s="150"/>
      <c r="BA602" s="150"/>
      <c r="BB602" s="146"/>
      <c r="BC602" s="146"/>
      <c r="BD602" s="151"/>
      <c r="BE602" s="146"/>
      <c r="BF602" s="146"/>
      <c r="BH602" s="152" t="e">
        <f aca="false">_xlfn.xlookup(BG602,A:A,F:F)</f>
        <v>#NAME?</v>
      </c>
      <c r="BI602" s="153" t="e">
        <f aca="false">_xlfn.xlookup(BG602,A:A,J:J)</f>
        <v>#NAME?</v>
      </c>
      <c r="BJ602" s="153" t="e">
        <f aca="false">_xlfn.xlookup(BG602,A:A,N:N)+_xlfn.xlookup(BG602,A:A,O:O)</f>
        <v>#NAME?</v>
      </c>
      <c r="BK602" s="153" t="e">
        <f aca="false">_xlfn.xlookup(BG602,A551:A1545,AB551:AB1545)</f>
        <v>#NAME?</v>
      </c>
      <c r="BN602" s="146"/>
      <c r="BO602" s="150"/>
      <c r="BQ602" s="153" t="str">
        <f aca="false">IF(VALUE(MONTH(C602))&lt;10,YEAR(C602)&amp;"-0"&amp;MONTH(C602),YEAR(C602)&amp;"-"&amp;MONTH(C602))</f>
        <v>1900-01</v>
      </c>
      <c r="BR602" s="153" t="n">
        <f aca="false">J602</f>
        <v>0</v>
      </c>
      <c r="BS602" s="153" t="n">
        <f aca="false">IF(ISNUMBER(FIND("-", BR602)), LEFT(BR602, FIND("-", BR602) - 1), BR602)</f>
        <v>0</v>
      </c>
      <c r="BT602" s="189" t="n">
        <f aca="false">L602-M602+O602</f>
        <v>0</v>
      </c>
    </row>
    <row r="603" s="153" customFormat="true" ht="15" hidden="false" customHeight="false" outlineLevel="0" collapsed="false">
      <c r="AN603" s="153" t="e">
        <v>#NAME?</v>
      </c>
      <c r="AO603" s="153" t="e">
        <f aca="false">_xlfn.xlookup(AN603,A:A,F:F)</f>
        <v>#NAME?</v>
      </c>
      <c r="AP603" s="153" t="e">
        <f aca="false">_xlfn.xlookup(AN603,A:A,J:J)</f>
        <v>#NAME?</v>
      </c>
      <c r="AQ603" s="153" t="e">
        <f aca="false">_xlfn.xlookup(AN603,A:A,N:N)+_xlfn.xlookup(AN603,A:A,O:O)</f>
        <v>#NAME?</v>
      </c>
      <c r="AR603" s="150" t="e">
        <f aca="false">_xlfn.xlookup(AN603,A:A,AH:AH)</f>
        <v>#NAME?</v>
      </c>
      <c r="AS603" s="150" t="e">
        <f aca="false">_xlfn.xlookup(AN603,A:A,S:S)</f>
        <v>#NAME?</v>
      </c>
      <c r="AT603" s="150" t="e">
        <f aca="false">_xlfn.xlookup(AN603,A:A,AE:AE)</f>
        <v>#NAME?</v>
      </c>
      <c r="AU603" s="150" t="e">
        <f aca="false">_xlfn.xlookup(AN603,A:A,AF:AF)</f>
        <v>#NAME?</v>
      </c>
      <c r="AX603" s="146"/>
      <c r="AY603" s="150"/>
      <c r="AZ603" s="150"/>
      <c r="BA603" s="150"/>
      <c r="BB603" s="146"/>
      <c r="BC603" s="146"/>
      <c r="BD603" s="151"/>
      <c r="BE603" s="146"/>
      <c r="BF603" s="146"/>
      <c r="BH603" s="152" t="e">
        <f aca="false">_xlfn.xlookup(BG603,A:A,F:F)</f>
        <v>#NAME?</v>
      </c>
      <c r="BI603" s="153" t="e">
        <f aca="false">_xlfn.xlookup(BG603,A:A,J:J)</f>
        <v>#NAME?</v>
      </c>
      <c r="BJ603" s="153" t="e">
        <f aca="false">_xlfn.xlookup(BG603,A:A,N:N)+_xlfn.xlookup(BG603,A:A,O:O)</f>
        <v>#NAME?</v>
      </c>
      <c r="BK603" s="153" t="e">
        <f aca="false">_xlfn.xlookup(BG603,A552:A1546,AB552:AB1546)</f>
        <v>#NAME?</v>
      </c>
      <c r="BN603" s="146"/>
      <c r="BO603" s="150"/>
      <c r="BQ603" s="153" t="str">
        <f aca="false">IF(VALUE(MONTH(C603))&lt;10,YEAR(C603)&amp;"-0"&amp;MONTH(C603),YEAR(C603)&amp;"-"&amp;MONTH(C603))</f>
        <v>1900-01</v>
      </c>
      <c r="BR603" s="153" t="n">
        <f aca="false">J603</f>
        <v>0</v>
      </c>
      <c r="BS603" s="153" t="n">
        <f aca="false">IF(ISNUMBER(FIND("-", BR603)), LEFT(BR603, FIND("-", BR603) - 1), BR603)</f>
        <v>0</v>
      </c>
      <c r="BT603" s="189" t="n">
        <f aca="false">L603-M603+O603</f>
        <v>0</v>
      </c>
    </row>
    <row r="604" s="153" customFormat="true" ht="15" hidden="false" customHeight="false" outlineLevel="0" collapsed="false">
      <c r="AN604" s="153" t="e">
        <v>#NAME?</v>
      </c>
      <c r="AO604" s="153" t="e">
        <f aca="false">_xlfn.xlookup(AN604,A:A,F:F)</f>
        <v>#NAME?</v>
      </c>
      <c r="AP604" s="153" t="e">
        <f aca="false">_xlfn.xlookup(AN604,A:A,J:J)</f>
        <v>#NAME?</v>
      </c>
      <c r="AQ604" s="153" t="e">
        <f aca="false">_xlfn.xlookup(AN604,A:A,N:N)+_xlfn.xlookup(AN604,A:A,O:O)</f>
        <v>#NAME?</v>
      </c>
      <c r="AR604" s="150" t="e">
        <f aca="false">_xlfn.xlookup(AN604,A:A,AH:AH)</f>
        <v>#NAME?</v>
      </c>
      <c r="AS604" s="150" t="e">
        <f aca="false">_xlfn.xlookup(AN604,A:A,S:S)</f>
        <v>#NAME?</v>
      </c>
      <c r="AT604" s="150" t="e">
        <f aca="false">_xlfn.xlookup(AN604,A:A,AE:AE)</f>
        <v>#NAME?</v>
      </c>
      <c r="AU604" s="150" t="e">
        <f aca="false">_xlfn.xlookup(AN604,A:A,AF:AF)</f>
        <v>#NAME?</v>
      </c>
      <c r="AX604" s="146"/>
      <c r="AY604" s="150"/>
      <c r="AZ604" s="150"/>
      <c r="BA604" s="150"/>
      <c r="BB604" s="146"/>
      <c r="BC604" s="146"/>
      <c r="BD604" s="151"/>
      <c r="BE604" s="146"/>
      <c r="BF604" s="146"/>
      <c r="BH604" s="152" t="e">
        <f aca="false">_xlfn.xlookup(BG604,A:A,F:F)</f>
        <v>#NAME?</v>
      </c>
      <c r="BI604" s="153" t="e">
        <f aca="false">_xlfn.xlookup(BG604,A:A,J:J)</f>
        <v>#NAME?</v>
      </c>
      <c r="BJ604" s="153" t="e">
        <f aca="false">_xlfn.xlookup(BG604,A:A,N:N)+_xlfn.xlookup(BG604,A:A,O:O)</f>
        <v>#NAME?</v>
      </c>
      <c r="BK604" s="153" t="e">
        <f aca="false">_xlfn.xlookup(BG604,A553:A1547,AB553:AB1547)</f>
        <v>#NAME?</v>
      </c>
      <c r="BN604" s="146"/>
      <c r="BO604" s="150"/>
      <c r="BQ604" s="153" t="str">
        <f aca="false">IF(VALUE(MONTH(C604))&lt;10,YEAR(C604)&amp;"-0"&amp;MONTH(C604),YEAR(C604)&amp;"-"&amp;MONTH(C604))</f>
        <v>1900-01</v>
      </c>
      <c r="BR604" s="153" t="n">
        <f aca="false">J604</f>
        <v>0</v>
      </c>
      <c r="BS604" s="153" t="n">
        <f aca="false">IF(ISNUMBER(FIND("-", BR604)), LEFT(BR604, FIND("-", BR604) - 1), BR604)</f>
        <v>0</v>
      </c>
      <c r="BT604" s="189" t="n">
        <f aca="false">L604-M604+O604</f>
        <v>0</v>
      </c>
    </row>
    <row r="605" s="153" customFormat="true" ht="15" hidden="false" customHeight="false" outlineLevel="0" collapsed="false">
      <c r="AN605" s="153" t="e">
        <v>#NAME?</v>
      </c>
      <c r="AO605" s="153" t="e">
        <f aca="false">_xlfn.xlookup(AN605,A:A,F:F)</f>
        <v>#NAME?</v>
      </c>
      <c r="AP605" s="153" t="e">
        <f aca="false">_xlfn.xlookup(AN605,A:A,J:J)</f>
        <v>#NAME?</v>
      </c>
      <c r="AQ605" s="153" t="e">
        <f aca="false">_xlfn.xlookup(AN605,A:A,N:N)+_xlfn.xlookup(AN605,A:A,O:O)</f>
        <v>#NAME?</v>
      </c>
      <c r="AR605" s="150" t="e">
        <f aca="false">_xlfn.xlookup(AN605,A:A,AH:AH)</f>
        <v>#NAME?</v>
      </c>
      <c r="AS605" s="150" t="e">
        <f aca="false">_xlfn.xlookup(AN605,A:A,S:S)</f>
        <v>#NAME?</v>
      </c>
      <c r="AT605" s="150" t="e">
        <f aca="false">_xlfn.xlookup(AN605,A:A,AE:AE)</f>
        <v>#NAME?</v>
      </c>
      <c r="AU605" s="150" t="e">
        <f aca="false">_xlfn.xlookup(AN605,A:A,AF:AF)</f>
        <v>#NAME?</v>
      </c>
      <c r="AX605" s="146"/>
      <c r="AY605" s="150"/>
      <c r="AZ605" s="150"/>
      <c r="BA605" s="150"/>
      <c r="BB605" s="146"/>
      <c r="BC605" s="146"/>
      <c r="BD605" s="151"/>
      <c r="BE605" s="146"/>
      <c r="BF605" s="146"/>
      <c r="BH605" s="152" t="e">
        <f aca="false">_xlfn.xlookup(BG605,A:A,F:F)</f>
        <v>#NAME?</v>
      </c>
      <c r="BI605" s="153" t="e">
        <f aca="false">_xlfn.xlookup(BG605,A:A,J:J)</f>
        <v>#NAME?</v>
      </c>
      <c r="BJ605" s="153" t="e">
        <f aca="false">_xlfn.xlookup(BG605,A:A,N:N)+_xlfn.xlookup(BG605,A:A,O:O)</f>
        <v>#NAME?</v>
      </c>
      <c r="BK605" s="153" t="e">
        <f aca="false">_xlfn.xlookup(BG605,A554:A1548,AB554:AB1548)</f>
        <v>#NAME?</v>
      </c>
      <c r="BN605" s="146"/>
      <c r="BO605" s="150"/>
      <c r="BQ605" s="153" t="str">
        <f aca="false">IF(VALUE(MONTH(C605))&lt;10,YEAR(C605)&amp;"-0"&amp;MONTH(C605),YEAR(C605)&amp;"-"&amp;MONTH(C605))</f>
        <v>1900-01</v>
      </c>
      <c r="BR605" s="153" t="n">
        <f aca="false">J605</f>
        <v>0</v>
      </c>
      <c r="BS605" s="153" t="n">
        <f aca="false">IF(ISNUMBER(FIND("-", BR605)), LEFT(BR605, FIND("-", BR605) - 1), BR605)</f>
        <v>0</v>
      </c>
      <c r="BT605" s="189" t="n">
        <f aca="false">L605-M605+O605</f>
        <v>0</v>
      </c>
    </row>
    <row r="606" s="153" customFormat="true" ht="15" hidden="false" customHeight="false" outlineLevel="0" collapsed="false">
      <c r="AN606" s="153" t="e">
        <v>#NAME?</v>
      </c>
      <c r="AO606" s="153" t="e">
        <f aca="false">_xlfn.xlookup(AN606,A:A,F:F)</f>
        <v>#NAME?</v>
      </c>
      <c r="AP606" s="153" t="e">
        <f aca="false">_xlfn.xlookup(AN606,A:A,J:J)</f>
        <v>#NAME?</v>
      </c>
      <c r="AQ606" s="153" t="e">
        <f aca="false">_xlfn.xlookup(AN606,A:A,N:N)+_xlfn.xlookup(AN606,A:A,O:O)</f>
        <v>#NAME?</v>
      </c>
      <c r="AR606" s="150" t="e">
        <f aca="false">_xlfn.xlookup(AN606,A:A,AH:AH)</f>
        <v>#NAME?</v>
      </c>
      <c r="AS606" s="150" t="e">
        <f aca="false">_xlfn.xlookup(AN606,A:A,S:S)</f>
        <v>#NAME?</v>
      </c>
      <c r="AT606" s="150" t="e">
        <f aca="false">_xlfn.xlookup(AN606,A:A,AE:AE)</f>
        <v>#NAME?</v>
      </c>
      <c r="AU606" s="150" t="e">
        <f aca="false">_xlfn.xlookup(AN606,A:A,AF:AF)</f>
        <v>#NAME?</v>
      </c>
      <c r="AX606" s="146"/>
      <c r="AY606" s="150"/>
      <c r="AZ606" s="150"/>
      <c r="BA606" s="150"/>
      <c r="BB606" s="146"/>
      <c r="BC606" s="146"/>
      <c r="BD606" s="151"/>
      <c r="BE606" s="146"/>
      <c r="BF606" s="146"/>
      <c r="BH606" s="152" t="e">
        <f aca="false">_xlfn.xlookup(BG606,A:A,F:F)</f>
        <v>#NAME?</v>
      </c>
      <c r="BI606" s="153" t="e">
        <f aca="false">_xlfn.xlookup(BG606,A:A,J:J)</f>
        <v>#NAME?</v>
      </c>
      <c r="BJ606" s="153" t="e">
        <f aca="false">_xlfn.xlookup(BG606,A:A,N:N)+_xlfn.xlookup(BG606,A:A,O:O)</f>
        <v>#NAME?</v>
      </c>
      <c r="BK606" s="153" t="e">
        <f aca="false">_xlfn.xlookup(BG606,A555:A1549,AB555:AB1549)</f>
        <v>#NAME?</v>
      </c>
      <c r="BN606" s="146"/>
      <c r="BO606" s="150"/>
      <c r="BQ606" s="153" t="str">
        <f aca="false">IF(VALUE(MONTH(C606))&lt;10,YEAR(C606)&amp;"-0"&amp;MONTH(C606),YEAR(C606)&amp;"-"&amp;MONTH(C606))</f>
        <v>1900-01</v>
      </c>
      <c r="BR606" s="153" t="n">
        <f aca="false">J606</f>
        <v>0</v>
      </c>
      <c r="BS606" s="153" t="n">
        <f aca="false">IF(ISNUMBER(FIND("-", BR606)), LEFT(BR606, FIND("-", BR606) - 1), BR606)</f>
        <v>0</v>
      </c>
      <c r="BT606" s="189" t="n">
        <f aca="false">L606-M606+O606</f>
        <v>0</v>
      </c>
    </row>
    <row r="607" s="153" customFormat="true" ht="15" hidden="false" customHeight="false" outlineLevel="0" collapsed="false">
      <c r="AN607" s="153" t="e">
        <v>#NAME?</v>
      </c>
      <c r="AO607" s="153" t="e">
        <f aca="false">_xlfn.xlookup(AN607,A:A,F:F)</f>
        <v>#NAME?</v>
      </c>
      <c r="AP607" s="153" t="e">
        <f aca="false">_xlfn.xlookup(AN607,A:A,J:J)</f>
        <v>#NAME?</v>
      </c>
      <c r="AQ607" s="153" t="e">
        <f aca="false">_xlfn.xlookup(AN607,A:A,N:N)+_xlfn.xlookup(AN607,A:A,O:O)</f>
        <v>#NAME?</v>
      </c>
      <c r="AR607" s="150" t="e">
        <f aca="false">_xlfn.xlookup(AN607,A:A,AH:AH)</f>
        <v>#NAME?</v>
      </c>
      <c r="AS607" s="150" t="e">
        <f aca="false">_xlfn.xlookup(AN607,A:A,S:S)</f>
        <v>#NAME?</v>
      </c>
      <c r="AT607" s="150" t="e">
        <f aca="false">_xlfn.xlookup(AN607,A:A,AE:AE)</f>
        <v>#NAME?</v>
      </c>
      <c r="AU607" s="150" t="e">
        <f aca="false">_xlfn.xlookup(AN607,A:A,AF:AF)</f>
        <v>#NAME?</v>
      </c>
      <c r="AX607" s="146"/>
      <c r="AY607" s="150"/>
      <c r="AZ607" s="150"/>
      <c r="BA607" s="150"/>
      <c r="BB607" s="146"/>
      <c r="BC607" s="146"/>
      <c r="BD607" s="151"/>
      <c r="BE607" s="146"/>
      <c r="BF607" s="146"/>
      <c r="BH607" s="152" t="e">
        <f aca="false">_xlfn.xlookup(BG607,A:A,F:F)</f>
        <v>#NAME?</v>
      </c>
      <c r="BI607" s="153" t="e">
        <f aca="false">_xlfn.xlookup(BG607,A:A,J:J)</f>
        <v>#NAME?</v>
      </c>
      <c r="BJ607" s="153" t="e">
        <f aca="false">_xlfn.xlookup(BG607,A:A,N:N)+_xlfn.xlookup(BG607,A:A,O:O)</f>
        <v>#NAME?</v>
      </c>
      <c r="BK607" s="153" t="e">
        <f aca="false">_xlfn.xlookup(BG607,A556:A1550,AB556:AB1550)</f>
        <v>#NAME?</v>
      </c>
      <c r="BN607" s="146"/>
      <c r="BO607" s="150"/>
      <c r="BQ607" s="153" t="str">
        <f aca="false">IF(VALUE(MONTH(C607))&lt;10,YEAR(C607)&amp;"-0"&amp;MONTH(C607),YEAR(C607)&amp;"-"&amp;MONTH(C607))</f>
        <v>1900-01</v>
      </c>
      <c r="BR607" s="153" t="n">
        <f aca="false">J607</f>
        <v>0</v>
      </c>
      <c r="BS607" s="153" t="n">
        <f aca="false">IF(ISNUMBER(FIND("-", BR607)), LEFT(BR607, FIND("-", BR607) - 1), BR607)</f>
        <v>0</v>
      </c>
      <c r="BT607" s="189" t="n">
        <f aca="false">L607-M607+O607</f>
        <v>0</v>
      </c>
    </row>
    <row r="608" s="153" customFormat="true" ht="15" hidden="false" customHeight="false" outlineLevel="0" collapsed="false">
      <c r="AN608" s="153" t="e">
        <v>#NAME?</v>
      </c>
      <c r="AO608" s="153" t="e">
        <f aca="false">_xlfn.xlookup(AN608,A:A,F:F)</f>
        <v>#NAME?</v>
      </c>
      <c r="AP608" s="153" t="e">
        <f aca="false">_xlfn.xlookup(AN608,A:A,J:J)</f>
        <v>#NAME?</v>
      </c>
      <c r="AQ608" s="153" t="e">
        <f aca="false">_xlfn.xlookup(AN608,A:A,N:N)+_xlfn.xlookup(AN608,A:A,O:O)</f>
        <v>#NAME?</v>
      </c>
      <c r="AR608" s="150" t="e">
        <f aca="false">_xlfn.xlookup(AN608,A:A,AH:AH)</f>
        <v>#NAME?</v>
      </c>
      <c r="AS608" s="150" t="e">
        <f aca="false">_xlfn.xlookup(AN608,A:A,S:S)</f>
        <v>#NAME?</v>
      </c>
      <c r="AT608" s="150" t="e">
        <f aca="false">_xlfn.xlookup(AN608,A:A,AE:AE)</f>
        <v>#NAME?</v>
      </c>
      <c r="AU608" s="150" t="e">
        <f aca="false">_xlfn.xlookup(AN608,A:A,AF:AF)</f>
        <v>#NAME?</v>
      </c>
      <c r="AX608" s="146"/>
      <c r="AY608" s="150"/>
      <c r="AZ608" s="150"/>
      <c r="BA608" s="150"/>
      <c r="BB608" s="146"/>
      <c r="BC608" s="146"/>
      <c r="BD608" s="151"/>
      <c r="BE608" s="146"/>
      <c r="BF608" s="146"/>
      <c r="BH608" s="152" t="e">
        <f aca="false">_xlfn.xlookup(BG608,A:A,F:F)</f>
        <v>#NAME?</v>
      </c>
      <c r="BI608" s="153" t="e">
        <f aca="false">_xlfn.xlookup(BG608,A:A,J:J)</f>
        <v>#NAME?</v>
      </c>
      <c r="BJ608" s="153" t="e">
        <f aca="false">_xlfn.xlookup(BG608,A:A,N:N)+_xlfn.xlookup(BG608,A:A,O:O)</f>
        <v>#NAME?</v>
      </c>
      <c r="BK608" s="153" t="e">
        <f aca="false">_xlfn.xlookup(BG608,A557:A1551,AB557:AB1551)</f>
        <v>#NAME?</v>
      </c>
      <c r="BN608" s="146"/>
      <c r="BO608" s="150"/>
      <c r="BQ608" s="153" t="str">
        <f aca="false">IF(VALUE(MONTH(C608))&lt;10,YEAR(C608)&amp;"-0"&amp;MONTH(C608),YEAR(C608)&amp;"-"&amp;MONTH(C608))</f>
        <v>1900-01</v>
      </c>
      <c r="BR608" s="153" t="n">
        <f aca="false">J608</f>
        <v>0</v>
      </c>
      <c r="BS608" s="153" t="n">
        <f aca="false">IF(ISNUMBER(FIND("-", BR608)), LEFT(BR608, FIND("-", BR608) - 1), BR608)</f>
        <v>0</v>
      </c>
      <c r="BT608" s="189" t="n">
        <f aca="false">L608-M608+O608</f>
        <v>0</v>
      </c>
    </row>
    <row r="609" s="153" customFormat="true" ht="15" hidden="false" customHeight="false" outlineLevel="0" collapsed="false">
      <c r="AN609" s="153" t="e">
        <v>#NAME?</v>
      </c>
      <c r="AO609" s="153" t="e">
        <f aca="false">_xlfn.xlookup(AN609,A:A,F:F)</f>
        <v>#NAME?</v>
      </c>
      <c r="AP609" s="153" t="e">
        <f aca="false">_xlfn.xlookup(AN609,A:A,J:J)</f>
        <v>#NAME?</v>
      </c>
      <c r="AQ609" s="153" t="e">
        <f aca="false">_xlfn.xlookup(AN609,A:A,N:N)+_xlfn.xlookup(AN609,A:A,O:O)</f>
        <v>#NAME?</v>
      </c>
      <c r="AR609" s="150" t="e">
        <f aca="false">_xlfn.xlookup(AN609,A:A,AH:AH)</f>
        <v>#NAME?</v>
      </c>
      <c r="AS609" s="150" t="e">
        <f aca="false">_xlfn.xlookup(AN609,A:A,S:S)</f>
        <v>#NAME?</v>
      </c>
      <c r="AT609" s="150" t="e">
        <f aca="false">_xlfn.xlookup(AN609,A:A,AE:AE)</f>
        <v>#NAME?</v>
      </c>
      <c r="AU609" s="150" t="e">
        <f aca="false">_xlfn.xlookup(AN609,A:A,AF:AF)</f>
        <v>#NAME?</v>
      </c>
      <c r="AX609" s="146"/>
      <c r="AY609" s="150"/>
      <c r="AZ609" s="150"/>
      <c r="BA609" s="150"/>
      <c r="BB609" s="146"/>
      <c r="BC609" s="146"/>
      <c r="BD609" s="151"/>
      <c r="BE609" s="146"/>
      <c r="BF609" s="146"/>
      <c r="BH609" s="152" t="e">
        <f aca="false">_xlfn.xlookup(BG609,A:A,F:F)</f>
        <v>#NAME?</v>
      </c>
      <c r="BI609" s="153" t="e">
        <f aca="false">_xlfn.xlookup(BG609,A:A,J:J)</f>
        <v>#NAME?</v>
      </c>
      <c r="BJ609" s="153" t="e">
        <f aca="false">_xlfn.xlookup(BG609,A:A,N:N)+_xlfn.xlookup(BG609,A:A,O:O)</f>
        <v>#NAME?</v>
      </c>
      <c r="BK609" s="153" t="e">
        <f aca="false">_xlfn.xlookup(BG609,A558:A1552,AB558:AB1552)</f>
        <v>#NAME?</v>
      </c>
      <c r="BN609" s="146"/>
      <c r="BO609" s="150"/>
      <c r="BQ609" s="153" t="str">
        <f aca="false">IF(VALUE(MONTH(C609))&lt;10,YEAR(C609)&amp;"-0"&amp;MONTH(C609),YEAR(C609)&amp;"-"&amp;MONTH(C609))</f>
        <v>1900-01</v>
      </c>
      <c r="BR609" s="153" t="n">
        <f aca="false">J609</f>
        <v>0</v>
      </c>
      <c r="BS609" s="153" t="n">
        <f aca="false">IF(ISNUMBER(FIND("-", BR609)), LEFT(BR609, FIND("-", BR609) - 1), BR609)</f>
        <v>0</v>
      </c>
      <c r="BT609" s="189" t="n">
        <f aca="false">L609-M609+O609</f>
        <v>0</v>
      </c>
    </row>
    <row r="610" s="153" customFormat="true" ht="15" hidden="false" customHeight="false" outlineLevel="0" collapsed="false">
      <c r="AN610" s="153" t="e">
        <v>#NAME?</v>
      </c>
      <c r="AO610" s="153" t="e">
        <f aca="false">_xlfn.xlookup(AN610,A:A,F:F)</f>
        <v>#NAME?</v>
      </c>
      <c r="AP610" s="153" t="e">
        <f aca="false">_xlfn.xlookup(AN610,A:A,J:J)</f>
        <v>#NAME?</v>
      </c>
      <c r="AQ610" s="153" t="e">
        <f aca="false">_xlfn.xlookup(AN610,A:A,N:N)+_xlfn.xlookup(AN610,A:A,O:O)</f>
        <v>#NAME?</v>
      </c>
      <c r="AR610" s="150" t="e">
        <f aca="false">_xlfn.xlookup(AN610,A:A,AH:AH)</f>
        <v>#NAME?</v>
      </c>
      <c r="AS610" s="150" t="e">
        <f aca="false">_xlfn.xlookup(AN610,A:A,S:S)</f>
        <v>#NAME?</v>
      </c>
      <c r="AT610" s="150" t="e">
        <f aca="false">_xlfn.xlookup(AN610,A:A,AE:AE)</f>
        <v>#NAME?</v>
      </c>
      <c r="AU610" s="150" t="e">
        <f aca="false">_xlfn.xlookup(AN610,A:A,AF:AF)</f>
        <v>#NAME?</v>
      </c>
      <c r="AX610" s="146"/>
      <c r="AY610" s="150"/>
      <c r="AZ610" s="150"/>
      <c r="BA610" s="150"/>
      <c r="BB610" s="146"/>
      <c r="BC610" s="146"/>
      <c r="BD610" s="151"/>
      <c r="BE610" s="146"/>
      <c r="BF610" s="146"/>
      <c r="BH610" s="152" t="e">
        <f aca="false">_xlfn.xlookup(BG610,A:A,F:F)</f>
        <v>#NAME?</v>
      </c>
      <c r="BI610" s="153" t="e">
        <f aca="false">_xlfn.xlookup(BG610,A:A,J:J)</f>
        <v>#NAME?</v>
      </c>
      <c r="BJ610" s="153" t="e">
        <f aca="false">_xlfn.xlookup(BG610,A:A,N:N)+_xlfn.xlookup(BG610,A:A,O:O)</f>
        <v>#NAME?</v>
      </c>
      <c r="BK610" s="153" t="e">
        <f aca="false">_xlfn.xlookup(BG610,A559:A1553,AB559:AB1553)</f>
        <v>#NAME?</v>
      </c>
      <c r="BN610" s="146"/>
      <c r="BO610" s="150"/>
      <c r="BQ610" s="153" t="str">
        <f aca="false">IF(VALUE(MONTH(C610))&lt;10,YEAR(C610)&amp;"-0"&amp;MONTH(C610),YEAR(C610)&amp;"-"&amp;MONTH(C610))</f>
        <v>1900-01</v>
      </c>
      <c r="BR610" s="153" t="n">
        <f aca="false">J610</f>
        <v>0</v>
      </c>
      <c r="BS610" s="153" t="n">
        <f aca="false">IF(ISNUMBER(FIND("-", BR610)), LEFT(BR610, FIND("-", BR610) - 1), BR610)</f>
        <v>0</v>
      </c>
      <c r="BT610" s="189" t="n">
        <f aca="false">L610-M610+O610</f>
        <v>0</v>
      </c>
    </row>
    <row r="611" s="153" customFormat="true" ht="15" hidden="false" customHeight="false" outlineLevel="0" collapsed="false">
      <c r="AN611" s="153" t="e">
        <v>#NAME?</v>
      </c>
      <c r="AO611" s="153" t="e">
        <f aca="false">_xlfn.xlookup(AN611,A:A,F:F)</f>
        <v>#NAME?</v>
      </c>
      <c r="AP611" s="153" t="e">
        <f aca="false">_xlfn.xlookup(AN611,A:A,J:J)</f>
        <v>#NAME?</v>
      </c>
      <c r="AQ611" s="153" t="e">
        <f aca="false">_xlfn.xlookup(AN611,A:A,N:N)+_xlfn.xlookup(AN611,A:A,O:O)</f>
        <v>#NAME?</v>
      </c>
      <c r="AR611" s="150" t="e">
        <f aca="false">_xlfn.xlookup(AN611,A:A,AH:AH)</f>
        <v>#NAME?</v>
      </c>
      <c r="AS611" s="150" t="e">
        <f aca="false">_xlfn.xlookup(AN611,A:A,S:S)</f>
        <v>#NAME?</v>
      </c>
      <c r="AT611" s="150" t="e">
        <f aca="false">_xlfn.xlookup(AN611,A:A,AE:AE)</f>
        <v>#NAME?</v>
      </c>
      <c r="AU611" s="150" t="e">
        <f aca="false">_xlfn.xlookup(AN611,A:A,AF:AF)</f>
        <v>#NAME?</v>
      </c>
      <c r="AX611" s="146"/>
      <c r="AY611" s="150"/>
      <c r="AZ611" s="150"/>
      <c r="BA611" s="150"/>
      <c r="BB611" s="146"/>
      <c r="BC611" s="146"/>
      <c r="BD611" s="151"/>
      <c r="BE611" s="146"/>
      <c r="BF611" s="146"/>
      <c r="BH611" s="152" t="e">
        <f aca="false">_xlfn.xlookup(BG611,A:A,F:F)</f>
        <v>#NAME?</v>
      </c>
      <c r="BI611" s="153" t="e">
        <f aca="false">_xlfn.xlookup(BG611,A:A,J:J)</f>
        <v>#NAME?</v>
      </c>
      <c r="BJ611" s="153" t="e">
        <f aca="false">_xlfn.xlookup(BG611,A:A,N:N)+_xlfn.xlookup(BG611,A:A,O:O)</f>
        <v>#NAME?</v>
      </c>
      <c r="BK611" s="153" t="e">
        <f aca="false">_xlfn.xlookup(BG611,A560:A1554,AB560:AB1554)</f>
        <v>#NAME?</v>
      </c>
      <c r="BN611" s="146"/>
      <c r="BO611" s="150"/>
      <c r="BQ611" s="153" t="str">
        <f aca="false">IF(VALUE(MONTH(C611))&lt;10,YEAR(C611)&amp;"-0"&amp;MONTH(C611),YEAR(C611)&amp;"-"&amp;MONTH(C611))</f>
        <v>1900-01</v>
      </c>
      <c r="BR611" s="153" t="n">
        <f aca="false">J611</f>
        <v>0</v>
      </c>
      <c r="BS611" s="153" t="n">
        <f aca="false">IF(ISNUMBER(FIND("-", BR611)), LEFT(BR611, FIND("-", BR611) - 1), BR611)</f>
        <v>0</v>
      </c>
      <c r="BT611" s="189" t="n">
        <f aca="false">L611-M611+O611</f>
        <v>0</v>
      </c>
    </row>
    <row r="612" s="153" customFormat="true" ht="15" hidden="false" customHeight="false" outlineLevel="0" collapsed="false">
      <c r="AN612" s="153" t="e">
        <v>#NAME?</v>
      </c>
      <c r="AO612" s="153" t="e">
        <f aca="false">_xlfn.xlookup(AN612,A:A,F:F)</f>
        <v>#NAME?</v>
      </c>
      <c r="AP612" s="153" t="e">
        <f aca="false">_xlfn.xlookup(AN612,A:A,J:J)</f>
        <v>#NAME?</v>
      </c>
      <c r="AQ612" s="153" t="e">
        <f aca="false">_xlfn.xlookup(AN612,A:A,N:N)+_xlfn.xlookup(AN612,A:A,O:O)</f>
        <v>#NAME?</v>
      </c>
      <c r="AR612" s="150" t="e">
        <f aca="false">_xlfn.xlookup(AN612,A:A,AH:AH)</f>
        <v>#NAME?</v>
      </c>
      <c r="AS612" s="150" t="e">
        <f aca="false">_xlfn.xlookup(AN612,A:A,S:S)</f>
        <v>#NAME?</v>
      </c>
      <c r="AT612" s="150" t="e">
        <f aca="false">_xlfn.xlookup(AN612,A:A,AE:AE)</f>
        <v>#NAME?</v>
      </c>
      <c r="AU612" s="150" t="e">
        <f aca="false">_xlfn.xlookup(AN612,A:A,AF:AF)</f>
        <v>#NAME?</v>
      </c>
      <c r="AX612" s="146"/>
      <c r="AY612" s="150"/>
      <c r="AZ612" s="150"/>
      <c r="BA612" s="150"/>
      <c r="BB612" s="146"/>
      <c r="BC612" s="146"/>
      <c r="BD612" s="151"/>
      <c r="BE612" s="146"/>
      <c r="BF612" s="146"/>
      <c r="BH612" s="152" t="e">
        <f aca="false">_xlfn.xlookup(BG612,A:A,F:F)</f>
        <v>#NAME?</v>
      </c>
      <c r="BI612" s="153" t="e">
        <f aca="false">_xlfn.xlookup(BG612,A:A,J:J)</f>
        <v>#NAME?</v>
      </c>
      <c r="BJ612" s="153" t="e">
        <f aca="false">_xlfn.xlookup(BG612,A:A,N:N)+_xlfn.xlookup(BG612,A:A,O:O)</f>
        <v>#NAME?</v>
      </c>
      <c r="BK612" s="153" t="e">
        <f aca="false">_xlfn.xlookup(BG612,A561:A1555,AB561:AB1555)</f>
        <v>#NAME?</v>
      </c>
      <c r="BN612" s="146"/>
      <c r="BO612" s="150"/>
      <c r="BQ612" s="153" t="str">
        <f aca="false">IF(VALUE(MONTH(C612))&lt;10,YEAR(C612)&amp;"-0"&amp;MONTH(C612),YEAR(C612)&amp;"-"&amp;MONTH(C612))</f>
        <v>1900-01</v>
      </c>
      <c r="BR612" s="153" t="n">
        <f aca="false">J612</f>
        <v>0</v>
      </c>
      <c r="BS612" s="153" t="n">
        <f aca="false">IF(ISNUMBER(FIND("-", BR612)), LEFT(BR612, FIND("-", BR612) - 1), BR612)</f>
        <v>0</v>
      </c>
      <c r="BT612" s="189" t="n">
        <f aca="false">L612-M612+O612</f>
        <v>0</v>
      </c>
    </row>
    <row r="613" s="153" customFormat="true" ht="15" hidden="false" customHeight="false" outlineLevel="0" collapsed="false">
      <c r="AN613" s="153" t="e">
        <v>#NAME?</v>
      </c>
      <c r="AO613" s="153" t="e">
        <f aca="false">_xlfn.xlookup(AN613,A:A,F:F)</f>
        <v>#NAME?</v>
      </c>
      <c r="AP613" s="153" t="e">
        <f aca="false">_xlfn.xlookup(AN613,A:A,J:J)</f>
        <v>#NAME?</v>
      </c>
      <c r="AQ613" s="153" t="e">
        <f aca="false">_xlfn.xlookup(AN613,A:A,N:N)+_xlfn.xlookup(AN613,A:A,O:O)</f>
        <v>#NAME?</v>
      </c>
      <c r="AR613" s="150" t="e">
        <f aca="false">_xlfn.xlookup(AN613,A:A,AH:AH)</f>
        <v>#NAME?</v>
      </c>
      <c r="AS613" s="150" t="e">
        <f aca="false">_xlfn.xlookup(AN613,A:A,S:S)</f>
        <v>#NAME?</v>
      </c>
      <c r="AT613" s="150" t="e">
        <f aca="false">_xlfn.xlookup(AN613,A:A,AE:AE)</f>
        <v>#NAME?</v>
      </c>
      <c r="AU613" s="150" t="e">
        <f aca="false">_xlfn.xlookup(AN613,A:A,AF:AF)</f>
        <v>#NAME?</v>
      </c>
      <c r="AX613" s="146"/>
      <c r="AY613" s="150"/>
      <c r="AZ613" s="150"/>
      <c r="BA613" s="150"/>
      <c r="BB613" s="146"/>
      <c r="BC613" s="146"/>
      <c r="BD613" s="151"/>
      <c r="BE613" s="146"/>
      <c r="BF613" s="146"/>
      <c r="BH613" s="152" t="e">
        <f aca="false">_xlfn.xlookup(BG613,A:A,F:F)</f>
        <v>#NAME?</v>
      </c>
      <c r="BI613" s="153" t="e">
        <f aca="false">_xlfn.xlookup(BG613,A:A,J:J)</f>
        <v>#NAME?</v>
      </c>
      <c r="BJ613" s="153" t="e">
        <f aca="false">_xlfn.xlookup(BG613,A:A,N:N)+_xlfn.xlookup(BG613,A:A,O:O)</f>
        <v>#NAME?</v>
      </c>
      <c r="BK613" s="153" t="e">
        <f aca="false">_xlfn.xlookup(BG613,A562:A1556,AB562:AB1556)</f>
        <v>#NAME?</v>
      </c>
      <c r="BN613" s="146"/>
      <c r="BO613" s="150"/>
      <c r="BQ613" s="153" t="str">
        <f aca="false">IF(VALUE(MONTH(C613))&lt;10,YEAR(C613)&amp;"-0"&amp;MONTH(C613),YEAR(C613)&amp;"-"&amp;MONTH(C613))</f>
        <v>1900-01</v>
      </c>
      <c r="BR613" s="153" t="n">
        <f aca="false">J613</f>
        <v>0</v>
      </c>
      <c r="BS613" s="153" t="n">
        <f aca="false">IF(ISNUMBER(FIND("-", BR613)), LEFT(BR613, FIND("-", BR613) - 1), BR613)</f>
        <v>0</v>
      </c>
      <c r="BT613" s="189" t="n">
        <f aca="false">L613-M613+O613</f>
        <v>0</v>
      </c>
    </row>
    <row r="614" s="153" customFormat="true" ht="15" hidden="false" customHeight="false" outlineLevel="0" collapsed="false">
      <c r="AN614" s="153" t="e">
        <v>#NAME?</v>
      </c>
      <c r="AO614" s="153" t="e">
        <f aca="false">_xlfn.xlookup(AN614,A:A,F:F)</f>
        <v>#NAME?</v>
      </c>
      <c r="AP614" s="153" t="e">
        <f aca="false">_xlfn.xlookup(AN614,A:A,J:J)</f>
        <v>#NAME?</v>
      </c>
      <c r="AQ614" s="153" t="e">
        <f aca="false">_xlfn.xlookup(AN614,A:A,N:N)+_xlfn.xlookup(AN614,A:A,O:O)</f>
        <v>#NAME?</v>
      </c>
      <c r="AR614" s="150" t="e">
        <f aca="false">_xlfn.xlookup(AN614,A:A,AH:AH)</f>
        <v>#NAME?</v>
      </c>
      <c r="AS614" s="150" t="e">
        <f aca="false">_xlfn.xlookup(AN614,A:A,S:S)</f>
        <v>#NAME?</v>
      </c>
      <c r="AT614" s="150" t="e">
        <f aca="false">_xlfn.xlookup(AN614,A:A,AE:AE)</f>
        <v>#NAME?</v>
      </c>
      <c r="AU614" s="150" t="e">
        <f aca="false">_xlfn.xlookup(AN614,A:A,AF:AF)</f>
        <v>#NAME?</v>
      </c>
      <c r="AX614" s="146"/>
      <c r="AY614" s="150"/>
      <c r="AZ614" s="150"/>
      <c r="BA614" s="150"/>
      <c r="BB614" s="146"/>
      <c r="BC614" s="146"/>
      <c r="BD614" s="151"/>
      <c r="BE614" s="146"/>
      <c r="BF614" s="146"/>
      <c r="BH614" s="152" t="e">
        <f aca="false">_xlfn.xlookup(BG614,A:A,F:F)</f>
        <v>#NAME?</v>
      </c>
      <c r="BI614" s="153" t="e">
        <f aca="false">_xlfn.xlookup(BG614,A:A,J:J)</f>
        <v>#NAME?</v>
      </c>
      <c r="BJ614" s="153" t="e">
        <f aca="false">_xlfn.xlookup(BG614,A:A,N:N)+_xlfn.xlookup(BG614,A:A,O:O)</f>
        <v>#NAME?</v>
      </c>
      <c r="BK614" s="153" t="e">
        <f aca="false">_xlfn.xlookup(BG614,A563:A1557,AB563:AB1557)</f>
        <v>#NAME?</v>
      </c>
      <c r="BN614" s="146"/>
      <c r="BO614" s="150"/>
      <c r="BQ614" s="153" t="str">
        <f aca="false">IF(VALUE(MONTH(C614))&lt;10,YEAR(C614)&amp;"-0"&amp;MONTH(C614),YEAR(C614)&amp;"-"&amp;MONTH(C614))</f>
        <v>1900-01</v>
      </c>
      <c r="BR614" s="153" t="n">
        <f aca="false">J614</f>
        <v>0</v>
      </c>
      <c r="BS614" s="153" t="n">
        <f aca="false">IF(ISNUMBER(FIND("-", BR614)), LEFT(BR614, FIND("-", BR614) - 1), BR614)</f>
        <v>0</v>
      </c>
      <c r="BT614" s="189" t="n">
        <f aca="false">L614-M614+O614</f>
        <v>0</v>
      </c>
    </row>
    <row r="615" s="153" customFormat="true" ht="15" hidden="false" customHeight="false" outlineLevel="0" collapsed="false">
      <c r="AN615" s="153" t="e">
        <v>#NAME?</v>
      </c>
      <c r="AO615" s="153" t="e">
        <f aca="false">_xlfn.xlookup(AN615,A:A,F:F)</f>
        <v>#NAME?</v>
      </c>
      <c r="AP615" s="153" t="e">
        <f aca="false">_xlfn.xlookup(AN615,A:A,J:J)</f>
        <v>#NAME?</v>
      </c>
      <c r="AQ615" s="153" t="e">
        <f aca="false">_xlfn.xlookup(AN615,A:A,N:N)+_xlfn.xlookup(AN615,A:A,O:O)</f>
        <v>#NAME?</v>
      </c>
      <c r="AR615" s="150" t="e">
        <f aca="false">_xlfn.xlookup(AN615,A:A,AH:AH)</f>
        <v>#NAME?</v>
      </c>
      <c r="AS615" s="150" t="e">
        <f aca="false">_xlfn.xlookup(AN615,A:A,S:S)</f>
        <v>#NAME?</v>
      </c>
      <c r="AT615" s="150" t="e">
        <f aca="false">_xlfn.xlookup(AN615,A:A,AE:AE)</f>
        <v>#NAME?</v>
      </c>
      <c r="AU615" s="150" t="e">
        <f aca="false">_xlfn.xlookup(AN615,A:A,AF:AF)</f>
        <v>#NAME?</v>
      </c>
      <c r="AX615" s="146"/>
      <c r="AY615" s="150"/>
      <c r="AZ615" s="150"/>
      <c r="BA615" s="150"/>
      <c r="BB615" s="146"/>
      <c r="BC615" s="146"/>
      <c r="BD615" s="151"/>
      <c r="BE615" s="146"/>
      <c r="BF615" s="146"/>
      <c r="BH615" s="152" t="e">
        <f aca="false">_xlfn.xlookup(BG615,A:A,F:F)</f>
        <v>#NAME?</v>
      </c>
      <c r="BI615" s="153" t="e">
        <f aca="false">_xlfn.xlookup(BG615,A:A,J:J)</f>
        <v>#NAME?</v>
      </c>
      <c r="BJ615" s="153" t="e">
        <f aca="false">_xlfn.xlookup(BG615,A:A,N:N)+_xlfn.xlookup(BG615,A:A,O:O)</f>
        <v>#NAME?</v>
      </c>
      <c r="BK615" s="153" t="e">
        <f aca="false">_xlfn.xlookup(BG615,A564:A1558,AB564:AB1558)</f>
        <v>#NAME?</v>
      </c>
      <c r="BN615" s="146"/>
      <c r="BO615" s="150"/>
      <c r="BQ615" s="153" t="str">
        <f aca="false">IF(VALUE(MONTH(C615))&lt;10,YEAR(C615)&amp;"-0"&amp;MONTH(C615),YEAR(C615)&amp;"-"&amp;MONTH(C615))</f>
        <v>1900-01</v>
      </c>
      <c r="BR615" s="153" t="n">
        <f aca="false">J615</f>
        <v>0</v>
      </c>
      <c r="BS615" s="153" t="n">
        <f aca="false">IF(ISNUMBER(FIND("-", BR615)), LEFT(BR615, FIND("-", BR615) - 1), BR615)</f>
        <v>0</v>
      </c>
      <c r="BT615" s="189" t="n">
        <f aca="false">L615-M615+O615</f>
        <v>0</v>
      </c>
    </row>
    <row r="616" s="153" customFormat="true" ht="15" hidden="false" customHeight="false" outlineLevel="0" collapsed="false">
      <c r="AN616" s="153" t="e">
        <v>#NAME?</v>
      </c>
      <c r="AO616" s="153" t="e">
        <f aca="false">_xlfn.xlookup(AN616,A:A,F:F)</f>
        <v>#NAME?</v>
      </c>
      <c r="AP616" s="153" t="e">
        <f aca="false">_xlfn.xlookup(AN616,A:A,J:J)</f>
        <v>#NAME?</v>
      </c>
      <c r="AQ616" s="153" t="e">
        <f aca="false">_xlfn.xlookup(AN616,A:A,N:N)+_xlfn.xlookup(AN616,A:A,O:O)</f>
        <v>#NAME?</v>
      </c>
      <c r="AR616" s="150" t="e">
        <f aca="false">_xlfn.xlookup(AN616,A:A,AH:AH)</f>
        <v>#NAME?</v>
      </c>
      <c r="AS616" s="150" t="e">
        <f aca="false">_xlfn.xlookup(AN616,A:A,S:S)</f>
        <v>#NAME?</v>
      </c>
      <c r="AT616" s="150" t="e">
        <f aca="false">_xlfn.xlookup(AN616,A:A,AE:AE)</f>
        <v>#NAME?</v>
      </c>
      <c r="AU616" s="150" t="e">
        <f aca="false">_xlfn.xlookup(AN616,A:A,AF:AF)</f>
        <v>#NAME?</v>
      </c>
      <c r="AX616" s="146"/>
      <c r="AY616" s="150"/>
      <c r="AZ616" s="150"/>
      <c r="BA616" s="150"/>
      <c r="BB616" s="146"/>
      <c r="BC616" s="146"/>
      <c r="BD616" s="151"/>
      <c r="BE616" s="146"/>
      <c r="BF616" s="146"/>
      <c r="BH616" s="152" t="e">
        <f aca="false">_xlfn.xlookup(BG616,A:A,F:F)</f>
        <v>#NAME?</v>
      </c>
      <c r="BI616" s="153" t="e">
        <f aca="false">_xlfn.xlookup(BG616,A:A,J:J)</f>
        <v>#NAME?</v>
      </c>
      <c r="BJ616" s="153" t="e">
        <f aca="false">_xlfn.xlookup(BG616,A:A,N:N)+_xlfn.xlookup(BG616,A:A,O:O)</f>
        <v>#NAME?</v>
      </c>
      <c r="BK616" s="153" t="e">
        <f aca="false">_xlfn.xlookup(BG616,A565:A1559,AB565:AB1559)</f>
        <v>#NAME?</v>
      </c>
      <c r="BN616" s="146"/>
      <c r="BO616" s="150"/>
      <c r="BQ616" s="153" t="str">
        <f aca="false">IF(VALUE(MONTH(C616))&lt;10,YEAR(C616)&amp;"-0"&amp;MONTH(C616),YEAR(C616)&amp;"-"&amp;MONTH(C616))</f>
        <v>1900-01</v>
      </c>
      <c r="BR616" s="153" t="n">
        <f aca="false">J616</f>
        <v>0</v>
      </c>
      <c r="BS616" s="153" t="n">
        <f aca="false">IF(ISNUMBER(FIND("-", BR616)), LEFT(BR616, FIND("-", BR616) - 1), BR616)</f>
        <v>0</v>
      </c>
      <c r="BT616" s="189" t="n">
        <f aca="false">L616-M616+O616</f>
        <v>0</v>
      </c>
    </row>
    <row r="617" s="153" customFormat="true" ht="15" hidden="false" customHeight="false" outlineLevel="0" collapsed="false">
      <c r="AN617" s="153" t="e">
        <v>#NAME?</v>
      </c>
      <c r="AO617" s="153" t="e">
        <f aca="false">_xlfn.xlookup(AN617,A:A,F:F)</f>
        <v>#NAME?</v>
      </c>
      <c r="AP617" s="153" t="e">
        <f aca="false">_xlfn.xlookup(AN617,A:A,J:J)</f>
        <v>#NAME?</v>
      </c>
      <c r="AQ617" s="153" t="e">
        <f aca="false">_xlfn.xlookup(AN617,A:A,N:N)+_xlfn.xlookup(AN617,A:A,O:O)</f>
        <v>#NAME?</v>
      </c>
      <c r="AR617" s="150" t="e">
        <f aca="false">_xlfn.xlookup(AN617,A:A,AH:AH)</f>
        <v>#NAME?</v>
      </c>
      <c r="AS617" s="150" t="e">
        <f aca="false">_xlfn.xlookup(AN617,A:A,S:S)</f>
        <v>#NAME?</v>
      </c>
      <c r="AT617" s="150" t="e">
        <f aca="false">_xlfn.xlookup(AN617,A:A,AE:AE)</f>
        <v>#NAME?</v>
      </c>
      <c r="AU617" s="150" t="e">
        <f aca="false">_xlfn.xlookup(AN617,A:A,AF:AF)</f>
        <v>#NAME?</v>
      </c>
      <c r="AX617" s="146"/>
      <c r="AY617" s="150"/>
      <c r="AZ617" s="150"/>
      <c r="BA617" s="150"/>
      <c r="BB617" s="146"/>
      <c r="BC617" s="146"/>
      <c r="BD617" s="151"/>
      <c r="BE617" s="146"/>
      <c r="BF617" s="146"/>
      <c r="BH617" s="152" t="e">
        <f aca="false">_xlfn.xlookup(BG617,A:A,F:F)</f>
        <v>#NAME?</v>
      </c>
      <c r="BI617" s="153" t="e">
        <f aca="false">_xlfn.xlookup(BG617,A:A,J:J)</f>
        <v>#NAME?</v>
      </c>
      <c r="BJ617" s="153" t="e">
        <f aca="false">_xlfn.xlookup(BG617,A:A,N:N)+_xlfn.xlookup(BG617,A:A,O:O)</f>
        <v>#NAME?</v>
      </c>
      <c r="BK617" s="153" t="e">
        <f aca="false">_xlfn.xlookup(BG617,A566:A1560,AB566:AB1560)</f>
        <v>#NAME?</v>
      </c>
      <c r="BN617" s="146"/>
      <c r="BO617" s="150"/>
      <c r="BQ617" s="153" t="str">
        <f aca="false">IF(VALUE(MONTH(C617))&lt;10,YEAR(C617)&amp;"-0"&amp;MONTH(C617),YEAR(C617)&amp;"-"&amp;MONTH(C617))</f>
        <v>1900-01</v>
      </c>
      <c r="BR617" s="153" t="n">
        <f aca="false">J617</f>
        <v>0</v>
      </c>
      <c r="BS617" s="153" t="n">
        <f aca="false">IF(ISNUMBER(FIND("-", BR617)), LEFT(BR617, FIND("-", BR617) - 1), BR617)</f>
        <v>0</v>
      </c>
      <c r="BT617" s="189" t="n">
        <f aca="false">L617-M617+O617</f>
        <v>0</v>
      </c>
    </row>
    <row r="618" s="153" customFormat="true" ht="15" hidden="false" customHeight="false" outlineLevel="0" collapsed="false">
      <c r="AN618" s="153" t="e">
        <v>#NAME?</v>
      </c>
      <c r="AO618" s="153" t="e">
        <f aca="false">_xlfn.xlookup(AN618,A:A,F:F)</f>
        <v>#NAME?</v>
      </c>
      <c r="AP618" s="153" t="e">
        <f aca="false">_xlfn.xlookup(AN618,A:A,J:J)</f>
        <v>#NAME?</v>
      </c>
      <c r="AQ618" s="153" t="e">
        <f aca="false">_xlfn.xlookup(AN618,A:A,N:N)+_xlfn.xlookup(AN618,A:A,O:O)</f>
        <v>#NAME?</v>
      </c>
      <c r="AR618" s="150" t="e">
        <f aca="false">_xlfn.xlookup(AN618,A:A,AH:AH)</f>
        <v>#NAME?</v>
      </c>
      <c r="AS618" s="150" t="e">
        <f aca="false">_xlfn.xlookup(AN618,A:A,S:S)</f>
        <v>#NAME?</v>
      </c>
      <c r="AT618" s="150" t="e">
        <f aca="false">_xlfn.xlookup(AN618,A:A,AE:AE)</f>
        <v>#NAME?</v>
      </c>
      <c r="AU618" s="150" t="e">
        <f aca="false">_xlfn.xlookup(AN618,A:A,AF:AF)</f>
        <v>#NAME?</v>
      </c>
      <c r="AX618" s="146"/>
      <c r="AY618" s="150"/>
      <c r="AZ618" s="150"/>
      <c r="BA618" s="150"/>
      <c r="BB618" s="146"/>
      <c r="BC618" s="146"/>
      <c r="BD618" s="151"/>
      <c r="BE618" s="146"/>
      <c r="BF618" s="146"/>
      <c r="BH618" s="152" t="e">
        <f aca="false">_xlfn.xlookup(BG618,A:A,F:F)</f>
        <v>#NAME?</v>
      </c>
      <c r="BI618" s="153" t="e">
        <f aca="false">_xlfn.xlookup(BG618,A:A,J:J)</f>
        <v>#NAME?</v>
      </c>
      <c r="BJ618" s="153" t="e">
        <f aca="false">_xlfn.xlookup(BG618,A:A,N:N)+_xlfn.xlookup(BG618,A:A,O:O)</f>
        <v>#NAME?</v>
      </c>
      <c r="BK618" s="153" t="e">
        <f aca="false">_xlfn.xlookup(BG618,A567:A1561,AB567:AB1561)</f>
        <v>#NAME?</v>
      </c>
      <c r="BN618" s="146"/>
      <c r="BO618" s="150"/>
      <c r="BQ618" s="153" t="str">
        <f aca="false">IF(VALUE(MONTH(C618))&lt;10,YEAR(C618)&amp;"-0"&amp;MONTH(C618),YEAR(C618)&amp;"-"&amp;MONTH(C618))</f>
        <v>1900-01</v>
      </c>
      <c r="BR618" s="153" t="n">
        <f aca="false">J618</f>
        <v>0</v>
      </c>
      <c r="BS618" s="153" t="n">
        <f aca="false">IF(ISNUMBER(FIND("-", BR618)), LEFT(BR618, FIND("-", BR618) - 1), BR618)</f>
        <v>0</v>
      </c>
      <c r="BT618" s="189" t="n">
        <f aca="false">L618-M618+O618</f>
        <v>0</v>
      </c>
    </row>
    <row r="619" s="153" customFormat="true" ht="15" hidden="false" customHeight="false" outlineLevel="0" collapsed="false">
      <c r="AN619" s="153" t="e">
        <v>#NAME?</v>
      </c>
      <c r="AO619" s="153" t="e">
        <f aca="false">_xlfn.xlookup(AN619,A:A,F:F)</f>
        <v>#NAME?</v>
      </c>
      <c r="AP619" s="153" t="e">
        <f aca="false">_xlfn.xlookup(AN619,A:A,J:J)</f>
        <v>#NAME?</v>
      </c>
      <c r="AQ619" s="153" t="e">
        <f aca="false">_xlfn.xlookup(AN619,A:A,N:N)+_xlfn.xlookup(AN619,A:A,O:O)</f>
        <v>#NAME?</v>
      </c>
      <c r="AR619" s="150" t="e">
        <f aca="false">_xlfn.xlookup(AN619,A:A,AH:AH)</f>
        <v>#NAME?</v>
      </c>
      <c r="AS619" s="150" t="e">
        <f aca="false">_xlfn.xlookup(AN619,A:A,S:S)</f>
        <v>#NAME?</v>
      </c>
      <c r="AT619" s="150" t="e">
        <f aca="false">_xlfn.xlookup(AN619,A:A,AE:AE)</f>
        <v>#NAME?</v>
      </c>
      <c r="AU619" s="150" t="e">
        <f aca="false">_xlfn.xlookup(AN619,A:A,AF:AF)</f>
        <v>#NAME?</v>
      </c>
      <c r="AX619" s="146"/>
      <c r="AY619" s="150"/>
      <c r="AZ619" s="150"/>
      <c r="BA619" s="150"/>
      <c r="BB619" s="146"/>
      <c r="BC619" s="146"/>
      <c r="BD619" s="151"/>
      <c r="BE619" s="146"/>
      <c r="BF619" s="146"/>
      <c r="BH619" s="152" t="e">
        <f aca="false">_xlfn.xlookup(BG619,A:A,F:F)</f>
        <v>#NAME?</v>
      </c>
      <c r="BI619" s="153" t="e">
        <f aca="false">_xlfn.xlookup(BG619,A:A,J:J)</f>
        <v>#NAME?</v>
      </c>
      <c r="BJ619" s="153" t="e">
        <f aca="false">_xlfn.xlookup(BG619,A:A,N:N)+_xlfn.xlookup(BG619,A:A,O:O)</f>
        <v>#NAME?</v>
      </c>
      <c r="BK619" s="153" t="e">
        <f aca="false">_xlfn.xlookup(BG619,A568:A1562,AB568:AB1562)</f>
        <v>#NAME?</v>
      </c>
      <c r="BN619" s="146"/>
      <c r="BO619" s="150"/>
      <c r="BQ619" s="153" t="str">
        <f aca="false">IF(VALUE(MONTH(C619))&lt;10,YEAR(C619)&amp;"-0"&amp;MONTH(C619),YEAR(C619)&amp;"-"&amp;MONTH(C619))</f>
        <v>1900-01</v>
      </c>
      <c r="BR619" s="153" t="n">
        <f aca="false">J619</f>
        <v>0</v>
      </c>
      <c r="BS619" s="153" t="n">
        <f aca="false">IF(ISNUMBER(FIND("-", BR619)), LEFT(BR619, FIND("-", BR619) - 1), BR619)</f>
        <v>0</v>
      </c>
      <c r="BT619" s="189" t="n">
        <f aca="false">L619-M619+O619</f>
        <v>0</v>
      </c>
    </row>
    <row r="620" s="153" customFormat="true" ht="15" hidden="false" customHeight="false" outlineLevel="0" collapsed="false">
      <c r="AN620" s="153" t="e">
        <v>#NAME?</v>
      </c>
      <c r="AO620" s="153" t="e">
        <f aca="false">_xlfn.xlookup(AN620,A:A,F:F)</f>
        <v>#NAME?</v>
      </c>
      <c r="AP620" s="153" t="e">
        <f aca="false">_xlfn.xlookup(AN620,A:A,J:J)</f>
        <v>#NAME?</v>
      </c>
      <c r="AQ620" s="153" t="e">
        <f aca="false">_xlfn.xlookup(AN620,A:A,N:N)+_xlfn.xlookup(AN620,A:A,O:O)</f>
        <v>#NAME?</v>
      </c>
      <c r="AR620" s="150" t="e">
        <f aca="false">_xlfn.xlookup(AN620,A:A,AH:AH)</f>
        <v>#NAME?</v>
      </c>
      <c r="AS620" s="150" t="e">
        <f aca="false">_xlfn.xlookup(AN620,A:A,S:S)</f>
        <v>#NAME?</v>
      </c>
      <c r="AT620" s="150" t="e">
        <f aca="false">_xlfn.xlookup(AN620,A:A,AE:AE)</f>
        <v>#NAME?</v>
      </c>
      <c r="AU620" s="150" t="e">
        <f aca="false">_xlfn.xlookup(AN620,A:A,AF:AF)</f>
        <v>#NAME?</v>
      </c>
      <c r="AX620" s="146"/>
      <c r="AY620" s="150"/>
      <c r="AZ620" s="150"/>
      <c r="BA620" s="150"/>
      <c r="BB620" s="146"/>
      <c r="BC620" s="146"/>
      <c r="BD620" s="151"/>
      <c r="BE620" s="146"/>
      <c r="BF620" s="146"/>
      <c r="BH620" s="152" t="e">
        <f aca="false">_xlfn.xlookup(BG620,A:A,F:F)</f>
        <v>#NAME?</v>
      </c>
      <c r="BI620" s="153" t="e">
        <f aca="false">_xlfn.xlookup(BG620,A:A,J:J)</f>
        <v>#NAME?</v>
      </c>
      <c r="BJ620" s="153" t="e">
        <f aca="false">_xlfn.xlookup(BG620,A:A,N:N)+_xlfn.xlookup(BG620,A:A,O:O)</f>
        <v>#NAME?</v>
      </c>
      <c r="BK620" s="153" t="e">
        <f aca="false">_xlfn.xlookup(BG620,A569:A1563,AB569:AB1563)</f>
        <v>#NAME?</v>
      </c>
      <c r="BN620" s="146"/>
      <c r="BO620" s="150"/>
      <c r="BQ620" s="153" t="str">
        <f aca="false">IF(VALUE(MONTH(C620))&lt;10,YEAR(C620)&amp;"-0"&amp;MONTH(C620),YEAR(C620)&amp;"-"&amp;MONTH(C620))</f>
        <v>1900-01</v>
      </c>
      <c r="BR620" s="153" t="n">
        <f aca="false">J620</f>
        <v>0</v>
      </c>
      <c r="BS620" s="153" t="n">
        <f aca="false">IF(ISNUMBER(FIND("-", BR620)), LEFT(BR620, FIND("-", BR620) - 1), BR620)</f>
        <v>0</v>
      </c>
      <c r="BT620" s="189" t="n">
        <f aca="false">L620-M620+O620</f>
        <v>0</v>
      </c>
    </row>
    <row r="621" s="153" customFormat="true" ht="15" hidden="false" customHeight="false" outlineLevel="0" collapsed="false">
      <c r="AN621" s="153" t="e">
        <v>#NAME?</v>
      </c>
      <c r="AO621" s="153" t="e">
        <f aca="false">_xlfn.xlookup(AN621,A:A,F:F)</f>
        <v>#NAME?</v>
      </c>
      <c r="AP621" s="153" t="e">
        <f aca="false">_xlfn.xlookup(AN621,A:A,J:J)</f>
        <v>#NAME?</v>
      </c>
      <c r="AQ621" s="153" t="e">
        <f aca="false">_xlfn.xlookup(AN621,A:A,N:N)+_xlfn.xlookup(AN621,A:A,O:O)</f>
        <v>#NAME?</v>
      </c>
      <c r="AR621" s="150" t="e">
        <f aca="false">_xlfn.xlookup(AN621,A:A,AH:AH)</f>
        <v>#NAME?</v>
      </c>
      <c r="AS621" s="150" t="e">
        <f aca="false">_xlfn.xlookup(AN621,A:A,S:S)</f>
        <v>#NAME?</v>
      </c>
      <c r="AT621" s="150" t="e">
        <f aca="false">_xlfn.xlookup(AN621,A:A,AE:AE)</f>
        <v>#NAME?</v>
      </c>
      <c r="AU621" s="150" t="e">
        <f aca="false">_xlfn.xlookup(AN621,A:A,AF:AF)</f>
        <v>#NAME?</v>
      </c>
      <c r="AX621" s="146"/>
      <c r="AY621" s="150"/>
      <c r="AZ621" s="150"/>
      <c r="BA621" s="150"/>
      <c r="BB621" s="146"/>
      <c r="BC621" s="146"/>
      <c r="BD621" s="151"/>
      <c r="BE621" s="146"/>
      <c r="BF621" s="146"/>
      <c r="BH621" s="152" t="e">
        <f aca="false">_xlfn.xlookup(BG621,A:A,F:F)</f>
        <v>#NAME?</v>
      </c>
      <c r="BI621" s="153" t="e">
        <f aca="false">_xlfn.xlookup(BG621,A:A,J:J)</f>
        <v>#NAME?</v>
      </c>
      <c r="BJ621" s="153" t="e">
        <f aca="false">_xlfn.xlookup(BG621,A:A,N:N)+_xlfn.xlookup(BG621,A:A,O:O)</f>
        <v>#NAME?</v>
      </c>
      <c r="BK621" s="153" t="e">
        <f aca="false">_xlfn.xlookup(BG621,A570:A1564,AB570:AB1564)</f>
        <v>#NAME?</v>
      </c>
      <c r="BN621" s="146"/>
      <c r="BO621" s="150"/>
      <c r="BQ621" s="153" t="str">
        <f aca="false">IF(VALUE(MONTH(C621))&lt;10,YEAR(C621)&amp;"-0"&amp;MONTH(C621),YEAR(C621)&amp;"-"&amp;MONTH(C621))</f>
        <v>1900-01</v>
      </c>
      <c r="BR621" s="153" t="n">
        <f aca="false">J621</f>
        <v>0</v>
      </c>
      <c r="BS621" s="153" t="n">
        <f aca="false">IF(ISNUMBER(FIND("-", BR621)), LEFT(BR621, FIND("-", BR621) - 1), BR621)</f>
        <v>0</v>
      </c>
      <c r="BT621" s="189" t="n">
        <f aca="false">L621-M621+O621</f>
        <v>0</v>
      </c>
    </row>
    <row r="622" s="153" customFormat="true" ht="15" hidden="false" customHeight="false" outlineLevel="0" collapsed="false">
      <c r="AN622" s="153" t="e">
        <v>#NAME?</v>
      </c>
      <c r="AO622" s="153" t="e">
        <f aca="false">_xlfn.xlookup(AN622,A:A,F:F)</f>
        <v>#NAME?</v>
      </c>
      <c r="AP622" s="153" t="e">
        <f aca="false">_xlfn.xlookup(AN622,A:A,J:J)</f>
        <v>#NAME?</v>
      </c>
      <c r="AQ622" s="153" t="e">
        <f aca="false">_xlfn.xlookup(AN622,A:A,N:N)+_xlfn.xlookup(AN622,A:A,O:O)</f>
        <v>#NAME?</v>
      </c>
      <c r="AR622" s="150" t="e">
        <f aca="false">_xlfn.xlookup(AN622,A:A,AH:AH)</f>
        <v>#NAME?</v>
      </c>
      <c r="AS622" s="150" t="e">
        <f aca="false">_xlfn.xlookup(AN622,A:A,S:S)</f>
        <v>#NAME?</v>
      </c>
      <c r="AT622" s="150" t="e">
        <f aca="false">_xlfn.xlookup(AN622,A:A,AE:AE)</f>
        <v>#NAME?</v>
      </c>
      <c r="AU622" s="150" t="e">
        <f aca="false">_xlfn.xlookup(AN622,A:A,AF:AF)</f>
        <v>#NAME?</v>
      </c>
      <c r="AX622" s="146"/>
      <c r="AY622" s="150"/>
      <c r="AZ622" s="150"/>
      <c r="BA622" s="150"/>
      <c r="BB622" s="146"/>
      <c r="BC622" s="146"/>
      <c r="BD622" s="151"/>
      <c r="BE622" s="146"/>
      <c r="BF622" s="146"/>
      <c r="BH622" s="152" t="e">
        <f aca="false">_xlfn.xlookup(BG622,A:A,F:F)</f>
        <v>#NAME?</v>
      </c>
      <c r="BI622" s="153" t="e">
        <f aca="false">_xlfn.xlookup(BG622,A:A,J:J)</f>
        <v>#NAME?</v>
      </c>
      <c r="BJ622" s="153" t="e">
        <f aca="false">_xlfn.xlookup(BG622,A:A,N:N)+_xlfn.xlookup(BG622,A:A,O:O)</f>
        <v>#NAME?</v>
      </c>
      <c r="BK622" s="153" t="e">
        <f aca="false">_xlfn.xlookup(BG622,A571:A1565,AB571:AB1565)</f>
        <v>#NAME?</v>
      </c>
      <c r="BN622" s="146"/>
      <c r="BO622" s="150"/>
      <c r="BQ622" s="153" t="str">
        <f aca="false">IF(VALUE(MONTH(C622))&lt;10,YEAR(C622)&amp;"-0"&amp;MONTH(C622),YEAR(C622)&amp;"-"&amp;MONTH(C622))</f>
        <v>1900-01</v>
      </c>
      <c r="BR622" s="153" t="n">
        <f aca="false">J622</f>
        <v>0</v>
      </c>
      <c r="BS622" s="153" t="n">
        <f aca="false">IF(ISNUMBER(FIND("-", BR622)), LEFT(BR622, FIND("-", BR622) - 1), BR622)</f>
        <v>0</v>
      </c>
      <c r="BT622" s="189" t="n">
        <f aca="false">L622-M622+O622</f>
        <v>0</v>
      </c>
    </row>
    <row r="623" s="153" customFormat="true" ht="15" hidden="false" customHeight="false" outlineLevel="0" collapsed="false">
      <c r="AN623" s="153" t="e">
        <v>#NAME?</v>
      </c>
      <c r="AO623" s="153" t="e">
        <f aca="false">_xlfn.xlookup(AN623,A:A,F:F)</f>
        <v>#NAME?</v>
      </c>
      <c r="AP623" s="153" t="e">
        <f aca="false">_xlfn.xlookup(AN623,A:A,J:J)</f>
        <v>#NAME?</v>
      </c>
      <c r="AQ623" s="153" t="e">
        <f aca="false">_xlfn.xlookup(AN623,A:A,N:N)+_xlfn.xlookup(AN623,A:A,O:O)</f>
        <v>#NAME?</v>
      </c>
      <c r="AR623" s="150" t="e">
        <f aca="false">_xlfn.xlookup(AN623,A:A,AH:AH)</f>
        <v>#NAME?</v>
      </c>
      <c r="AS623" s="150" t="e">
        <f aca="false">_xlfn.xlookup(AN623,A:A,S:S)</f>
        <v>#NAME?</v>
      </c>
      <c r="AT623" s="150" t="e">
        <f aca="false">_xlfn.xlookup(AN623,A:A,AE:AE)</f>
        <v>#NAME?</v>
      </c>
      <c r="AU623" s="150" t="e">
        <f aca="false">_xlfn.xlookup(AN623,A:A,AF:AF)</f>
        <v>#NAME?</v>
      </c>
      <c r="AX623" s="146"/>
      <c r="AY623" s="150"/>
      <c r="AZ623" s="150"/>
      <c r="BA623" s="150"/>
      <c r="BB623" s="146"/>
      <c r="BC623" s="146"/>
      <c r="BD623" s="151"/>
      <c r="BE623" s="146"/>
      <c r="BF623" s="146"/>
      <c r="BH623" s="152" t="e">
        <f aca="false">_xlfn.xlookup(BG623,A:A,F:F)</f>
        <v>#NAME?</v>
      </c>
      <c r="BI623" s="153" t="e">
        <f aca="false">_xlfn.xlookup(BG623,A:A,J:J)</f>
        <v>#NAME?</v>
      </c>
      <c r="BJ623" s="153" t="e">
        <f aca="false">_xlfn.xlookup(BG623,A:A,N:N)+_xlfn.xlookup(BG623,A:A,O:O)</f>
        <v>#NAME?</v>
      </c>
      <c r="BK623" s="153" t="e">
        <f aca="false">_xlfn.xlookup(BG623,A572:A1566,AB572:AB1566)</f>
        <v>#NAME?</v>
      </c>
      <c r="BN623" s="146"/>
      <c r="BO623" s="150"/>
      <c r="BQ623" s="153" t="str">
        <f aca="false">IF(VALUE(MONTH(C623))&lt;10,YEAR(C623)&amp;"-0"&amp;MONTH(C623),YEAR(C623)&amp;"-"&amp;MONTH(C623))</f>
        <v>1900-01</v>
      </c>
      <c r="BR623" s="153" t="n">
        <f aca="false">J623</f>
        <v>0</v>
      </c>
      <c r="BS623" s="153" t="n">
        <f aca="false">IF(ISNUMBER(FIND("-", BR623)), LEFT(BR623, FIND("-", BR623) - 1), BR623)</f>
        <v>0</v>
      </c>
      <c r="BT623" s="189" t="n">
        <f aca="false">L623-M623+O623</f>
        <v>0</v>
      </c>
    </row>
    <row r="624" s="153" customFormat="true" ht="15" hidden="false" customHeight="false" outlineLevel="0" collapsed="false">
      <c r="AN624" s="153" t="e">
        <v>#NAME?</v>
      </c>
      <c r="AO624" s="153" t="e">
        <f aca="false">_xlfn.xlookup(AN624,A:A,F:F)</f>
        <v>#NAME?</v>
      </c>
      <c r="AP624" s="153" t="e">
        <f aca="false">_xlfn.xlookup(AN624,A:A,J:J)</f>
        <v>#NAME?</v>
      </c>
      <c r="AQ624" s="153" t="e">
        <f aca="false">_xlfn.xlookup(AN624,A:A,N:N)+_xlfn.xlookup(AN624,A:A,O:O)</f>
        <v>#NAME?</v>
      </c>
      <c r="AR624" s="150" t="e">
        <f aca="false">_xlfn.xlookup(AN624,A:A,AH:AH)</f>
        <v>#NAME?</v>
      </c>
      <c r="AS624" s="150" t="e">
        <f aca="false">_xlfn.xlookup(AN624,A:A,S:S)</f>
        <v>#NAME?</v>
      </c>
      <c r="AT624" s="150" t="e">
        <f aca="false">_xlfn.xlookup(AN624,A:A,AE:AE)</f>
        <v>#NAME?</v>
      </c>
      <c r="AU624" s="150" t="e">
        <f aca="false">_xlfn.xlookup(AN624,A:A,AF:AF)</f>
        <v>#NAME?</v>
      </c>
      <c r="AX624" s="146"/>
      <c r="AY624" s="150"/>
      <c r="AZ624" s="150"/>
      <c r="BA624" s="150"/>
      <c r="BB624" s="146"/>
      <c r="BC624" s="146"/>
      <c r="BD624" s="151"/>
      <c r="BE624" s="146"/>
      <c r="BF624" s="146"/>
      <c r="BH624" s="152" t="e">
        <f aca="false">_xlfn.xlookup(BG624,A:A,F:F)</f>
        <v>#NAME?</v>
      </c>
      <c r="BI624" s="153" t="e">
        <f aca="false">_xlfn.xlookup(BG624,A:A,J:J)</f>
        <v>#NAME?</v>
      </c>
      <c r="BJ624" s="153" t="e">
        <f aca="false">_xlfn.xlookup(BG624,A:A,N:N)+_xlfn.xlookup(BG624,A:A,O:O)</f>
        <v>#NAME?</v>
      </c>
      <c r="BK624" s="153" t="e">
        <f aca="false">_xlfn.xlookup(BG624,A573:A1567,AB573:AB1567)</f>
        <v>#NAME?</v>
      </c>
      <c r="BN624" s="146"/>
      <c r="BO624" s="150"/>
      <c r="BQ624" s="153" t="str">
        <f aca="false">IF(VALUE(MONTH(C624))&lt;10,YEAR(C624)&amp;"-0"&amp;MONTH(C624),YEAR(C624)&amp;"-"&amp;MONTH(C624))</f>
        <v>1900-01</v>
      </c>
      <c r="BR624" s="153" t="n">
        <f aca="false">J624</f>
        <v>0</v>
      </c>
      <c r="BS624" s="153" t="n">
        <f aca="false">IF(ISNUMBER(FIND("-", BR624)), LEFT(BR624, FIND("-", BR624) - 1), BR624)</f>
        <v>0</v>
      </c>
      <c r="BT624" s="189" t="n">
        <f aca="false">L624-M624+O624</f>
        <v>0</v>
      </c>
    </row>
    <row r="625" s="153" customFormat="true" ht="15" hidden="false" customHeight="false" outlineLevel="0" collapsed="false">
      <c r="AN625" s="153" t="e">
        <v>#NAME?</v>
      </c>
      <c r="AO625" s="153" t="e">
        <f aca="false">_xlfn.xlookup(AN625,A:A,F:F)</f>
        <v>#NAME?</v>
      </c>
      <c r="AP625" s="153" t="e">
        <f aca="false">_xlfn.xlookup(AN625,A:A,J:J)</f>
        <v>#NAME?</v>
      </c>
      <c r="AQ625" s="153" t="e">
        <f aca="false">_xlfn.xlookup(AN625,A:A,N:N)+_xlfn.xlookup(AN625,A:A,O:O)</f>
        <v>#NAME?</v>
      </c>
      <c r="AR625" s="150" t="e">
        <f aca="false">_xlfn.xlookup(AN625,A:A,AH:AH)</f>
        <v>#NAME?</v>
      </c>
      <c r="AS625" s="150" t="e">
        <f aca="false">_xlfn.xlookup(AN625,A:A,S:S)</f>
        <v>#NAME?</v>
      </c>
      <c r="AT625" s="150" t="e">
        <f aca="false">_xlfn.xlookup(AN625,A:A,AE:AE)</f>
        <v>#NAME?</v>
      </c>
      <c r="AU625" s="150" t="e">
        <f aca="false">_xlfn.xlookup(AN625,A:A,AF:AF)</f>
        <v>#NAME?</v>
      </c>
      <c r="AX625" s="146"/>
      <c r="AY625" s="150"/>
      <c r="AZ625" s="150"/>
      <c r="BA625" s="150"/>
      <c r="BB625" s="146"/>
      <c r="BC625" s="146"/>
      <c r="BD625" s="151"/>
      <c r="BE625" s="146"/>
      <c r="BF625" s="146"/>
      <c r="BH625" s="152" t="e">
        <f aca="false">_xlfn.xlookup(BG625,A:A,F:F)</f>
        <v>#NAME?</v>
      </c>
      <c r="BI625" s="153" t="e">
        <f aca="false">_xlfn.xlookup(BG625,A:A,J:J)</f>
        <v>#NAME?</v>
      </c>
      <c r="BJ625" s="153" t="e">
        <f aca="false">_xlfn.xlookup(BG625,A:A,N:N)+_xlfn.xlookup(BG625,A:A,O:O)</f>
        <v>#NAME?</v>
      </c>
      <c r="BK625" s="153" t="e">
        <f aca="false">_xlfn.xlookup(BG625,A574:A1568,AB574:AB1568)</f>
        <v>#NAME?</v>
      </c>
      <c r="BN625" s="146"/>
      <c r="BO625" s="150"/>
      <c r="BQ625" s="153" t="str">
        <f aca="false">IF(VALUE(MONTH(C625))&lt;10,YEAR(C625)&amp;"-0"&amp;MONTH(C625),YEAR(C625)&amp;"-"&amp;MONTH(C625))</f>
        <v>1900-01</v>
      </c>
      <c r="BR625" s="153" t="n">
        <f aca="false">J625</f>
        <v>0</v>
      </c>
      <c r="BS625" s="153" t="n">
        <f aca="false">IF(ISNUMBER(FIND("-", BR625)), LEFT(BR625, FIND("-", BR625) - 1), BR625)</f>
        <v>0</v>
      </c>
      <c r="BT625" s="189" t="n">
        <f aca="false">L625-M625+O625</f>
        <v>0</v>
      </c>
    </row>
    <row r="626" s="153" customFormat="true" ht="15" hidden="false" customHeight="false" outlineLevel="0" collapsed="false">
      <c r="AN626" s="153" t="e">
        <v>#NAME?</v>
      </c>
      <c r="AO626" s="153" t="e">
        <f aca="false">_xlfn.xlookup(AN626,A:A,F:F)</f>
        <v>#NAME?</v>
      </c>
      <c r="AP626" s="153" t="e">
        <f aca="false">_xlfn.xlookup(AN626,A:A,J:J)</f>
        <v>#NAME?</v>
      </c>
      <c r="AQ626" s="153" t="e">
        <f aca="false">_xlfn.xlookup(AN626,A:A,N:N)+_xlfn.xlookup(AN626,A:A,O:O)</f>
        <v>#NAME?</v>
      </c>
      <c r="AR626" s="150" t="e">
        <f aca="false">_xlfn.xlookup(AN626,A:A,AH:AH)</f>
        <v>#NAME?</v>
      </c>
      <c r="AS626" s="150" t="e">
        <f aca="false">_xlfn.xlookup(AN626,A:A,S:S)</f>
        <v>#NAME?</v>
      </c>
      <c r="AT626" s="150" t="e">
        <f aca="false">_xlfn.xlookup(AN626,A:A,AE:AE)</f>
        <v>#NAME?</v>
      </c>
      <c r="AU626" s="150" t="e">
        <f aca="false">_xlfn.xlookup(AN626,A:A,AF:AF)</f>
        <v>#NAME?</v>
      </c>
      <c r="AX626" s="146"/>
      <c r="AY626" s="150"/>
      <c r="AZ626" s="150"/>
      <c r="BA626" s="150"/>
      <c r="BB626" s="146"/>
      <c r="BC626" s="146"/>
      <c r="BD626" s="151"/>
      <c r="BE626" s="146"/>
      <c r="BF626" s="146"/>
      <c r="BH626" s="152" t="e">
        <f aca="false">_xlfn.xlookup(BG626,A:A,F:F)</f>
        <v>#NAME?</v>
      </c>
      <c r="BI626" s="153" t="e">
        <f aca="false">_xlfn.xlookup(BG626,A:A,J:J)</f>
        <v>#NAME?</v>
      </c>
      <c r="BJ626" s="153" t="e">
        <f aca="false">_xlfn.xlookup(BG626,A:A,N:N)+_xlfn.xlookup(BG626,A:A,O:O)</f>
        <v>#NAME?</v>
      </c>
      <c r="BK626" s="153" t="e">
        <f aca="false">_xlfn.xlookup(BG626,A575:A1569,AB575:AB1569)</f>
        <v>#NAME?</v>
      </c>
      <c r="BN626" s="146"/>
      <c r="BO626" s="150"/>
      <c r="BQ626" s="153" t="str">
        <f aca="false">IF(VALUE(MONTH(C626))&lt;10,YEAR(C626)&amp;"-0"&amp;MONTH(C626),YEAR(C626)&amp;"-"&amp;MONTH(C626))</f>
        <v>1900-01</v>
      </c>
      <c r="BR626" s="153" t="n">
        <f aca="false">J626</f>
        <v>0</v>
      </c>
      <c r="BS626" s="153" t="n">
        <f aca="false">IF(ISNUMBER(FIND("-", BR626)), LEFT(BR626, FIND("-", BR626) - 1), BR626)</f>
        <v>0</v>
      </c>
      <c r="BT626" s="189" t="n">
        <f aca="false">L626-M626+O626</f>
        <v>0</v>
      </c>
    </row>
    <row r="627" s="153" customFormat="true" ht="15" hidden="false" customHeight="false" outlineLevel="0" collapsed="false">
      <c r="AN627" s="153" t="e">
        <v>#NAME?</v>
      </c>
      <c r="AO627" s="153" t="e">
        <f aca="false">_xlfn.xlookup(AN627,A:A,F:F)</f>
        <v>#NAME?</v>
      </c>
      <c r="AP627" s="153" t="e">
        <f aca="false">_xlfn.xlookup(AN627,A:A,J:J)</f>
        <v>#NAME?</v>
      </c>
      <c r="AQ627" s="153" t="e">
        <f aca="false">_xlfn.xlookup(AN627,A:A,N:N)+_xlfn.xlookup(AN627,A:A,O:O)</f>
        <v>#NAME?</v>
      </c>
      <c r="AR627" s="150" t="e">
        <f aca="false">_xlfn.xlookup(AN627,A:A,AH:AH)</f>
        <v>#NAME?</v>
      </c>
      <c r="AS627" s="150" t="e">
        <f aca="false">_xlfn.xlookup(AN627,A:A,S:S)</f>
        <v>#NAME?</v>
      </c>
      <c r="AT627" s="150" t="e">
        <f aca="false">_xlfn.xlookup(AN627,A:A,AE:AE)</f>
        <v>#NAME?</v>
      </c>
      <c r="AU627" s="150" t="e">
        <f aca="false">_xlfn.xlookup(AN627,A:A,AF:AF)</f>
        <v>#NAME?</v>
      </c>
      <c r="AX627" s="146"/>
      <c r="AY627" s="150"/>
      <c r="AZ627" s="150"/>
      <c r="BA627" s="150"/>
      <c r="BB627" s="146"/>
      <c r="BC627" s="146"/>
      <c r="BD627" s="151"/>
      <c r="BE627" s="146"/>
      <c r="BF627" s="146"/>
      <c r="BH627" s="152" t="e">
        <f aca="false">_xlfn.xlookup(BG627,A:A,F:F)</f>
        <v>#NAME?</v>
      </c>
      <c r="BI627" s="153" t="e">
        <f aca="false">_xlfn.xlookup(BG627,A:A,J:J)</f>
        <v>#NAME?</v>
      </c>
      <c r="BJ627" s="153" t="e">
        <f aca="false">_xlfn.xlookup(BG627,A:A,N:N)+_xlfn.xlookup(BG627,A:A,O:O)</f>
        <v>#NAME?</v>
      </c>
      <c r="BK627" s="153" t="e">
        <f aca="false">_xlfn.xlookup(BG627,A576:A1570,AB576:AB1570)</f>
        <v>#NAME?</v>
      </c>
      <c r="BN627" s="146"/>
      <c r="BO627" s="150"/>
      <c r="BQ627" s="153" t="str">
        <f aca="false">IF(VALUE(MONTH(C627))&lt;10,YEAR(C627)&amp;"-0"&amp;MONTH(C627),YEAR(C627)&amp;"-"&amp;MONTH(C627))</f>
        <v>1900-01</v>
      </c>
      <c r="BR627" s="153" t="n">
        <f aca="false">J627</f>
        <v>0</v>
      </c>
      <c r="BS627" s="153" t="n">
        <f aca="false">IF(ISNUMBER(FIND("-", BR627)), LEFT(BR627, FIND("-", BR627) - 1), BR627)</f>
        <v>0</v>
      </c>
      <c r="BT627" s="189" t="n">
        <f aca="false">L627-M627+O627</f>
        <v>0</v>
      </c>
    </row>
    <row r="628" s="153" customFormat="true" ht="15" hidden="false" customHeight="false" outlineLevel="0" collapsed="false">
      <c r="AN628" s="153" t="e">
        <v>#NAME?</v>
      </c>
      <c r="AO628" s="153" t="e">
        <f aca="false">_xlfn.xlookup(AN628,A:A,F:F)</f>
        <v>#NAME?</v>
      </c>
      <c r="AP628" s="153" t="e">
        <f aca="false">_xlfn.xlookup(AN628,A:A,J:J)</f>
        <v>#NAME?</v>
      </c>
      <c r="AQ628" s="153" t="e">
        <f aca="false">_xlfn.xlookup(AN628,A:A,N:N)+_xlfn.xlookup(AN628,A:A,O:O)</f>
        <v>#NAME?</v>
      </c>
      <c r="AR628" s="150" t="e">
        <f aca="false">_xlfn.xlookup(AN628,A:A,AH:AH)</f>
        <v>#NAME?</v>
      </c>
      <c r="AS628" s="150" t="e">
        <f aca="false">_xlfn.xlookup(AN628,A:A,S:S)</f>
        <v>#NAME?</v>
      </c>
      <c r="AT628" s="150" t="e">
        <f aca="false">_xlfn.xlookup(AN628,A:A,AE:AE)</f>
        <v>#NAME?</v>
      </c>
      <c r="AU628" s="150" t="e">
        <f aca="false">_xlfn.xlookup(AN628,A:A,AF:AF)</f>
        <v>#NAME?</v>
      </c>
      <c r="AX628" s="146"/>
      <c r="AY628" s="150"/>
      <c r="AZ628" s="150"/>
      <c r="BA628" s="150"/>
      <c r="BB628" s="146"/>
      <c r="BC628" s="146"/>
      <c r="BD628" s="151"/>
      <c r="BE628" s="146"/>
      <c r="BF628" s="146"/>
      <c r="BH628" s="152" t="e">
        <f aca="false">_xlfn.xlookup(BG628,A:A,F:F)</f>
        <v>#NAME?</v>
      </c>
      <c r="BI628" s="153" t="e">
        <f aca="false">_xlfn.xlookup(BG628,A:A,J:J)</f>
        <v>#NAME?</v>
      </c>
      <c r="BJ628" s="153" t="e">
        <f aca="false">_xlfn.xlookup(BG628,A:A,N:N)+_xlfn.xlookup(BG628,A:A,O:O)</f>
        <v>#NAME?</v>
      </c>
      <c r="BK628" s="153" t="e">
        <f aca="false">_xlfn.xlookup(BG628,A577:A1571,AB577:AB1571)</f>
        <v>#NAME?</v>
      </c>
      <c r="BN628" s="146"/>
      <c r="BO628" s="150"/>
      <c r="BQ628" s="153" t="str">
        <f aca="false">IF(VALUE(MONTH(C628))&lt;10,YEAR(C628)&amp;"-0"&amp;MONTH(C628),YEAR(C628)&amp;"-"&amp;MONTH(C628))</f>
        <v>1900-01</v>
      </c>
      <c r="BR628" s="153" t="n">
        <f aca="false">J628</f>
        <v>0</v>
      </c>
      <c r="BS628" s="153" t="n">
        <f aca="false">IF(ISNUMBER(FIND("-", BR628)), LEFT(BR628, FIND("-", BR628) - 1), BR628)</f>
        <v>0</v>
      </c>
      <c r="BT628" s="189" t="n">
        <f aca="false">L628-M628+O628</f>
        <v>0</v>
      </c>
    </row>
    <row r="629" s="153" customFormat="true" ht="15" hidden="false" customHeight="false" outlineLevel="0" collapsed="false">
      <c r="AN629" s="153" t="e">
        <v>#NAME?</v>
      </c>
      <c r="AO629" s="153" t="e">
        <f aca="false">_xlfn.xlookup(AN629,A:A,F:F)</f>
        <v>#NAME?</v>
      </c>
      <c r="AP629" s="153" t="e">
        <f aca="false">_xlfn.xlookup(AN629,A:A,J:J)</f>
        <v>#NAME?</v>
      </c>
      <c r="AQ629" s="153" t="e">
        <f aca="false">_xlfn.xlookup(AN629,A:A,N:N)+_xlfn.xlookup(AN629,A:A,O:O)</f>
        <v>#NAME?</v>
      </c>
      <c r="AR629" s="150" t="e">
        <f aca="false">_xlfn.xlookup(AN629,A:A,AH:AH)</f>
        <v>#NAME?</v>
      </c>
      <c r="AS629" s="150" t="e">
        <f aca="false">_xlfn.xlookup(AN629,A:A,S:S)</f>
        <v>#NAME?</v>
      </c>
      <c r="AT629" s="150" t="e">
        <f aca="false">_xlfn.xlookup(AN629,A:A,AE:AE)</f>
        <v>#NAME?</v>
      </c>
      <c r="AU629" s="150" t="e">
        <f aca="false">_xlfn.xlookup(AN629,A:A,AF:AF)</f>
        <v>#NAME?</v>
      </c>
      <c r="AX629" s="146"/>
      <c r="AY629" s="150"/>
      <c r="AZ629" s="150"/>
      <c r="BA629" s="150"/>
      <c r="BB629" s="146"/>
      <c r="BC629" s="146"/>
      <c r="BD629" s="151"/>
      <c r="BE629" s="146"/>
      <c r="BF629" s="146"/>
      <c r="BH629" s="152" t="e">
        <f aca="false">_xlfn.xlookup(BG629,A:A,F:F)</f>
        <v>#NAME?</v>
      </c>
      <c r="BI629" s="153" t="e">
        <f aca="false">_xlfn.xlookup(BG629,A:A,J:J)</f>
        <v>#NAME?</v>
      </c>
      <c r="BJ629" s="153" t="e">
        <f aca="false">_xlfn.xlookup(BG629,A:A,N:N)+_xlfn.xlookup(BG629,A:A,O:O)</f>
        <v>#NAME?</v>
      </c>
      <c r="BK629" s="153" t="e">
        <f aca="false">_xlfn.xlookup(BG629,A578:A1572,AB578:AB1572)</f>
        <v>#NAME?</v>
      </c>
      <c r="BN629" s="146"/>
      <c r="BO629" s="150"/>
      <c r="BQ629" s="153" t="str">
        <f aca="false">IF(VALUE(MONTH(C629))&lt;10,YEAR(C629)&amp;"-0"&amp;MONTH(C629),YEAR(C629)&amp;"-"&amp;MONTH(C629))</f>
        <v>1900-01</v>
      </c>
      <c r="BR629" s="153" t="n">
        <f aca="false">J629</f>
        <v>0</v>
      </c>
      <c r="BS629" s="153" t="n">
        <f aca="false">IF(ISNUMBER(FIND("-", BR629)), LEFT(BR629, FIND("-", BR629) - 1), BR629)</f>
        <v>0</v>
      </c>
      <c r="BT629" s="189" t="n">
        <f aca="false">L629-M629+O629</f>
        <v>0</v>
      </c>
    </row>
    <row r="630" s="153" customFormat="true" ht="15" hidden="false" customHeight="false" outlineLevel="0" collapsed="false">
      <c r="AN630" s="153" t="e">
        <v>#NAME?</v>
      </c>
      <c r="AO630" s="153" t="e">
        <f aca="false">_xlfn.xlookup(AN630,A:A,F:F)</f>
        <v>#NAME?</v>
      </c>
      <c r="AP630" s="153" t="e">
        <f aca="false">_xlfn.xlookup(AN630,A:A,J:J)</f>
        <v>#NAME?</v>
      </c>
      <c r="AQ630" s="153" t="e">
        <f aca="false">_xlfn.xlookup(AN630,A:A,N:N)+_xlfn.xlookup(AN630,A:A,O:O)</f>
        <v>#NAME?</v>
      </c>
      <c r="AR630" s="150" t="e">
        <f aca="false">_xlfn.xlookup(AN630,A:A,AH:AH)</f>
        <v>#NAME?</v>
      </c>
      <c r="AS630" s="150" t="e">
        <f aca="false">_xlfn.xlookup(AN630,A:A,S:S)</f>
        <v>#NAME?</v>
      </c>
      <c r="AT630" s="150" t="e">
        <f aca="false">_xlfn.xlookup(AN630,A:A,AE:AE)</f>
        <v>#NAME?</v>
      </c>
      <c r="AU630" s="150" t="e">
        <f aca="false">_xlfn.xlookup(AN630,A:A,AF:AF)</f>
        <v>#NAME?</v>
      </c>
      <c r="AX630" s="146"/>
      <c r="AY630" s="150"/>
      <c r="AZ630" s="150"/>
      <c r="BA630" s="150"/>
      <c r="BB630" s="146"/>
      <c r="BC630" s="146"/>
      <c r="BD630" s="151"/>
      <c r="BE630" s="146"/>
      <c r="BF630" s="146"/>
      <c r="BH630" s="152" t="e">
        <f aca="false">_xlfn.xlookup(BG630,A:A,F:F)</f>
        <v>#NAME?</v>
      </c>
      <c r="BI630" s="153" t="e">
        <f aca="false">_xlfn.xlookup(BG630,A:A,J:J)</f>
        <v>#NAME?</v>
      </c>
      <c r="BJ630" s="153" t="e">
        <f aca="false">_xlfn.xlookup(BG630,A:A,N:N)+_xlfn.xlookup(BG630,A:A,O:O)</f>
        <v>#NAME?</v>
      </c>
      <c r="BK630" s="153" t="e">
        <f aca="false">_xlfn.xlookup(BG630,A579:A1573,AB579:AB1573)</f>
        <v>#NAME?</v>
      </c>
      <c r="BN630" s="146"/>
      <c r="BO630" s="150"/>
      <c r="BQ630" s="153" t="str">
        <f aca="false">IF(VALUE(MONTH(C630))&lt;10,YEAR(C630)&amp;"-0"&amp;MONTH(C630),YEAR(C630)&amp;"-"&amp;MONTH(C630))</f>
        <v>1900-01</v>
      </c>
      <c r="BR630" s="153" t="n">
        <f aca="false">J630</f>
        <v>0</v>
      </c>
      <c r="BS630" s="153" t="n">
        <f aca="false">IF(ISNUMBER(FIND("-", BR630)), LEFT(BR630, FIND("-", BR630) - 1), BR630)</f>
        <v>0</v>
      </c>
      <c r="BT630" s="189" t="n">
        <f aca="false">L630-M630+O630</f>
        <v>0</v>
      </c>
    </row>
    <row r="631" s="153" customFormat="true" ht="15" hidden="false" customHeight="false" outlineLevel="0" collapsed="false">
      <c r="AN631" s="153" t="e">
        <v>#NAME?</v>
      </c>
      <c r="AO631" s="153" t="e">
        <f aca="false">_xlfn.xlookup(AN631,A:A,F:F)</f>
        <v>#NAME?</v>
      </c>
      <c r="AP631" s="153" t="e">
        <f aca="false">_xlfn.xlookup(AN631,A:A,J:J)</f>
        <v>#NAME?</v>
      </c>
      <c r="AQ631" s="153" t="e">
        <f aca="false">_xlfn.xlookup(AN631,A:A,N:N)+_xlfn.xlookup(AN631,A:A,O:O)</f>
        <v>#NAME?</v>
      </c>
      <c r="AR631" s="150" t="e">
        <f aca="false">_xlfn.xlookup(AN631,A:A,AH:AH)</f>
        <v>#NAME?</v>
      </c>
      <c r="AS631" s="150" t="e">
        <f aca="false">_xlfn.xlookup(AN631,A:A,S:S)</f>
        <v>#NAME?</v>
      </c>
      <c r="AT631" s="150" t="e">
        <f aca="false">_xlfn.xlookup(AN631,A:A,AE:AE)</f>
        <v>#NAME?</v>
      </c>
      <c r="AU631" s="150" t="e">
        <f aca="false">_xlfn.xlookup(AN631,A:A,AF:AF)</f>
        <v>#NAME?</v>
      </c>
      <c r="AX631" s="146"/>
      <c r="AY631" s="150"/>
      <c r="AZ631" s="150"/>
      <c r="BA631" s="150"/>
      <c r="BB631" s="146"/>
      <c r="BC631" s="146"/>
      <c r="BD631" s="151"/>
      <c r="BE631" s="146"/>
      <c r="BF631" s="146"/>
      <c r="BH631" s="152" t="e">
        <f aca="false">_xlfn.xlookup(BG631,A:A,F:F)</f>
        <v>#NAME?</v>
      </c>
      <c r="BI631" s="153" t="e">
        <f aca="false">_xlfn.xlookup(BG631,A:A,J:J)</f>
        <v>#NAME?</v>
      </c>
      <c r="BJ631" s="153" t="e">
        <f aca="false">_xlfn.xlookup(BG631,A:A,N:N)+_xlfn.xlookup(BG631,A:A,O:O)</f>
        <v>#NAME?</v>
      </c>
      <c r="BK631" s="153" t="e">
        <f aca="false">_xlfn.xlookup(BG631,A580:A1574,AB580:AB1574)</f>
        <v>#NAME?</v>
      </c>
      <c r="BN631" s="146"/>
      <c r="BO631" s="150"/>
      <c r="BQ631" s="153" t="str">
        <f aca="false">IF(VALUE(MONTH(C631))&lt;10,YEAR(C631)&amp;"-0"&amp;MONTH(C631),YEAR(C631)&amp;"-"&amp;MONTH(C631))</f>
        <v>1900-01</v>
      </c>
      <c r="BR631" s="153" t="n">
        <f aca="false">J631</f>
        <v>0</v>
      </c>
      <c r="BS631" s="153" t="n">
        <f aca="false">IF(ISNUMBER(FIND("-", BR631)), LEFT(BR631, FIND("-", BR631) - 1), BR631)</f>
        <v>0</v>
      </c>
      <c r="BT631" s="189" t="n">
        <f aca="false">L631-M631+O631</f>
        <v>0</v>
      </c>
    </row>
    <row r="632" s="153" customFormat="true" ht="15" hidden="false" customHeight="false" outlineLevel="0" collapsed="false">
      <c r="AN632" s="153" t="e">
        <v>#NAME?</v>
      </c>
      <c r="AO632" s="153" t="e">
        <f aca="false">_xlfn.xlookup(AN632,A:A,F:F)</f>
        <v>#NAME?</v>
      </c>
      <c r="AP632" s="153" t="e">
        <f aca="false">_xlfn.xlookup(AN632,A:A,J:J)</f>
        <v>#NAME?</v>
      </c>
      <c r="AQ632" s="153" t="e">
        <f aca="false">_xlfn.xlookup(AN632,A:A,N:N)+_xlfn.xlookup(AN632,A:A,O:O)</f>
        <v>#NAME?</v>
      </c>
      <c r="AR632" s="150" t="e">
        <f aca="false">_xlfn.xlookup(AN632,A:A,AH:AH)</f>
        <v>#NAME?</v>
      </c>
      <c r="AS632" s="150" t="e">
        <f aca="false">_xlfn.xlookup(AN632,A:A,S:S)</f>
        <v>#NAME?</v>
      </c>
      <c r="AT632" s="150" t="e">
        <f aca="false">_xlfn.xlookup(AN632,A:A,AE:AE)</f>
        <v>#NAME?</v>
      </c>
      <c r="AU632" s="150" t="e">
        <f aca="false">_xlfn.xlookup(AN632,A:A,AF:AF)</f>
        <v>#NAME?</v>
      </c>
      <c r="AX632" s="146"/>
      <c r="AY632" s="150"/>
      <c r="AZ632" s="150"/>
      <c r="BA632" s="150"/>
      <c r="BB632" s="146"/>
      <c r="BC632" s="146"/>
      <c r="BD632" s="151"/>
      <c r="BE632" s="146"/>
      <c r="BF632" s="146"/>
      <c r="BH632" s="152" t="e">
        <f aca="false">_xlfn.xlookup(BG632,A:A,F:F)</f>
        <v>#NAME?</v>
      </c>
      <c r="BI632" s="153" t="e">
        <f aca="false">_xlfn.xlookup(BG632,A:A,J:J)</f>
        <v>#NAME?</v>
      </c>
      <c r="BJ632" s="153" t="e">
        <f aca="false">_xlfn.xlookup(BG632,A:A,N:N)+_xlfn.xlookup(BG632,A:A,O:O)</f>
        <v>#NAME?</v>
      </c>
      <c r="BK632" s="153" t="e">
        <f aca="false">_xlfn.xlookup(BG632,A581:A1575,AB581:AB1575)</f>
        <v>#NAME?</v>
      </c>
      <c r="BN632" s="146"/>
      <c r="BO632" s="150"/>
      <c r="BQ632" s="153" t="str">
        <f aca="false">IF(VALUE(MONTH(C632))&lt;10,YEAR(C632)&amp;"-0"&amp;MONTH(C632),YEAR(C632)&amp;"-"&amp;MONTH(C632))</f>
        <v>1900-01</v>
      </c>
      <c r="BR632" s="153" t="n">
        <f aca="false">J632</f>
        <v>0</v>
      </c>
      <c r="BS632" s="153" t="n">
        <f aca="false">IF(ISNUMBER(FIND("-", BR632)), LEFT(BR632, FIND("-", BR632) - 1), BR632)</f>
        <v>0</v>
      </c>
      <c r="BT632" s="189" t="n">
        <f aca="false">L632-M632+O632</f>
        <v>0</v>
      </c>
    </row>
    <row r="633" s="153" customFormat="true" ht="15" hidden="false" customHeight="false" outlineLevel="0" collapsed="false">
      <c r="AN633" s="153" t="e">
        <v>#NAME?</v>
      </c>
      <c r="AO633" s="153" t="e">
        <f aca="false">_xlfn.xlookup(AN633,A:A,F:F)</f>
        <v>#NAME?</v>
      </c>
      <c r="AP633" s="153" t="e">
        <f aca="false">_xlfn.xlookup(AN633,A:A,J:J)</f>
        <v>#NAME?</v>
      </c>
      <c r="AQ633" s="153" t="e">
        <f aca="false">_xlfn.xlookup(AN633,A:A,N:N)+_xlfn.xlookup(AN633,A:A,O:O)</f>
        <v>#NAME?</v>
      </c>
      <c r="AR633" s="150" t="e">
        <f aca="false">_xlfn.xlookup(AN633,A:A,AH:AH)</f>
        <v>#NAME?</v>
      </c>
      <c r="AS633" s="150" t="e">
        <f aca="false">_xlfn.xlookup(AN633,A:A,S:S)</f>
        <v>#NAME?</v>
      </c>
      <c r="AT633" s="150" t="e">
        <f aca="false">_xlfn.xlookup(AN633,A:A,AE:AE)</f>
        <v>#NAME?</v>
      </c>
      <c r="AU633" s="150" t="e">
        <f aca="false">_xlfn.xlookup(AN633,A:A,AF:AF)</f>
        <v>#NAME?</v>
      </c>
      <c r="AX633" s="146"/>
      <c r="AY633" s="150"/>
      <c r="AZ633" s="150"/>
      <c r="BA633" s="150"/>
      <c r="BB633" s="146"/>
      <c r="BC633" s="146"/>
      <c r="BD633" s="151"/>
      <c r="BE633" s="146"/>
      <c r="BF633" s="146"/>
      <c r="BH633" s="152" t="e">
        <f aca="false">_xlfn.xlookup(BG633,A:A,F:F)</f>
        <v>#NAME?</v>
      </c>
      <c r="BI633" s="153" t="e">
        <f aca="false">_xlfn.xlookup(BG633,A:A,J:J)</f>
        <v>#NAME?</v>
      </c>
      <c r="BJ633" s="153" t="e">
        <f aca="false">_xlfn.xlookup(BG633,A:A,N:N)+_xlfn.xlookup(BG633,A:A,O:O)</f>
        <v>#NAME?</v>
      </c>
      <c r="BK633" s="153" t="e">
        <f aca="false">_xlfn.xlookup(BG633,A582:A1576,AB582:AB1576)</f>
        <v>#NAME?</v>
      </c>
      <c r="BN633" s="146"/>
      <c r="BO633" s="150"/>
      <c r="BQ633" s="153" t="str">
        <f aca="false">IF(VALUE(MONTH(C633))&lt;10,YEAR(C633)&amp;"-0"&amp;MONTH(C633),YEAR(C633)&amp;"-"&amp;MONTH(C633))</f>
        <v>1900-01</v>
      </c>
      <c r="BR633" s="153" t="n">
        <f aca="false">J633</f>
        <v>0</v>
      </c>
      <c r="BS633" s="153" t="n">
        <f aca="false">IF(ISNUMBER(FIND("-", BR633)), LEFT(BR633, FIND("-", BR633) - 1), BR633)</f>
        <v>0</v>
      </c>
      <c r="BT633" s="189" t="n">
        <f aca="false">L633-M633+O633</f>
        <v>0</v>
      </c>
    </row>
    <row r="634" s="153" customFormat="true" ht="15" hidden="false" customHeight="false" outlineLevel="0" collapsed="false">
      <c r="AN634" s="153" t="e">
        <v>#NAME?</v>
      </c>
      <c r="AO634" s="153" t="e">
        <f aca="false">_xlfn.xlookup(AN634,A:A,F:F)</f>
        <v>#NAME?</v>
      </c>
      <c r="AP634" s="153" t="e">
        <f aca="false">_xlfn.xlookup(AN634,A:A,J:J)</f>
        <v>#NAME?</v>
      </c>
      <c r="AQ634" s="153" t="e">
        <f aca="false">_xlfn.xlookup(AN634,A:A,N:N)+_xlfn.xlookup(AN634,A:A,O:O)</f>
        <v>#NAME?</v>
      </c>
      <c r="AR634" s="150" t="e">
        <f aca="false">_xlfn.xlookup(AN634,A:A,AH:AH)</f>
        <v>#NAME?</v>
      </c>
      <c r="AS634" s="150" t="e">
        <f aca="false">_xlfn.xlookup(AN634,A:A,S:S)</f>
        <v>#NAME?</v>
      </c>
      <c r="AT634" s="150" t="e">
        <f aca="false">_xlfn.xlookup(AN634,A:A,AE:AE)</f>
        <v>#NAME?</v>
      </c>
      <c r="AU634" s="150" t="e">
        <f aca="false">_xlfn.xlookup(AN634,A:A,AF:AF)</f>
        <v>#NAME?</v>
      </c>
      <c r="AX634" s="146"/>
      <c r="AY634" s="150"/>
      <c r="AZ634" s="150"/>
      <c r="BA634" s="150"/>
      <c r="BB634" s="146"/>
      <c r="BC634" s="146"/>
      <c r="BD634" s="151"/>
      <c r="BE634" s="146"/>
      <c r="BF634" s="146"/>
      <c r="BH634" s="152" t="e">
        <f aca="false">_xlfn.xlookup(BG634,A:A,F:F)</f>
        <v>#NAME?</v>
      </c>
      <c r="BI634" s="153" t="e">
        <f aca="false">_xlfn.xlookup(BG634,A:A,J:J)</f>
        <v>#NAME?</v>
      </c>
      <c r="BJ634" s="153" t="e">
        <f aca="false">_xlfn.xlookup(BG634,A:A,N:N)+_xlfn.xlookup(BG634,A:A,O:O)</f>
        <v>#NAME?</v>
      </c>
      <c r="BK634" s="153" t="e">
        <f aca="false">_xlfn.xlookup(BG634,A583:A1577,AB583:AB1577)</f>
        <v>#NAME?</v>
      </c>
      <c r="BN634" s="146"/>
      <c r="BO634" s="150"/>
      <c r="BQ634" s="153" t="str">
        <f aca="false">IF(VALUE(MONTH(C634))&lt;10,YEAR(C634)&amp;"-0"&amp;MONTH(C634),YEAR(C634)&amp;"-"&amp;MONTH(C634))</f>
        <v>1900-01</v>
      </c>
      <c r="BR634" s="153" t="n">
        <f aca="false">J634</f>
        <v>0</v>
      </c>
      <c r="BS634" s="153" t="n">
        <f aca="false">IF(ISNUMBER(FIND("-", BR634)), LEFT(BR634, FIND("-", BR634) - 1), BR634)</f>
        <v>0</v>
      </c>
      <c r="BT634" s="189" t="n">
        <f aca="false">L634-M634+O634</f>
        <v>0</v>
      </c>
    </row>
    <row r="635" s="153" customFormat="true" ht="15" hidden="false" customHeight="false" outlineLevel="0" collapsed="false">
      <c r="AN635" s="153" t="e">
        <v>#NAME?</v>
      </c>
      <c r="AO635" s="153" t="e">
        <f aca="false">_xlfn.xlookup(AN635,A:A,F:F)</f>
        <v>#NAME?</v>
      </c>
      <c r="AP635" s="153" t="e">
        <f aca="false">_xlfn.xlookup(AN635,A:A,J:J)</f>
        <v>#NAME?</v>
      </c>
      <c r="AQ635" s="153" t="e">
        <f aca="false">_xlfn.xlookup(AN635,A:A,N:N)+_xlfn.xlookup(AN635,A:A,O:O)</f>
        <v>#NAME?</v>
      </c>
      <c r="AR635" s="150" t="e">
        <f aca="false">_xlfn.xlookup(AN635,A:A,AH:AH)</f>
        <v>#NAME?</v>
      </c>
      <c r="AS635" s="150" t="e">
        <f aca="false">_xlfn.xlookup(AN635,A:A,S:S)</f>
        <v>#NAME?</v>
      </c>
      <c r="AT635" s="150" t="e">
        <f aca="false">_xlfn.xlookup(AN635,A:A,AE:AE)</f>
        <v>#NAME?</v>
      </c>
      <c r="AU635" s="150" t="e">
        <f aca="false">_xlfn.xlookup(AN635,A:A,AF:AF)</f>
        <v>#NAME?</v>
      </c>
      <c r="AX635" s="146"/>
      <c r="AY635" s="150"/>
      <c r="AZ635" s="150"/>
      <c r="BA635" s="150"/>
      <c r="BB635" s="146"/>
      <c r="BC635" s="146"/>
      <c r="BD635" s="151"/>
      <c r="BE635" s="146"/>
      <c r="BF635" s="146"/>
      <c r="BH635" s="152" t="e">
        <f aca="false">_xlfn.xlookup(BG635,A:A,F:F)</f>
        <v>#NAME?</v>
      </c>
      <c r="BI635" s="153" t="e">
        <f aca="false">_xlfn.xlookup(BG635,A:A,J:J)</f>
        <v>#NAME?</v>
      </c>
      <c r="BJ635" s="153" t="e">
        <f aca="false">_xlfn.xlookup(BG635,A:A,N:N)+_xlfn.xlookup(BG635,A:A,O:O)</f>
        <v>#NAME?</v>
      </c>
      <c r="BK635" s="153" t="e">
        <f aca="false">_xlfn.xlookup(BG635,A584:A1578,AB584:AB1578)</f>
        <v>#NAME?</v>
      </c>
      <c r="BN635" s="146"/>
      <c r="BO635" s="150"/>
      <c r="BQ635" s="153" t="str">
        <f aca="false">IF(VALUE(MONTH(C635))&lt;10,YEAR(C635)&amp;"-0"&amp;MONTH(C635),YEAR(C635)&amp;"-"&amp;MONTH(C635))</f>
        <v>1900-01</v>
      </c>
      <c r="BR635" s="153" t="n">
        <f aca="false">J635</f>
        <v>0</v>
      </c>
      <c r="BS635" s="153" t="n">
        <f aca="false">IF(ISNUMBER(FIND("-", BR635)), LEFT(BR635, FIND("-", BR635) - 1), BR635)</f>
        <v>0</v>
      </c>
      <c r="BT635" s="189" t="n">
        <f aca="false">L635-M635+O635</f>
        <v>0</v>
      </c>
    </row>
    <row r="636" s="153" customFormat="true" ht="15" hidden="false" customHeight="false" outlineLevel="0" collapsed="false">
      <c r="AN636" s="153" t="e">
        <v>#NAME?</v>
      </c>
      <c r="AO636" s="153" t="e">
        <f aca="false">_xlfn.xlookup(AN636,A:A,F:F)</f>
        <v>#NAME?</v>
      </c>
      <c r="AP636" s="153" t="e">
        <f aca="false">_xlfn.xlookup(AN636,A:A,J:J)</f>
        <v>#NAME?</v>
      </c>
      <c r="AQ636" s="153" t="e">
        <f aca="false">_xlfn.xlookup(AN636,A:A,N:N)+_xlfn.xlookup(AN636,A:A,O:O)</f>
        <v>#NAME?</v>
      </c>
      <c r="AR636" s="150" t="e">
        <f aca="false">_xlfn.xlookup(AN636,A:A,AH:AH)</f>
        <v>#NAME?</v>
      </c>
      <c r="AS636" s="150" t="e">
        <f aca="false">_xlfn.xlookup(AN636,A:A,S:S)</f>
        <v>#NAME?</v>
      </c>
      <c r="AT636" s="150" t="e">
        <f aca="false">_xlfn.xlookup(AN636,A:A,AE:AE)</f>
        <v>#NAME?</v>
      </c>
      <c r="AU636" s="150" t="e">
        <f aca="false">_xlfn.xlookup(AN636,A:A,AF:AF)</f>
        <v>#NAME?</v>
      </c>
      <c r="AX636" s="146"/>
      <c r="AY636" s="150"/>
      <c r="AZ636" s="150"/>
      <c r="BA636" s="150"/>
      <c r="BB636" s="146"/>
      <c r="BC636" s="146"/>
      <c r="BD636" s="151"/>
      <c r="BE636" s="146"/>
      <c r="BF636" s="146"/>
      <c r="BH636" s="152" t="e">
        <f aca="false">_xlfn.xlookup(BG636,A:A,F:F)</f>
        <v>#NAME?</v>
      </c>
      <c r="BI636" s="153" t="e">
        <f aca="false">_xlfn.xlookup(BG636,A:A,J:J)</f>
        <v>#NAME?</v>
      </c>
      <c r="BJ636" s="153" t="e">
        <f aca="false">_xlfn.xlookup(BG636,A:A,N:N)+_xlfn.xlookup(BG636,A:A,O:O)</f>
        <v>#NAME?</v>
      </c>
      <c r="BK636" s="153" t="e">
        <f aca="false">_xlfn.xlookup(BG636,A585:A1579,AB585:AB1579)</f>
        <v>#NAME?</v>
      </c>
      <c r="BN636" s="146"/>
      <c r="BO636" s="150"/>
      <c r="BQ636" s="153" t="str">
        <f aca="false">IF(VALUE(MONTH(C636))&lt;10,YEAR(C636)&amp;"-0"&amp;MONTH(C636),YEAR(C636)&amp;"-"&amp;MONTH(C636))</f>
        <v>1900-01</v>
      </c>
      <c r="BR636" s="153" t="n">
        <f aca="false">J636</f>
        <v>0</v>
      </c>
      <c r="BS636" s="153" t="n">
        <f aca="false">IF(ISNUMBER(FIND("-", BR636)), LEFT(BR636, FIND("-", BR636) - 1), BR636)</f>
        <v>0</v>
      </c>
      <c r="BT636" s="189" t="n">
        <f aca="false">L636-M636+O636</f>
        <v>0</v>
      </c>
    </row>
    <row r="637" s="153" customFormat="true" ht="15" hidden="false" customHeight="false" outlineLevel="0" collapsed="false">
      <c r="AN637" s="153" t="e">
        <v>#NAME?</v>
      </c>
      <c r="AO637" s="153" t="e">
        <f aca="false">_xlfn.xlookup(AN637,A:A,F:F)</f>
        <v>#NAME?</v>
      </c>
      <c r="AP637" s="153" t="e">
        <f aca="false">_xlfn.xlookup(AN637,A:A,J:J)</f>
        <v>#NAME?</v>
      </c>
      <c r="AQ637" s="153" t="e">
        <f aca="false">_xlfn.xlookup(AN637,A:A,N:N)+_xlfn.xlookup(AN637,A:A,O:O)</f>
        <v>#NAME?</v>
      </c>
      <c r="AR637" s="150" t="e">
        <f aca="false">_xlfn.xlookup(AN637,A:A,AH:AH)</f>
        <v>#NAME?</v>
      </c>
      <c r="AS637" s="150" t="e">
        <f aca="false">_xlfn.xlookup(AN637,A:A,S:S)</f>
        <v>#NAME?</v>
      </c>
      <c r="AT637" s="150" t="e">
        <f aca="false">_xlfn.xlookup(AN637,A:A,AE:AE)</f>
        <v>#NAME?</v>
      </c>
      <c r="AU637" s="150" t="e">
        <f aca="false">_xlfn.xlookup(AN637,A:A,AF:AF)</f>
        <v>#NAME?</v>
      </c>
      <c r="AX637" s="146"/>
      <c r="AY637" s="150"/>
      <c r="AZ637" s="150"/>
      <c r="BA637" s="150"/>
      <c r="BB637" s="146"/>
      <c r="BC637" s="146"/>
      <c r="BD637" s="151"/>
      <c r="BE637" s="146"/>
      <c r="BF637" s="146"/>
      <c r="BH637" s="152" t="e">
        <f aca="false">_xlfn.xlookup(BG637,A:A,F:F)</f>
        <v>#NAME?</v>
      </c>
      <c r="BI637" s="153" t="e">
        <f aca="false">_xlfn.xlookup(BG637,A:A,J:J)</f>
        <v>#NAME?</v>
      </c>
      <c r="BJ637" s="153" t="e">
        <f aca="false">_xlfn.xlookup(BG637,A:A,N:N)+_xlfn.xlookup(BG637,A:A,O:O)</f>
        <v>#NAME?</v>
      </c>
      <c r="BK637" s="153" t="e">
        <f aca="false">_xlfn.xlookup(BG637,A586:A1580,AB586:AB1580)</f>
        <v>#NAME?</v>
      </c>
      <c r="BN637" s="146"/>
      <c r="BO637" s="150"/>
      <c r="BQ637" s="153" t="str">
        <f aca="false">IF(VALUE(MONTH(C637))&lt;10,YEAR(C637)&amp;"-0"&amp;MONTH(C637),YEAR(C637)&amp;"-"&amp;MONTH(C637))</f>
        <v>1900-01</v>
      </c>
      <c r="BR637" s="153" t="n">
        <f aca="false">J637</f>
        <v>0</v>
      </c>
      <c r="BS637" s="153" t="n">
        <f aca="false">IF(ISNUMBER(FIND("-", BR637)), LEFT(BR637, FIND("-", BR637) - 1), BR637)</f>
        <v>0</v>
      </c>
      <c r="BT637" s="189" t="n">
        <f aca="false">L637-M637+O637</f>
        <v>0</v>
      </c>
    </row>
    <row r="638" s="153" customFormat="true" ht="15" hidden="false" customHeight="false" outlineLevel="0" collapsed="false">
      <c r="AN638" s="153" t="e">
        <v>#NAME?</v>
      </c>
      <c r="AO638" s="153" t="e">
        <f aca="false">_xlfn.xlookup(AN638,A:A,F:F)</f>
        <v>#NAME?</v>
      </c>
      <c r="AP638" s="153" t="e">
        <f aca="false">_xlfn.xlookup(AN638,A:A,J:J)</f>
        <v>#NAME?</v>
      </c>
      <c r="AQ638" s="153" t="e">
        <f aca="false">_xlfn.xlookup(AN638,A:A,N:N)+_xlfn.xlookup(AN638,A:A,O:O)</f>
        <v>#NAME?</v>
      </c>
      <c r="AR638" s="150" t="e">
        <f aca="false">_xlfn.xlookup(AN638,A:A,AH:AH)</f>
        <v>#NAME?</v>
      </c>
      <c r="AS638" s="150" t="e">
        <f aca="false">_xlfn.xlookup(AN638,A:A,S:S)</f>
        <v>#NAME?</v>
      </c>
      <c r="AT638" s="150" t="e">
        <f aca="false">_xlfn.xlookup(AN638,A:A,AE:AE)</f>
        <v>#NAME?</v>
      </c>
      <c r="AU638" s="150" t="e">
        <f aca="false">_xlfn.xlookup(AN638,A:A,AF:AF)</f>
        <v>#NAME?</v>
      </c>
      <c r="AX638" s="146"/>
      <c r="AY638" s="150"/>
      <c r="AZ638" s="150"/>
      <c r="BA638" s="150"/>
      <c r="BB638" s="146"/>
      <c r="BC638" s="146"/>
      <c r="BD638" s="151"/>
      <c r="BE638" s="146"/>
      <c r="BF638" s="146"/>
      <c r="BH638" s="152" t="e">
        <f aca="false">_xlfn.xlookup(BG638,A:A,F:F)</f>
        <v>#NAME?</v>
      </c>
      <c r="BI638" s="153" t="e">
        <f aca="false">_xlfn.xlookup(BG638,A:A,J:J)</f>
        <v>#NAME?</v>
      </c>
      <c r="BJ638" s="153" t="e">
        <f aca="false">_xlfn.xlookup(BG638,A:A,N:N)+_xlfn.xlookup(BG638,A:A,O:O)</f>
        <v>#NAME?</v>
      </c>
      <c r="BK638" s="153" t="e">
        <f aca="false">_xlfn.xlookup(BG638,A587:A1581,AB587:AB1581)</f>
        <v>#NAME?</v>
      </c>
      <c r="BN638" s="146"/>
      <c r="BO638" s="150"/>
      <c r="BQ638" s="153" t="str">
        <f aca="false">IF(VALUE(MONTH(C638))&lt;10,YEAR(C638)&amp;"-0"&amp;MONTH(C638),YEAR(C638)&amp;"-"&amp;MONTH(C638))</f>
        <v>1900-01</v>
      </c>
      <c r="BR638" s="153" t="n">
        <f aca="false">J638</f>
        <v>0</v>
      </c>
      <c r="BS638" s="153" t="n">
        <f aca="false">IF(ISNUMBER(FIND("-", BR638)), LEFT(BR638, FIND("-", BR638) - 1), BR638)</f>
        <v>0</v>
      </c>
      <c r="BT638" s="189" t="n">
        <f aca="false">L638-M638+O638</f>
        <v>0</v>
      </c>
    </row>
    <row r="639" s="153" customFormat="true" ht="15" hidden="false" customHeight="false" outlineLevel="0" collapsed="false">
      <c r="AN639" s="153" t="e">
        <v>#NAME?</v>
      </c>
      <c r="AO639" s="153" t="e">
        <f aca="false">_xlfn.xlookup(AN639,A:A,F:F)</f>
        <v>#NAME?</v>
      </c>
      <c r="AP639" s="153" t="e">
        <f aca="false">_xlfn.xlookup(AN639,A:A,J:J)</f>
        <v>#NAME?</v>
      </c>
      <c r="AQ639" s="153" t="e">
        <f aca="false">_xlfn.xlookup(AN639,A:A,N:N)+_xlfn.xlookup(AN639,A:A,O:O)</f>
        <v>#NAME?</v>
      </c>
      <c r="AR639" s="150" t="e">
        <f aca="false">_xlfn.xlookup(AN639,A:A,AH:AH)</f>
        <v>#NAME?</v>
      </c>
      <c r="AS639" s="150" t="e">
        <f aca="false">_xlfn.xlookup(AN639,A:A,S:S)</f>
        <v>#NAME?</v>
      </c>
      <c r="AT639" s="150" t="e">
        <f aca="false">_xlfn.xlookup(AN639,A:A,AE:AE)</f>
        <v>#NAME?</v>
      </c>
      <c r="AU639" s="150" t="e">
        <f aca="false">_xlfn.xlookup(AN639,A:A,AF:AF)</f>
        <v>#NAME?</v>
      </c>
      <c r="AX639" s="146"/>
      <c r="AY639" s="150"/>
      <c r="AZ639" s="150"/>
      <c r="BA639" s="150"/>
      <c r="BB639" s="146"/>
      <c r="BC639" s="146"/>
      <c r="BD639" s="151"/>
      <c r="BE639" s="146"/>
      <c r="BF639" s="146"/>
      <c r="BH639" s="152" t="e">
        <f aca="false">_xlfn.xlookup(BG639,A:A,F:F)</f>
        <v>#NAME?</v>
      </c>
      <c r="BI639" s="153" t="e">
        <f aca="false">_xlfn.xlookup(BG639,A:A,J:J)</f>
        <v>#NAME?</v>
      </c>
      <c r="BJ639" s="153" t="e">
        <f aca="false">_xlfn.xlookup(BG639,A:A,N:N)+_xlfn.xlookup(BG639,A:A,O:O)</f>
        <v>#NAME?</v>
      </c>
      <c r="BK639" s="153" t="e">
        <f aca="false">_xlfn.xlookup(BG639,A588:A1582,AB588:AB1582)</f>
        <v>#NAME?</v>
      </c>
      <c r="BN639" s="146"/>
      <c r="BO639" s="150"/>
      <c r="BQ639" s="153" t="str">
        <f aca="false">IF(VALUE(MONTH(C639))&lt;10,YEAR(C639)&amp;"-0"&amp;MONTH(C639),YEAR(C639)&amp;"-"&amp;MONTH(C639))</f>
        <v>1900-01</v>
      </c>
      <c r="BR639" s="153" t="n">
        <f aca="false">J639</f>
        <v>0</v>
      </c>
      <c r="BS639" s="153" t="n">
        <f aca="false">IF(ISNUMBER(FIND("-", BR639)), LEFT(BR639, FIND("-", BR639) - 1), BR639)</f>
        <v>0</v>
      </c>
      <c r="BT639" s="189" t="n">
        <f aca="false">L639-M639+O639</f>
        <v>0</v>
      </c>
    </row>
    <row r="640" s="153" customFormat="true" ht="15" hidden="false" customHeight="false" outlineLevel="0" collapsed="false">
      <c r="AN640" s="153" t="e">
        <v>#NAME?</v>
      </c>
      <c r="AO640" s="153" t="e">
        <f aca="false">_xlfn.xlookup(AN640,A:A,F:F)</f>
        <v>#NAME?</v>
      </c>
      <c r="AP640" s="153" t="e">
        <f aca="false">_xlfn.xlookup(AN640,A:A,J:J)</f>
        <v>#NAME?</v>
      </c>
      <c r="AQ640" s="153" t="e">
        <f aca="false">_xlfn.xlookup(AN640,A:A,N:N)+_xlfn.xlookup(AN640,A:A,O:O)</f>
        <v>#NAME?</v>
      </c>
      <c r="AR640" s="150" t="e">
        <f aca="false">_xlfn.xlookup(AN640,A:A,AH:AH)</f>
        <v>#NAME?</v>
      </c>
      <c r="AS640" s="150" t="e">
        <f aca="false">_xlfn.xlookup(AN640,A:A,S:S)</f>
        <v>#NAME?</v>
      </c>
      <c r="AT640" s="150" t="e">
        <f aca="false">_xlfn.xlookup(AN640,A:A,AE:AE)</f>
        <v>#NAME?</v>
      </c>
      <c r="AU640" s="150" t="e">
        <f aca="false">_xlfn.xlookup(AN640,A:A,AF:AF)</f>
        <v>#NAME?</v>
      </c>
      <c r="AX640" s="146"/>
      <c r="AY640" s="150"/>
      <c r="AZ640" s="150"/>
      <c r="BA640" s="150"/>
      <c r="BB640" s="146"/>
      <c r="BC640" s="146"/>
      <c r="BD640" s="151"/>
      <c r="BE640" s="146"/>
      <c r="BF640" s="146"/>
      <c r="BH640" s="152" t="e">
        <f aca="false">_xlfn.xlookup(BG640,A:A,F:F)</f>
        <v>#NAME?</v>
      </c>
      <c r="BI640" s="153" t="e">
        <f aca="false">_xlfn.xlookup(BG640,A:A,J:J)</f>
        <v>#NAME?</v>
      </c>
      <c r="BJ640" s="153" t="e">
        <f aca="false">_xlfn.xlookup(BG640,A:A,N:N)+_xlfn.xlookup(BG640,A:A,O:O)</f>
        <v>#NAME?</v>
      </c>
      <c r="BK640" s="153" t="e">
        <f aca="false">_xlfn.xlookup(BG640,A589:A1583,AB589:AB1583)</f>
        <v>#NAME?</v>
      </c>
      <c r="BN640" s="146"/>
      <c r="BO640" s="150"/>
      <c r="BQ640" s="153" t="str">
        <f aca="false">IF(VALUE(MONTH(C640))&lt;10,YEAR(C640)&amp;"-0"&amp;MONTH(C640),YEAR(C640)&amp;"-"&amp;MONTH(C640))</f>
        <v>1900-01</v>
      </c>
      <c r="BR640" s="153" t="n">
        <f aca="false">J640</f>
        <v>0</v>
      </c>
      <c r="BS640" s="153" t="n">
        <f aca="false">IF(ISNUMBER(FIND("-", BR640)), LEFT(BR640, FIND("-", BR640) - 1), BR640)</f>
        <v>0</v>
      </c>
      <c r="BT640" s="189" t="n">
        <f aca="false">L640-M640+O640</f>
        <v>0</v>
      </c>
    </row>
    <row r="641" s="153" customFormat="true" ht="15" hidden="false" customHeight="false" outlineLevel="0" collapsed="false">
      <c r="AN641" s="153" t="e">
        <v>#NAME?</v>
      </c>
      <c r="AO641" s="153" t="e">
        <f aca="false">_xlfn.xlookup(AN641,A:A,F:F)</f>
        <v>#NAME?</v>
      </c>
      <c r="AP641" s="153" t="e">
        <f aca="false">_xlfn.xlookup(AN641,A:A,J:J)</f>
        <v>#NAME?</v>
      </c>
      <c r="AQ641" s="153" t="e">
        <f aca="false">_xlfn.xlookup(AN641,A:A,N:N)+_xlfn.xlookup(AN641,A:A,O:O)</f>
        <v>#NAME?</v>
      </c>
      <c r="AR641" s="150" t="e">
        <f aca="false">_xlfn.xlookup(AN641,A:A,AH:AH)</f>
        <v>#NAME?</v>
      </c>
      <c r="AS641" s="150" t="e">
        <f aca="false">_xlfn.xlookup(AN641,A:A,S:S)</f>
        <v>#NAME?</v>
      </c>
      <c r="AT641" s="150" t="e">
        <f aca="false">_xlfn.xlookup(AN641,A:A,AE:AE)</f>
        <v>#NAME?</v>
      </c>
      <c r="AU641" s="150" t="e">
        <f aca="false">_xlfn.xlookup(AN641,A:A,AF:AF)</f>
        <v>#NAME?</v>
      </c>
      <c r="AX641" s="146"/>
      <c r="AY641" s="150"/>
      <c r="AZ641" s="150"/>
      <c r="BA641" s="150"/>
      <c r="BB641" s="146"/>
      <c r="BC641" s="146"/>
      <c r="BD641" s="151"/>
      <c r="BE641" s="146"/>
      <c r="BF641" s="146"/>
      <c r="BH641" s="152" t="e">
        <f aca="false">_xlfn.xlookup(BG641,A:A,F:F)</f>
        <v>#NAME?</v>
      </c>
      <c r="BI641" s="153" t="e">
        <f aca="false">_xlfn.xlookup(BG641,A:A,J:J)</f>
        <v>#NAME?</v>
      </c>
      <c r="BJ641" s="153" t="e">
        <f aca="false">_xlfn.xlookup(BG641,A:A,N:N)+_xlfn.xlookup(BG641,A:A,O:O)</f>
        <v>#NAME?</v>
      </c>
      <c r="BK641" s="153" t="e">
        <f aca="false">_xlfn.xlookup(BG641,A590:A1584,AB590:AB1584)</f>
        <v>#NAME?</v>
      </c>
      <c r="BN641" s="146"/>
      <c r="BO641" s="150"/>
      <c r="BQ641" s="153" t="str">
        <f aca="false">IF(VALUE(MONTH(C641))&lt;10,YEAR(C641)&amp;"-0"&amp;MONTH(C641),YEAR(C641)&amp;"-"&amp;MONTH(C641))</f>
        <v>1900-01</v>
      </c>
      <c r="BR641" s="153" t="n">
        <f aca="false">J641</f>
        <v>0</v>
      </c>
      <c r="BS641" s="153" t="n">
        <f aca="false">IF(ISNUMBER(FIND("-", BR641)), LEFT(BR641, FIND("-", BR641) - 1), BR641)</f>
        <v>0</v>
      </c>
      <c r="BT641" s="189" t="n">
        <f aca="false">L641-M641+O641</f>
        <v>0</v>
      </c>
    </row>
    <row r="642" s="153" customFormat="true" ht="15" hidden="false" customHeight="false" outlineLevel="0" collapsed="false">
      <c r="AN642" s="153" t="e">
        <v>#NAME?</v>
      </c>
      <c r="AO642" s="153" t="e">
        <f aca="false">_xlfn.xlookup(AN642,A:A,F:F)</f>
        <v>#NAME?</v>
      </c>
      <c r="AP642" s="153" t="e">
        <f aca="false">_xlfn.xlookup(AN642,A:A,J:J)</f>
        <v>#NAME?</v>
      </c>
      <c r="AQ642" s="153" t="e">
        <f aca="false">_xlfn.xlookup(AN642,A:A,N:N)+_xlfn.xlookup(AN642,A:A,O:O)</f>
        <v>#NAME?</v>
      </c>
      <c r="AR642" s="150" t="e">
        <f aca="false">_xlfn.xlookup(AN642,A:A,AH:AH)</f>
        <v>#NAME?</v>
      </c>
      <c r="AS642" s="150" t="e">
        <f aca="false">_xlfn.xlookup(AN642,A:A,S:S)</f>
        <v>#NAME?</v>
      </c>
      <c r="AT642" s="150" t="e">
        <f aca="false">_xlfn.xlookup(AN642,A:A,AE:AE)</f>
        <v>#NAME?</v>
      </c>
      <c r="AU642" s="150" t="e">
        <f aca="false">_xlfn.xlookup(AN642,A:A,AF:AF)</f>
        <v>#NAME?</v>
      </c>
      <c r="AX642" s="146"/>
      <c r="AY642" s="150"/>
      <c r="AZ642" s="150"/>
      <c r="BA642" s="150"/>
      <c r="BB642" s="146"/>
      <c r="BC642" s="146"/>
      <c r="BD642" s="151"/>
      <c r="BE642" s="146"/>
      <c r="BF642" s="146"/>
      <c r="BH642" s="152" t="e">
        <f aca="false">_xlfn.xlookup(BG642,A:A,F:F)</f>
        <v>#NAME?</v>
      </c>
      <c r="BI642" s="153" t="e">
        <f aca="false">_xlfn.xlookup(BG642,A:A,J:J)</f>
        <v>#NAME?</v>
      </c>
      <c r="BJ642" s="153" t="e">
        <f aca="false">_xlfn.xlookup(BG642,A:A,N:N)+_xlfn.xlookup(BG642,A:A,O:O)</f>
        <v>#NAME?</v>
      </c>
      <c r="BK642" s="153" t="e">
        <f aca="false">_xlfn.xlookup(BG642,A591:A1585,AB591:AB1585)</f>
        <v>#NAME?</v>
      </c>
      <c r="BN642" s="146"/>
      <c r="BO642" s="150"/>
      <c r="BQ642" s="153" t="str">
        <f aca="false">IF(VALUE(MONTH(C642))&lt;10,YEAR(C642)&amp;"-0"&amp;MONTH(C642),YEAR(C642)&amp;"-"&amp;MONTH(C642))</f>
        <v>1900-01</v>
      </c>
      <c r="BR642" s="153" t="n">
        <f aca="false">J642</f>
        <v>0</v>
      </c>
      <c r="BS642" s="153" t="n">
        <f aca="false">IF(ISNUMBER(FIND("-", BR642)), LEFT(BR642, FIND("-", BR642) - 1), BR642)</f>
        <v>0</v>
      </c>
      <c r="BT642" s="189" t="n">
        <f aca="false">L642-M642+O642</f>
        <v>0</v>
      </c>
    </row>
    <row r="643" s="153" customFormat="true" ht="15" hidden="false" customHeight="false" outlineLevel="0" collapsed="false">
      <c r="AN643" s="153" t="e">
        <v>#NAME?</v>
      </c>
      <c r="AO643" s="153" t="e">
        <f aca="false">_xlfn.xlookup(AN643,A:A,F:F)</f>
        <v>#NAME?</v>
      </c>
      <c r="AP643" s="153" t="e">
        <f aca="false">_xlfn.xlookup(AN643,A:A,J:J)</f>
        <v>#NAME?</v>
      </c>
      <c r="AQ643" s="153" t="e">
        <f aca="false">_xlfn.xlookup(AN643,A:A,N:N)+_xlfn.xlookup(AN643,A:A,O:O)</f>
        <v>#NAME?</v>
      </c>
      <c r="AR643" s="150" t="e">
        <f aca="false">_xlfn.xlookup(AN643,A:A,AH:AH)</f>
        <v>#NAME?</v>
      </c>
      <c r="AS643" s="150" t="e">
        <f aca="false">_xlfn.xlookup(AN643,A:A,S:S)</f>
        <v>#NAME?</v>
      </c>
      <c r="AT643" s="150" t="e">
        <f aca="false">_xlfn.xlookup(AN643,A:A,AE:AE)</f>
        <v>#NAME?</v>
      </c>
      <c r="AU643" s="150" t="e">
        <f aca="false">_xlfn.xlookup(AN643,A:A,AF:AF)</f>
        <v>#NAME?</v>
      </c>
      <c r="AX643" s="146"/>
      <c r="AY643" s="150"/>
      <c r="AZ643" s="150"/>
      <c r="BA643" s="150"/>
      <c r="BB643" s="146"/>
      <c r="BC643" s="146"/>
      <c r="BD643" s="151"/>
      <c r="BE643" s="146"/>
      <c r="BF643" s="146"/>
      <c r="BH643" s="152" t="e">
        <f aca="false">_xlfn.xlookup(BG643,A:A,F:F)</f>
        <v>#NAME?</v>
      </c>
      <c r="BI643" s="153" t="e">
        <f aca="false">_xlfn.xlookup(BG643,A:A,J:J)</f>
        <v>#NAME?</v>
      </c>
      <c r="BJ643" s="153" t="e">
        <f aca="false">_xlfn.xlookup(BG643,A:A,N:N)+_xlfn.xlookup(BG643,A:A,O:O)</f>
        <v>#NAME?</v>
      </c>
      <c r="BK643" s="153" t="e">
        <f aca="false">_xlfn.xlookup(BG643,A592:A1586,AB592:AB1586)</f>
        <v>#NAME?</v>
      </c>
      <c r="BN643" s="146"/>
      <c r="BO643" s="150"/>
      <c r="BQ643" s="153" t="str">
        <f aca="false">IF(VALUE(MONTH(C643))&lt;10,YEAR(C643)&amp;"-0"&amp;MONTH(C643),YEAR(C643)&amp;"-"&amp;MONTH(C643))</f>
        <v>1900-01</v>
      </c>
      <c r="BR643" s="153" t="n">
        <f aca="false">J643</f>
        <v>0</v>
      </c>
      <c r="BS643" s="153" t="n">
        <f aca="false">IF(ISNUMBER(FIND("-", BR643)), LEFT(BR643, FIND("-", BR643) - 1), BR643)</f>
        <v>0</v>
      </c>
      <c r="BT643" s="189" t="n">
        <f aca="false">L643-M643+O643</f>
        <v>0</v>
      </c>
    </row>
    <row r="644" s="153" customFormat="true" ht="15" hidden="false" customHeight="false" outlineLevel="0" collapsed="false">
      <c r="AN644" s="153" t="e">
        <v>#NAME?</v>
      </c>
      <c r="AO644" s="153" t="e">
        <f aca="false">_xlfn.xlookup(AN644,A:A,F:F)</f>
        <v>#NAME?</v>
      </c>
      <c r="AP644" s="153" t="e">
        <f aca="false">_xlfn.xlookup(AN644,A:A,J:J)</f>
        <v>#NAME?</v>
      </c>
      <c r="AQ644" s="153" t="e">
        <f aca="false">_xlfn.xlookup(AN644,A:A,N:N)+_xlfn.xlookup(AN644,A:A,O:O)</f>
        <v>#NAME?</v>
      </c>
      <c r="AR644" s="150" t="e">
        <f aca="false">_xlfn.xlookup(AN644,A:A,AH:AH)</f>
        <v>#NAME?</v>
      </c>
      <c r="AS644" s="150" t="e">
        <f aca="false">_xlfn.xlookup(AN644,A:A,S:S)</f>
        <v>#NAME?</v>
      </c>
      <c r="AT644" s="150" t="e">
        <f aca="false">_xlfn.xlookup(AN644,A:A,AE:AE)</f>
        <v>#NAME?</v>
      </c>
      <c r="AU644" s="150" t="e">
        <f aca="false">_xlfn.xlookup(AN644,A:A,AF:AF)</f>
        <v>#NAME?</v>
      </c>
      <c r="AX644" s="146"/>
      <c r="AY644" s="150"/>
      <c r="AZ644" s="150"/>
      <c r="BA644" s="150"/>
      <c r="BB644" s="146"/>
      <c r="BC644" s="146"/>
      <c r="BD644" s="151"/>
      <c r="BE644" s="146"/>
      <c r="BF644" s="146"/>
      <c r="BH644" s="152" t="e">
        <f aca="false">_xlfn.xlookup(BG644,A:A,F:F)</f>
        <v>#NAME?</v>
      </c>
      <c r="BI644" s="153" t="e">
        <f aca="false">_xlfn.xlookup(BG644,A:A,J:J)</f>
        <v>#NAME?</v>
      </c>
      <c r="BJ644" s="153" t="e">
        <f aca="false">_xlfn.xlookup(BG644,A:A,N:N)+_xlfn.xlookup(BG644,A:A,O:O)</f>
        <v>#NAME?</v>
      </c>
      <c r="BK644" s="153" t="e">
        <f aca="false">_xlfn.xlookup(BG644,A593:A1587,AB593:AB1587)</f>
        <v>#NAME?</v>
      </c>
      <c r="BN644" s="146"/>
      <c r="BO644" s="150"/>
      <c r="BQ644" s="153" t="str">
        <f aca="false">IF(VALUE(MONTH(C644))&lt;10,YEAR(C644)&amp;"-0"&amp;MONTH(C644),YEAR(C644)&amp;"-"&amp;MONTH(C644))</f>
        <v>1900-01</v>
      </c>
      <c r="BR644" s="153" t="n">
        <f aca="false">J644</f>
        <v>0</v>
      </c>
      <c r="BS644" s="153" t="n">
        <f aca="false">IF(ISNUMBER(FIND("-", BR644)), LEFT(BR644, FIND("-", BR644) - 1), BR644)</f>
        <v>0</v>
      </c>
      <c r="BT644" s="189" t="n">
        <f aca="false">L644-M644+O644</f>
        <v>0</v>
      </c>
    </row>
    <row r="645" s="153" customFormat="true" ht="15" hidden="false" customHeight="false" outlineLevel="0" collapsed="false">
      <c r="AN645" s="153" t="e">
        <v>#NAME?</v>
      </c>
      <c r="AO645" s="153" t="e">
        <f aca="false">_xlfn.xlookup(AN645,A:A,F:F)</f>
        <v>#NAME?</v>
      </c>
      <c r="AP645" s="153" t="e">
        <f aca="false">_xlfn.xlookup(AN645,A:A,J:J)</f>
        <v>#NAME?</v>
      </c>
      <c r="AQ645" s="153" t="e">
        <f aca="false">_xlfn.xlookup(AN645,A:A,N:N)+_xlfn.xlookup(AN645,A:A,O:O)</f>
        <v>#NAME?</v>
      </c>
      <c r="AR645" s="150" t="e">
        <f aca="false">_xlfn.xlookup(AN645,A:A,AH:AH)</f>
        <v>#NAME?</v>
      </c>
      <c r="AS645" s="150" t="e">
        <f aca="false">_xlfn.xlookup(AN645,A:A,S:S)</f>
        <v>#NAME?</v>
      </c>
      <c r="AT645" s="150" t="e">
        <f aca="false">_xlfn.xlookup(AN645,A:A,AE:AE)</f>
        <v>#NAME?</v>
      </c>
      <c r="AU645" s="150" t="e">
        <f aca="false">_xlfn.xlookup(AN645,A:A,AF:AF)</f>
        <v>#NAME?</v>
      </c>
      <c r="AX645" s="146"/>
      <c r="AY645" s="150"/>
      <c r="AZ645" s="150"/>
      <c r="BA645" s="150"/>
      <c r="BB645" s="146"/>
      <c r="BC645" s="146"/>
      <c r="BD645" s="151"/>
      <c r="BE645" s="146"/>
      <c r="BF645" s="146"/>
      <c r="BH645" s="152" t="e">
        <f aca="false">_xlfn.xlookup(BG645,A:A,F:F)</f>
        <v>#NAME?</v>
      </c>
      <c r="BI645" s="153" t="e">
        <f aca="false">_xlfn.xlookup(BG645,A:A,J:J)</f>
        <v>#NAME?</v>
      </c>
      <c r="BJ645" s="153" t="e">
        <f aca="false">_xlfn.xlookup(BG645,A:A,N:N)+_xlfn.xlookup(BG645,A:A,O:O)</f>
        <v>#NAME?</v>
      </c>
      <c r="BK645" s="153" t="e">
        <f aca="false">_xlfn.xlookup(BG645,A594:A1588,AB594:AB1588)</f>
        <v>#NAME?</v>
      </c>
      <c r="BN645" s="146"/>
      <c r="BO645" s="150"/>
      <c r="BQ645" s="153" t="str">
        <f aca="false">IF(VALUE(MONTH(C645))&lt;10,YEAR(C645)&amp;"-0"&amp;MONTH(C645),YEAR(C645)&amp;"-"&amp;MONTH(C645))</f>
        <v>1900-01</v>
      </c>
      <c r="BR645" s="153" t="n">
        <f aca="false">J645</f>
        <v>0</v>
      </c>
      <c r="BS645" s="153" t="n">
        <f aca="false">IF(ISNUMBER(FIND("-", BR645)), LEFT(BR645, FIND("-", BR645) - 1), BR645)</f>
        <v>0</v>
      </c>
      <c r="BT645" s="189" t="n">
        <f aca="false">L645-M645+O645</f>
        <v>0</v>
      </c>
    </row>
    <row r="646" s="153" customFormat="true" ht="15" hidden="false" customHeight="false" outlineLevel="0" collapsed="false">
      <c r="AN646" s="153" t="e">
        <v>#NAME?</v>
      </c>
      <c r="AO646" s="153" t="e">
        <f aca="false">_xlfn.xlookup(AN646,A:A,F:F)</f>
        <v>#NAME?</v>
      </c>
      <c r="AP646" s="153" t="e">
        <f aca="false">_xlfn.xlookup(AN646,A:A,J:J)</f>
        <v>#NAME?</v>
      </c>
      <c r="AQ646" s="153" t="e">
        <f aca="false">_xlfn.xlookup(AN646,A:A,N:N)+_xlfn.xlookup(AN646,A:A,O:O)</f>
        <v>#NAME?</v>
      </c>
      <c r="AR646" s="150" t="e">
        <f aca="false">_xlfn.xlookup(AN646,A:A,AH:AH)</f>
        <v>#NAME?</v>
      </c>
      <c r="AS646" s="150" t="e">
        <f aca="false">_xlfn.xlookup(AN646,A:A,S:S)</f>
        <v>#NAME?</v>
      </c>
      <c r="AT646" s="150" t="e">
        <f aca="false">_xlfn.xlookup(AN646,A:A,AE:AE)</f>
        <v>#NAME?</v>
      </c>
      <c r="AU646" s="150" t="e">
        <f aca="false">_xlfn.xlookup(AN646,A:A,AF:AF)</f>
        <v>#NAME?</v>
      </c>
      <c r="AX646" s="146"/>
      <c r="AY646" s="150"/>
      <c r="AZ646" s="150"/>
      <c r="BA646" s="150"/>
      <c r="BB646" s="146"/>
      <c r="BC646" s="146"/>
      <c r="BD646" s="151"/>
      <c r="BE646" s="146"/>
      <c r="BF646" s="146"/>
      <c r="BH646" s="152" t="e">
        <f aca="false">_xlfn.xlookup(BG646,A:A,F:F)</f>
        <v>#NAME?</v>
      </c>
      <c r="BI646" s="153" t="e">
        <f aca="false">_xlfn.xlookup(BG646,A:A,J:J)</f>
        <v>#NAME?</v>
      </c>
      <c r="BJ646" s="153" t="e">
        <f aca="false">_xlfn.xlookup(BG646,A:A,N:N)+_xlfn.xlookup(BG646,A:A,O:O)</f>
        <v>#NAME?</v>
      </c>
      <c r="BK646" s="153" t="e">
        <f aca="false">_xlfn.xlookup(BG646,A595:A1589,AB595:AB1589)</f>
        <v>#NAME?</v>
      </c>
      <c r="BN646" s="146"/>
      <c r="BO646" s="150"/>
      <c r="BQ646" s="153" t="str">
        <f aca="false">IF(VALUE(MONTH(C646))&lt;10,YEAR(C646)&amp;"-0"&amp;MONTH(C646),YEAR(C646)&amp;"-"&amp;MONTH(C646))</f>
        <v>1900-01</v>
      </c>
      <c r="BR646" s="153" t="n">
        <f aca="false">J646</f>
        <v>0</v>
      </c>
      <c r="BS646" s="153" t="n">
        <f aca="false">IF(ISNUMBER(FIND("-", BR646)), LEFT(BR646, FIND("-", BR646) - 1), BR646)</f>
        <v>0</v>
      </c>
      <c r="BT646" s="189" t="n">
        <f aca="false">L646-M646+O646</f>
        <v>0</v>
      </c>
    </row>
    <row r="647" s="153" customFormat="true" ht="15" hidden="false" customHeight="false" outlineLevel="0" collapsed="false">
      <c r="AN647" s="153" t="e">
        <v>#NAME?</v>
      </c>
      <c r="AO647" s="153" t="e">
        <f aca="false">_xlfn.xlookup(AN647,A:A,F:F)</f>
        <v>#NAME?</v>
      </c>
      <c r="AP647" s="153" t="e">
        <f aca="false">_xlfn.xlookup(AN647,A:A,J:J)</f>
        <v>#NAME?</v>
      </c>
      <c r="AQ647" s="153" t="e">
        <f aca="false">_xlfn.xlookup(AN647,A:A,N:N)+_xlfn.xlookup(AN647,A:A,O:O)</f>
        <v>#NAME?</v>
      </c>
      <c r="AR647" s="150" t="e">
        <f aca="false">_xlfn.xlookup(AN647,A:A,AH:AH)</f>
        <v>#NAME?</v>
      </c>
      <c r="AS647" s="150" t="e">
        <f aca="false">_xlfn.xlookup(AN647,A:A,S:S)</f>
        <v>#NAME?</v>
      </c>
      <c r="AT647" s="150" t="e">
        <f aca="false">_xlfn.xlookup(AN647,A:A,AE:AE)</f>
        <v>#NAME?</v>
      </c>
      <c r="AU647" s="150" t="e">
        <f aca="false">_xlfn.xlookup(AN647,A:A,AF:AF)</f>
        <v>#NAME?</v>
      </c>
      <c r="AX647" s="146"/>
      <c r="AY647" s="150"/>
      <c r="AZ647" s="150"/>
      <c r="BA647" s="150"/>
      <c r="BB647" s="146"/>
      <c r="BC647" s="146"/>
      <c r="BD647" s="151"/>
      <c r="BE647" s="146"/>
      <c r="BF647" s="146"/>
      <c r="BH647" s="152" t="e">
        <f aca="false">_xlfn.xlookup(BG647,A:A,F:F)</f>
        <v>#NAME?</v>
      </c>
      <c r="BI647" s="153" t="e">
        <f aca="false">_xlfn.xlookup(BG647,A:A,J:J)</f>
        <v>#NAME?</v>
      </c>
      <c r="BJ647" s="153" t="e">
        <f aca="false">_xlfn.xlookup(BG647,A:A,N:N)+_xlfn.xlookup(BG647,A:A,O:O)</f>
        <v>#NAME?</v>
      </c>
      <c r="BK647" s="153" t="e">
        <f aca="false">_xlfn.xlookup(BG647,A596:A1590,AB596:AB1590)</f>
        <v>#NAME?</v>
      </c>
      <c r="BN647" s="146"/>
      <c r="BO647" s="150"/>
      <c r="BQ647" s="153" t="str">
        <f aca="false">IF(VALUE(MONTH(C647))&lt;10,YEAR(C647)&amp;"-0"&amp;MONTH(C647),YEAR(C647)&amp;"-"&amp;MONTH(C647))</f>
        <v>1900-01</v>
      </c>
      <c r="BR647" s="153" t="n">
        <f aca="false">J647</f>
        <v>0</v>
      </c>
      <c r="BS647" s="153" t="n">
        <f aca="false">IF(ISNUMBER(FIND("-", BR647)), LEFT(BR647, FIND("-", BR647) - 1), BR647)</f>
        <v>0</v>
      </c>
      <c r="BT647" s="189" t="n">
        <f aca="false">L647-M647+O647</f>
        <v>0</v>
      </c>
    </row>
    <row r="648" s="153" customFormat="true" ht="15" hidden="false" customHeight="false" outlineLevel="0" collapsed="false">
      <c r="AN648" s="153" t="e">
        <v>#NAME?</v>
      </c>
      <c r="AO648" s="153" t="e">
        <f aca="false">_xlfn.xlookup(AN648,A:A,F:F)</f>
        <v>#NAME?</v>
      </c>
      <c r="AP648" s="153" t="e">
        <f aca="false">_xlfn.xlookup(AN648,A:A,J:J)</f>
        <v>#NAME?</v>
      </c>
      <c r="AQ648" s="153" t="e">
        <f aca="false">_xlfn.xlookup(AN648,A:A,N:N)+_xlfn.xlookup(AN648,A:A,O:O)</f>
        <v>#NAME?</v>
      </c>
      <c r="AR648" s="150" t="e">
        <f aca="false">_xlfn.xlookup(AN648,A:A,AH:AH)</f>
        <v>#NAME?</v>
      </c>
      <c r="AS648" s="150" t="e">
        <f aca="false">_xlfn.xlookup(AN648,A:A,S:S)</f>
        <v>#NAME?</v>
      </c>
      <c r="AT648" s="150" t="e">
        <f aca="false">_xlfn.xlookup(AN648,A:A,AE:AE)</f>
        <v>#NAME?</v>
      </c>
      <c r="AU648" s="150" t="e">
        <f aca="false">_xlfn.xlookup(AN648,A:A,AF:AF)</f>
        <v>#NAME?</v>
      </c>
      <c r="AX648" s="146"/>
      <c r="AY648" s="150"/>
      <c r="AZ648" s="150"/>
      <c r="BA648" s="150"/>
      <c r="BB648" s="146"/>
      <c r="BC648" s="146"/>
      <c r="BD648" s="151"/>
      <c r="BE648" s="146"/>
      <c r="BF648" s="146"/>
      <c r="BH648" s="152" t="e">
        <f aca="false">_xlfn.xlookup(BG648,A:A,F:F)</f>
        <v>#NAME?</v>
      </c>
      <c r="BI648" s="153" t="e">
        <f aca="false">_xlfn.xlookup(BG648,A:A,J:J)</f>
        <v>#NAME?</v>
      </c>
      <c r="BJ648" s="153" t="e">
        <f aca="false">_xlfn.xlookup(BG648,A:A,N:N)+_xlfn.xlookup(BG648,A:A,O:O)</f>
        <v>#NAME?</v>
      </c>
      <c r="BK648" s="153" t="e">
        <f aca="false">_xlfn.xlookup(BG648,A597:A1591,AB597:AB1591)</f>
        <v>#NAME?</v>
      </c>
      <c r="BN648" s="146"/>
      <c r="BO648" s="150"/>
      <c r="BQ648" s="153" t="str">
        <f aca="false">IF(VALUE(MONTH(C648))&lt;10,YEAR(C648)&amp;"-0"&amp;MONTH(C648),YEAR(C648)&amp;"-"&amp;MONTH(C648))</f>
        <v>1900-01</v>
      </c>
      <c r="BR648" s="153" t="n">
        <f aca="false">J648</f>
        <v>0</v>
      </c>
      <c r="BS648" s="153" t="n">
        <f aca="false">IF(ISNUMBER(FIND("-", BR648)), LEFT(BR648, FIND("-", BR648) - 1), BR648)</f>
        <v>0</v>
      </c>
      <c r="BT648" s="189" t="n">
        <f aca="false">L648-M648+O648</f>
        <v>0</v>
      </c>
    </row>
    <row r="649" s="153" customFormat="true" ht="15" hidden="false" customHeight="false" outlineLevel="0" collapsed="false">
      <c r="AN649" s="153" t="e">
        <v>#NAME?</v>
      </c>
      <c r="AO649" s="153" t="e">
        <f aca="false">_xlfn.xlookup(AN649,A:A,F:F)</f>
        <v>#NAME?</v>
      </c>
      <c r="AP649" s="153" t="e">
        <f aca="false">_xlfn.xlookup(AN649,A:A,J:J)</f>
        <v>#NAME?</v>
      </c>
      <c r="AQ649" s="153" t="e">
        <f aca="false">_xlfn.xlookup(AN649,A:A,N:N)+_xlfn.xlookup(AN649,A:A,O:O)</f>
        <v>#NAME?</v>
      </c>
      <c r="AR649" s="150" t="e">
        <f aca="false">_xlfn.xlookup(AN649,A:A,AH:AH)</f>
        <v>#NAME?</v>
      </c>
      <c r="AS649" s="150" t="e">
        <f aca="false">_xlfn.xlookup(AN649,A:A,S:S)</f>
        <v>#NAME?</v>
      </c>
      <c r="AT649" s="150" t="e">
        <f aca="false">_xlfn.xlookup(AN649,A:A,AE:AE)</f>
        <v>#NAME?</v>
      </c>
      <c r="AU649" s="150" t="e">
        <f aca="false">_xlfn.xlookup(AN649,A:A,AF:AF)</f>
        <v>#NAME?</v>
      </c>
      <c r="AX649" s="146"/>
      <c r="AY649" s="150"/>
      <c r="AZ649" s="150"/>
      <c r="BA649" s="150"/>
      <c r="BB649" s="146"/>
      <c r="BC649" s="146"/>
      <c r="BD649" s="151"/>
      <c r="BE649" s="146"/>
      <c r="BF649" s="146"/>
      <c r="BH649" s="152" t="e">
        <f aca="false">_xlfn.xlookup(BG649,A:A,F:F)</f>
        <v>#NAME?</v>
      </c>
      <c r="BI649" s="153" t="e">
        <f aca="false">_xlfn.xlookup(BG649,A:A,J:J)</f>
        <v>#NAME?</v>
      </c>
      <c r="BJ649" s="153" t="e">
        <f aca="false">_xlfn.xlookup(BG649,A:A,N:N)+_xlfn.xlookup(BG649,A:A,O:O)</f>
        <v>#NAME?</v>
      </c>
      <c r="BK649" s="153" t="e">
        <f aca="false">_xlfn.xlookup(BG649,A598:A1592,AB598:AB1592)</f>
        <v>#NAME?</v>
      </c>
      <c r="BN649" s="146"/>
      <c r="BO649" s="150"/>
      <c r="BQ649" s="153" t="str">
        <f aca="false">IF(VALUE(MONTH(C649))&lt;10,YEAR(C649)&amp;"-0"&amp;MONTH(C649),YEAR(C649)&amp;"-"&amp;MONTH(C649))</f>
        <v>1900-01</v>
      </c>
      <c r="BR649" s="153" t="n">
        <f aca="false">J649</f>
        <v>0</v>
      </c>
      <c r="BS649" s="153" t="n">
        <f aca="false">IF(ISNUMBER(FIND("-", BR649)), LEFT(BR649, FIND("-", BR649) - 1), BR649)</f>
        <v>0</v>
      </c>
      <c r="BT649" s="189" t="n">
        <f aca="false">L649-M649+O649</f>
        <v>0</v>
      </c>
    </row>
    <row r="650" s="153" customFormat="true" ht="15" hidden="false" customHeight="false" outlineLevel="0" collapsed="false">
      <c r="AN650" s="153" t="e">
        <v>#NAME?</v>
      </c>
      <c r="AO650" s="153" t="e">
        <f aca="false">_xlfn.xlookup(AN650,A:A,F:F)</f>
        <v>#NAME?</v>
      </c>
      <c r="AP650" s="153" t="e">
        <f aca="false">_xlfn.xlookup(AN650,A:A,J:J)</f>
        <v>#NAME?</v>
      </c>
      <c r="AQ650" s="153" t="e">
        <f aca="false">_xlfn.xlookup(AN650,A:A,N:N)+_xlfn.xlookup(AN650,A:A,O:O)</f>
        <v>#NAME?</v>
      </c>
      <c r="AR650" s="150" t="e">
        <f aca="false">_xlfn.xlookup(AN650,A:A,AH:AH)</f>
        <v>#NAME?</v>
      </c>
      <c r="AS650" s="150" t="e">
        <f aca="false">_xlfn.xlookup(AN650,A:A,S:S)</f>
        <v>#NAME?</v>
      </c>
      <c r="AT650" s="150" t="e">
        <f aca="false">_xlfn.xlookup(AN650,A:A,AE:AE)</f>
        <v>#NAME?</v>
      </c>
      <c r="AU650" s="150" t="e">
        <f aca="false">_xlfn.xlookup(AN650,A:A,AF:AF)</f>
        <v>#NAME?</v>
      </c>
      <c r="AX650" s="146"/>
      <c r="AY650" s="150"/>
      <c r="AZ650" s="150"/>
      <c r="BA650" s="150"/>
      <c r="BB650" s="146"/>
      <c r="BC650" s="146"/>
      <c r="BD650" s="151"/>
      <c r="BE650" s="146"/>
      <c r="BF650" s="146"/>
      <c r="BH650" s="152" t="e">
        <f aca="false">_xlfn.xlookup(BG650,A:A,F:F)</f>
        <v>#NAME?</v>
      </c>
      <c r="BI650" s="153" t="e">
        <f aca="false">_xlfn.xlookup(BG650,A:A,J:J)</f>
        <v>#NAME?</v>
      </c>
      <c r="BJ650" s="153" t="e">
        <f aca="false">_xlfn.xlookup(BG650,A:A,N:N)+_xlfn.xlookup(BG650,A:A,O:O)</f>
        <v>#NAME?</v>
      </c>
      <c r="BK650" s="153" t="e">
        <f aca="false">_xlfn.xlookup(BG650,A599:A1593,AB599:AB1593)</f>
        <v>#NAME?</v>
      </c>
      <c r="BN650" s="146"/>
      <c r="BO650" s="150"/>
      <c r="BQ650" s="153" t="str">
        <f aca="false">IF(VALUE(MONTH(C650))&lt;10,YEAR(C650)&amp;"-0"&amp;MONTH(C650),YEAR(C650)&amp;"-"&amp;MONTH(C650))</f>
        <v>1900-01</v>
      </c>
      <c r="BR650" s="153" t="n">
        <f aca="false">J650</f>
        <v>0</v>
      </c>
      <c r="BS650" s="153" t="n">
        <f aca="false">IF(ISNUMBER(FIND("-", BR650)), LEFT(BR650, FIND("-", BR650) - 1), BR650)</f>
        <v>0</v>
      </c>
      <c r="BT650" s="189" t="n">
        <f aca="false">L650-M650+O650</f>
        <v>0</v>
      </c>
    </row>
    <row r="651" s="153" customFormat="true" ht="15" hidden="false" customHeight="false" outlineLevel="0" collapsed="false">
      <c r="AN651" s="153" t="e">
        <v>#NAME?</v>
      </c>
      <c r="AO651" s="153" t="e">
        <f aca="false">_xlfn.xlookup(AN651,A:A,F:F)</f>
        <v>#NAME?</v>
      </c>
      <c r="AP651" s="153" t="e">
        <f aca="false">_xlfn.xlookup(AN651,A:A,J:J)</f>
        <v>#NAME?</v>
      </c>
      <c r="AQ651" s="153" t="e">
        <f aca="false">_xlfn.xlookup(AN651,A:A,N:N)+_xlfn.xlookup(AN651,A:A,O:O)</f>
        <v>#NAME?</v>
      </c>
      <c r="AR651" s="150" t="e">
        <f aca="false">_xlfn.xlookup(AN651,A:A,AH:AH)</f>
        <v>#NAME?</v>
      </c>
      <c r="AS651" s="150" t="e">
        <f aca="false">_xlfn.xlookup(AN651,A:A,S:S)</f>
        <v>#NAME?</v>
      </c>
      <c r="AT651" s="150" t="e">
        <f aca="false">_xlfn.xlookup(AN651,A:A,AE:AE)</f>
        <v>#NAME?</v>
      </c>
      <c r="AU651" s="150" t="e">
        <f aca="false">_xlfn.xlookup(AN651,A:A,AF:AF)</f>
        <v>#NAME?</v>
      </c>
      <c r="AX651" s="146"/>
      <c r="AY651" s="150"/>
      <c r="AZ651" s="150"/>
      <c r="BA651" s="150"/>
      <c r="BB651" s="146"/>
      <c r="BC651" s="146"/>
      <c r="BD651" s="151"/>
      <c r="BE651" s="146"/>
      <c r="BF651" s="146"/>
      <c r="BH651" s="152" t="e">
        <f aca="false">_xlfn.xlookup(BG651,A:A,F:F)</f>
        <v>#NAME?</v>
      </c>
      <c r="BI651" s="153" t="e">
        <f aca="false">_xlfn.xlookup(BG651,A:A,J:J)</f>
        <v>#NAME?</v>
      </c>
      <c r="BJ651" s="153" t="e">
        <f aca="false">_xlfn.xlookup(BG651,A:A,N:N)+_xlfn.xlookup(BG651,A:A,O:O)</f>
        <v>#NAME?</v>
      </c>
      <c r="BK651" s="153" t="e">
        <f aca="false">_xlfn.xlookup(BG651,A600:A1594,AB600:AB1594)</f>
        <v>#NAME?</v>
      </c>
      <c r="BN651" s="146"/>
      <c r="BO651" s="150"/>
      <c r="BQ651" s="153" t="str">
        <f aca="false">IF(VALUE(MONTH(C651))&lt;10,YEAR(C651)&amp;"-0"&amp;MONTH(C651),YEAR(C651)&amp;"-"&amp;MONTH(C651))</f>
        <v>1900-01</v>
      </c>
      <c r="BR651" s="153" t="n">
        <f aca="false">J651</f>
        <v>0</v>
      </c>
      <c r="BS651" s="153" t="n">
        <f aca="false">IF(ISNUMBER(FIND("-", BR651)), LEFT(BR651, FIND("-", BR651) - 1), BR651)</f>
        <v>0</v>
      </c>
      <c r="BT651" s="189" t="n">
        <f aca="false">L651-M651+O651</f>
        <v>0</v>
      </c>
    </row>
    <row r="652" s="153" customFormat="true" ht="15" hidden="false" customHeight="false" outlineLevel="0" collapsed="false">
      <c r="AN652" s="153" t="e">
        <v>#NAME?</v>
      </c>
      <c r="AO652" s="153" t="e">
        <f aca="false">_xlfn.xlookup(AN652,A:A,F:F)</f>
        <v>#NAME?</v>
      </c>
      <c r="AP652" s="153" t="e">
        <f aca="false">_xlfn.xlookup(AN652,A:A,J:J)</f>
        <v>#NAME?</v>
      </c>
      <c r="AQ652" s="153" t="e">
        <f aca="false">_xlfn.xlookup(AN652,A:A,N:N)+_xlfn.xlookup(AN652,A:A,O:O)</f>
        <v>#NAME?</v>
      </c>
      <c r="AR652" s="150" t="e">
        <f aca="false">_xlfn.xlookup(AN652,A:A,AH:AH)</f>
        <v>#NAME?</v>
      </c>
      <c r="AS652" s="150" t="e">
        <f aca="false">_xlfn.xlookup(AN652,A:A,S:S)</f>
        <v>#NAME?</v>
      </c>
      <c r="AT652" s="150" t="e">
        <f aca="false">_xlfn.xlookup(AN652,A:A,AE:AE)</f>
        <v>#NAME?</v>
      </c>
      <c r="AU652" s="150" t="e">
        <f aca="false">_xlfn.xlookup(AN652,A:A,AF:AF)</f>
        <v>#NAME?</v>
      </c>
      <c r="AX652" s="146"/>
      <c r="AY652" s="150"/>
      <c r="AZ652" s="150"/>
      <c r="BA652" s="150"/>
      <c r="BB652" s="146"/>
      <c r="BC652" s="146"/>
      <c r="BD652" s="151"/>
      <c r="BE652" s="146"/>
      <c r="BF652" s="146"/>
      <c r="BH652" s="152" t="e">
        <f aca="false">_xlfn.xlookup(BG652,A:A,F:F)</f>
        <v>#NAME?</v>
      </c>
      <c r="BI652" s="153" t="e">
        <f aca="false">_xlfn.xlookup(BG652,A:A,J:J)</f>
        <v>#NAME?</v>
      </c>
      <c r="BJ652" s="153" t="e">
        <f aca="false">_xlfn.xlookup(BG652,A:A,N:N)+_xlfn.xlookup(BG652,A:A,O:O)</f>
        <v>#NAME?</v>
      </c>
      <c r="BK652" s="153" t="e">
        <f aca="false">_xlfn.xlookup(BG652,A601:A1595,AB601:AB1595)</f>
        <v>#NAME?</v>
      </c>
      <c r="BN652" s="146"/>
      <c r="BO652" s="150"/>
      <c r="BQ652" s="153" t="str">
        <f aca="false">IF(VALUE(MONTH(C652))&lt;10,YEAR(C652)&amp;"-0"&amp;MONTH(C652),YEAR(C652)&amp;"-"&amp;MONTH(C652))</f>
        <v>1900-01</v>
      </c>
      <c r="BR652" s="153" t="n">
        <f aca="false">J652</f>
        <v>0</v>
      </c>
      <c r="BS652" s="153" t="n">
        <f aca="false">IF(ISNUMBER(FIND("-", BR652)), LEFT(BR652, FIND("-", BR652) - 1), BR652)</f>
        <v>0</v>
      </c>
      <c r="BT652" s="189" t="n">
        <f aca="false">L652-M652+O652</f>
        <v>0</v>
      </c>
    </row>
    <row r="653" s="153" customFormat="true" ht="15" hidden="false" customHeight="false" outlineLevel="0" collapsed="false">
      <c r="AN653" s="153" t="e">
        <v>#NAME?</v>
      </c>
      <c r="AO653" s="153" t="e">
        <f aca="false">_xlfn.xlookup(AN653,A:A,F:F)</f>
        <v>#NAME?</v>
      </c>
      <c r="AP653" s="153" t="e">
        <f aca="false">_xlfn.xlookup(AN653,A:A,J:J)</f>
        <v>#NAME?</v>
      </c>
      <c r="AQ653" s="153" t="e">
        <f aca="false">_xlfn.xlookup(AN653,A:A,N:N)+_xlfn.xlookup(AN653,A:A,O:O)</f>
        <v>#NAME?</v>
      </c>
      <c r="AR653" s="150" t="e">
        <f aca="false">_xlfn.xlookup(AN653,A:A,AH:AH)</f>
        <v>#NAME?</v>
      </c>
      <c r="AS653" s="150" t="e">
        <f aca="false">_xlfn.xlookup(AN653,A:A,S:S)</f>
        <v>#NAME?</v>
      </c>
      <c r="AT653" s="150" t="e">
        <f aca="false">_xlfn.xlookup(AN653,A:A,AE:AE)</f>
        <v>#NAME?</v>
      </c>
      <c r="AU653" s="150" t="e">
        <f aca="false">_xlfn.xlookup(AN653,A:A,AF:AF)</f>
        <v>#NAME?</v>
      </c>
      <c r="AX653" s="146"/>
      <c r="AY653" s="150"/>
      <c r="AZ653" s="150"/>
      <c r="BA653" s="150"/>
      <c r="BB653" s="146"/>
      <c r="BC653" s="146"/>
      <c r="BD653" s="151"/>
      <c r="BE653" s="146"/>
      <c r="BF653" s="146"/>
      <c r="BH653" s="152" t="e">
        <f aca="false">_xlfn.xlookup(BG653,A:A,F:F)</f>
        <v>#NAME?</v>
      </c>
      <c r="BI653" s="153" t="e">
        <f aca="false">_xlfn.xlookup(BG653,A:A,J:J)</f>
        <v>#NAME?</v>
      </c>
      <c r="BJ653" s="153" t="e">
        <f aca="false">_xlfn.xlookup(BG653,A:A,N:N)+_xlfn.xlookup(BG653,A:A,O:O)</f>
        <v>#NAME?</v>
      </c>
      <c r="BK653" s="153" t="e">
        <f aca="false">_xlfn.xlookup(BG653,A602:A1596,AB602:AB1596)</f>
        <v>#NAME?</v>
      </c>
      <c r="BN653" s="146"/>
      <c r="BO653" s="150"/>
      <c r="BQ653" s="153" t="str">
        <f aca="false">IF(VALUE(MONTH(C653))&lt;10,YEAR(C653)&amp;"-0"&amp;MONTH(C653),YEAR(C653)&amp;"-"&amp;MONTH(C653))</f>
        <v>1900-01</v>
      </c>
      <c r="BR653" s="153" t="n">
        <f aca="false">J653</f>
        <v>0</v>
      </c>
      <c r="BS653" s="153" t="n">
        <f aca="false">IF(ISNUMBER(FIND("-", BR653)), LEFT(BR653, FIND("-", BR653) - 1), BR653)</f>
        <v>0</v>
      </c>
      <c r="BT653" s="189" t="n">
        <f aca="false">L653-M653+O653</f>
        <v>0</v>
      </c>
    </row>
    <row r="654" s="153" customFormat="true" ht="15" hidden="false" customHeight="false" outlineLevel="0" collapsed="false">
      <c r="AN654" s="153" t="e">
        <v>#NAME?</v>
      </c>
      <c r="AO654" s="153" t="e">
        <f aca="false">_xlfn.xlookup(AN654,A:A,F:F)</f>
        <v>#NAME?</v>
      </c>
      <c r="AP654" s="153" t="e">
        <f aca="false">_xlfn.xlookup(AN654,A:A,J:J)</f>
        <v>#NAME?</v>
      </c>
      <c r="AQ654" s="153" t="e">
        <f aca="false">_xlfn.xlookup(AN654,A:A,N:N)+_xlfn.xlookup(AN654,A:A,O:O)</f>
        <v>#NAME?</v>
      </c>
      <c r="AR654" s="150" t="e">
        <f aca="false">_xlfn.xlookup(AN654,A:A,AH:AH)</f>
        <v>#NAME?</v>
      </c>
      <c r="AS654" s="150" t="e">
        <f aca="false">_xlfn.xlookup(AN654,A:A,S:S)</f>
        <v>#NAME?</v>
      </c>
      <c r="AT654" s="150" t="e">
        <f aca="false">_xlfn.xlookup(AN654,A:A,AE:AE)</f>
        <v>#NAME?</v>
      </c>
      <c r="AU654" s="150" t="e">
        <f aca="false">_xlfn.xlookup(AN654,A:A,AF:AF)</f>
        <v>#NAME?</v>
      </c>
      <c r="AX654" s="146"/>
      <c r="AY654" s="150"/>
      <c r="AZ654" s="150"/>
      <c r="BA654" s="150"/>
      <c r="BB654" s="146"/>
      <c r="BC654" s="146"/>
      <c r="BD654" s="151"/>
      <c r="BE654" s="146"/>
      <c r="BF654" s="146"/>
      <c r="BH654" s="152" t="e">
        <f aca="false">_xlfn.xlookup(BG654,A:A,F:F)</f>
        <v>#NAME?</v>
      </c>
      <c r="BI654" s="153" t="e">
        <f aca="false">_xlfn.xlookup(BG654,A:A,J:J)</f>
        <v>#NAME?</v>
      </c>
      <c r="BJ654" s="153" t="e">
        <f aca="false">_xlfn.xlookup(BG654,A:A,N:N)+_xlfn.xlookup(BG654,A:A,O:O)</f>
        <v>#NAME?</v>
      </c>
      <c r="BK654" s="153" t="e">
        <f aca="false">_xlfn.xlookup(BG654,A603:A1597,AB603:AB1597)</f>
        <v>#NAME?</v>
      </c>
      <c r="BN654" s="146"/>
      <c r="BO654" s="150"/>
      <c r="BQ654" s="153" t="str">
        <f aca="false">IF(VALUE(MONTH(C654))&lt;10,YEAR(C654)&amp;"-0"&amp;MONTH(C654),YEAR(C654)&amp;"-"&amp;MONTH(C654))</f>
        <v>1900-01</v>
      </c>
      <c r="BR654" s="153" t="n">
        <f aca="false">J654</f>
        <v>0</v>
      </c>
      <c r="BS654" s="153" t="n">
        <f aca="false">IF(ISNUMBER(FIND("-", BR654)), LEFT(BR654, FIND("-", BR654) - 1), BR654)</f>
        <v>0</v>
      </c>
      <c r="BT654" s="189" t="n">
        <f aca="false">L654-M654+O654</f>
        <v>0</v>
      </c>
    </row>
    <row r="655" s="153" customFormat="true" ht="15" hidden="false" customHeight="false" outlineLevel="0" collapsed="false">
      <c r="AN655" s="153" t="e">
        <v>#NAME?</v>
      </c>
      <c r="AO655" s="153" t="e">
        <f aca="false">_xlfn.xlookup(AN655,A:A,F:F)</f>
        <v>#NAME?</v>
      </c>
      <c r="AP655" s="153" t="e">
        <f aca="false">_xlfn.xlookup(AN655,A:A,J:J)</f>
        <v>#NAME?</v>
      </c>
      <c r="AQ655" s="153" t="e">
        <f aca="false">_xlfn.xlookup(AN655,A:A,N:N)+_xlfn.xlookup(AN655,A:A,O:O)</f>
        <v>#NAME?</v>
      </c>
      <c r="AR655" s="150" t="e">
        <f aca="false">_xlfn.xlookup(AN655,A:A,AH:AH)</f>
        <v>#NAME?</v>
      </c>
      <c r="AS655" s="150" t="e">
        <f aca="false">_xlfn.xlookup(AN655,A:A,S:S)</f>
        <v>#NAME?</v>
      </c>
      <c r="AT655" s="150" t="e">
        <f aca="false">_xlfn.xlookup(AN655,A:A,AE:AE)</f>
        <v>#NAME?</v>
      </c>
      <c r="AU655" s="150" t="e">
        <f aca="false">_xlfn.xlookup(AN655,A:A,AF:AF)</f>
        <v>#NAME?</v>
      </c>
      <c r="AX655" s="146"/>
      <c r="AY655" s="150"/>
      <c r="AZ655" s="150"/>
      <c r="BA655" s="150"/>
      <c r="BB655" s="146"/>
      <c r="BC655" s="146"/>
      <c r="BD655" s="151"/>
      <c r="BE655" s="146"/>
      <c r="BF655" s="146"/>
      <c r="BH655" s="152" t="e">
        <f aca="false">_xlfn.xlookup(BG655,A:A,F:F)</f>
        <v>#NAME?</v>
      </c>
      <c r="BI655" s="153" t="e">
        <f aca="false">_xlfn.xlookup(BG655,A:A,J:J)</f>
        <v>#NAME?</v>
      </c>
      <c r="BJ655" s="153" t="e">
        <f aca="false">_xlfn.xlookup(BG655,A:A,N:N)+_xlfn.xlookup(BG655,A:A,O:O)</f>
        <v>#NAME?</v>
      </c>
      <c r="BK655" s="153" t="e">
        <f aca="false">_xlfn.xlookup(BG655,A604:A1598,AB604:AB1598)</f>
        <v>#NAME?</v>
      </c>
      <c r="BN655" s="146"/>
      <c r="BO655" s="150"/>
      <c r="BQ655" s="153" t="str">
        <f aca="false">IF(VALUE(MONTH(C655))&lt;10,YEAR(C655)&amp;"-0"&amp;MONTH(C655),YEAR(C655)&amp;"-"&amp;MONTH(C655))</f>
        <v>1900-01</v>
      </c>
      <c r="BR655" s="153" t="n">
        <f aca="false">J655</f>
        <v>0</v>
      </c>
      <c r="BS655" s="153" t="n">
        <f aca="false">IF(ISNUMBER(FIND("-", BR655)), LEFT(BR655, FIND("-", BR655) - 1), BR655)</f>
        <v>0</v>
      </c>
      <c r="BT655" s="189" t="n">
        <f aca="false">L655-M655+O655</f>
        <v>0</v>
      </c>
    </row>
    <row r="656" s="153" customFormat="true" ht="15" hidden="false" customHeight="false" outlineLevel="0" collapsed="false">
      <c r="AN656" s="153" t="e">
        <v>#NAME?</v>
      </c>
      <c r="AO656" s="153" t="e">
        <f aca="false">_xlfn.xlookup(AN656,A:A,F:F)</f>
        <v>#NAME?</v>
      </c>
      <c r="AP656" s="153" t="e">
        <f aca="false">_xlfn.xlookup(AN656,A:A,J:J)</f>
        <v>#NAME?</v>
      </c>
      <c r="AQ656" s="153" t="e">
        <f aca="false">_xlfn.xlookup(AN656,A:A,N:N)+_xlfn.xlookup(AN656,A:A,O:O)</f>
        <v>#NAME?</v>
      </c>
      <c r="AR656" s="150" t="e">
        <f aca="false">_xlfn.xlookup(AN656,A:A,AH:AH)</f>
        <v>#NAME?</v>
      </c>
      <c r="AS656" s="150" t="e">
        <f aca="false">_xlfn.xlookup(AN656,A:A,S:S)</f>
        <v>#NAME?</v>
      </c>
      <c r="AT656" s="150" t="e">
        <f aca="false">_xlfn.xlookup(AN656,A:A,AE:AE)</f>
        <v>#NAME?</v>
      </c>
      <c r="AU656" s="150" t="e">
        <f aca="false">_xlfn.xlookup(AN656,A:A,AF:AF)</f>
        <v>#NAME?</v>
      </c>
      <c r="AX656" s="146"/>
      <c r="AY656" s="150"/>
      <c r="AZ656" s="150"/>
      <c r="BA656" s="150"/>
      <c r="BB656" s="146"/>
      <c r="BC656" s="146"/>
      <c r="BD656" s="151"/>
      <c r="BE656" s="146"/>
      <c r="BF656" s="146"/>
      <c r="BH656" s="152" t="e">
        <f aca="false">_xlfn.xlookup(BG656,A:A,F:F)</f>
        <v>#NAME?</v>
      </c>
      <c r="BI656" s="153" t="e">
        <f aca="false">_xlfn.xlookup(BG656,A:A,J:J)</f>
        <v>#NAME?</v>
      </c>
      <c r="BJ656" s="153" t="e">
        <f aca="false">_xlfn.xlookup(BG656,A:A,N:N)+_xlfn.xlookup(BG656,A:A,O:O)</f>
        <v>#NAME?</v>
      </c>
      <c r="BK656" s="153" t="e">
        <f aca="false">_xlfn.xlookup(BG656,A605:A1599,AB605:AB1599)</f>
        <v>#NAME?</v>
      </c>
      <c r="BN656" s="146"/>
      <c r="BO656" s="150"/>
      <c r="BQ656" s="153" t="str">
        <f aca="false">IF(VALUE(MONTH(C656))&lt;10,YEAR(C656)&amp;"-0"&amp;MONTH(C656),YEAR(C656)&amp;"-"&amp;MONTH(C656))</f>
        <v>1900-01</v>
      </c>
      <c r="BR656" s="153" t="n">
        <f aca="false">J656</f>
        <v>0</v>
      </c>
      <c r="BS656" s="153" t="n">
        <f aca="false">IF(ISNUMBER(FIND("-", BR656)), LEFT(BR656, FIND("-", BR656) - 1), BR656)</f>
        <v>0</v>
      </c>
      <c r="BT656" s="189" t="n">
        <f aca="false">L656-M656+O656</f>
        <v>0</v>
      </c>
    </row>
    <row r="657" s="153" customFormat="true" ht="15" hidden="false" customHeight="false" outlineLevel="0" collapsed="false">
      <c r="AN657" s="153" t="e">
        <v>#NAME?</v>
      </c>
      <c r="AO657" s="153" t="e">
        <f aca="false">_xlfn.xlookup(AN657,A:A,F:F)</f>
        <v>#NAME?</v>
      </c>
      <c r="AP657" s="153" t="e">
        <f aca="false">_xlfn.xlookup(AN657,A:A,J:J)</f>
        <v>#NAME?</v>
      </c>
      <c r="AQ657" s="153" t="e">
        <f aca="false">_xlfn.xlookup(AN657,A:A,N:N)+_xlfn.xlookup(AN657,A:A,O:O)</f>
        <v>#NAME?</v>
      </c>
      <c r="AR657" s="150" t="e">
        <f aca="false">_xlfn.xlookup(AN657,A:A,AH:AH)</f>
        <v>#NAME?</v>
      </c>
      <c r="AS657" s="150" t="e">
        <f aca="false">_xlfn.xlookup(AN657,A:A,S:S)</f>
        <v>#NAME?</v>
      </c>
      <c r="AT657" s="150" t="e">
        <f aca="false">_xlfn.xlookup(AN657,A:A,AE:AE)</f>
        <v>#NAME?</v>
      </c>
      <c r="AU657" s="150" t="e">
        <f aca="false">_xlfn.xlookup(AN657,A:A,AF:AF)</f>
        <v>#NAME?</v>
      </c>
      <c r="AX657" s="146"/>
      <c r="AY657" s="150"/>
      <c r="AZ657" s="150"/>
      <c r="BA657" s="150"/>
      <c r="BB657" s="146"/>
      <c r="BC657" s="146"/>
      <c r="BD657" s="151"/>
      <c r="BE657" s="146"/>
      <c r="BF657" s="146"/>
      <c r="BH657" s="152" t="e">
        <f aca="false">_xlfn.xlookup(BG657,A:A,F:F)</f>
        <v>#NAME?</v>
      </c>
      <c r="BI657" s="153" t="e">
        <f aca="false">_xlfn.xlookup(BG657,A:A,J:J)</f>
        <v>#NAME?</v>
      </c>
      <c r="BJ657" s="153" t="e">
        <f aca="false">_xlfn.xlookup(BG657,A:A,N:N)+_xlfn.xlookup(BG657,A:A,O:O)</f>
        <v>#NAME?</v>
      </c>
      <c r="BK657" s="153" t="e">
        <f aca="false">_xlfn.xlookup(BG657,A606:A1600,AB606:AB1600)</f>
        <v>#NAME?</v>
      </c>
      <c r="BN657" s="146"/>
      <c r="BO657" s="150"/>
      <c r="BQ657" s="153" t="str">
        <f aca="false">IF(VALUE(MONTH(C657))&lt;10,YEAR(C657)&amp;"-0"&amp;MONTH(C657),YEAR(C657)&amp;"-"&amp;MONTH(C657))</f>
        <v>1900-01</v>
      </c>
      <c r="BR657" s="153" t="n">
        <f aca="false">J657</f>
        <v>0</v>
      </c>
      <c r="BS657" s="153" t="n">
        <f aca="false">IF(ISNUMBER(FIND("-", BR657)), LEFT(BR657, FIND("-", BR657) - 1), BR657)</f>
        <v>0</v>
      </c>
      <c r="BT657" s="189" t="n">
        <f aca="false">L657-M657+O657</f>
        <v>0</v>
      </c>
    </row>
    <row r="658" s="153" customFormat="true" ht="15" hidden="false" customHeight="false" outlineLevel="0" collapsed="false">
      <c r="AN658" s="153" t="e">
        <v>#NAME?</v>
      </c>
      <c r="AO658" s="153" t="e">
        <f aca="false">_xlfn.xlookup(AN658,A:A,F:F)</f>
        <v>#NAME?</v>
      </c>
      <c r="AP658" s="153" t="e">
        <f aca="false">_xlfn.xlookup(AN658,A:A,J:J)</f>
        <v>#NAME?</v>
      </c>
      <c r="AQ658" s="153" t="e">
        <f aca="false">_xlfn.xlookup(AN658,A:A,N:N)+_xlfn.xlookup(AN658,A:A,O:O)</f>
        <v>#NAME?</v>
      </c>
      <c r="AR658" s="150" t="e">
        <f aca="false">_xlfn.xlookup(AN658,A:A,AH:AH)</f>
        <v>#NAME?</v>
      </c>
      <c r="AS658" s="150" t="e">
        <f aca="false">_xlfn.xlookup(AN658,A:A,S:S)</f>
        <v>#NAME?</v>
      </c>
      <c r="AT658" s="150" t="e">
        <f aca="false">_xlfn.xlookup(AN658,A:A,AE:AE)</f>
        <v>#NAME?</v>
      </c>
      <c r="AU658" s="150" t="e">
        <f aca="false">_xlfn.xlookup(AN658,A:A,AF:AF)</f>
        <v>#NAME?</v>
      </c>
      <c r="AX658" s="146"/>
      <c r="AY658" s="150"/>
      <c r="AZ658" s="150"/>
      <c r="BA658" s="150"/>
      <c r="BB658" s="146"/>
      <c r="BC658" s="146"/>
      <c r="BD658" s="151"/>
      <c r="BE658" s="146"/>
      <c r="BF658" s="146"/>
      <c r="BH658" s="152" t="e">
        <f aca="false">_xlfn.xlookup(BG658,A:A,F:F)</f>
        <v>#NAME?</v>
      </c>
      <c r="BI658" s="153" t="e">
        <f aca="false">_xlfn.xlookup(BG658,A:A,J:J)</f>
        <v>#NAME?</v>
      </c>
      <c r="BJ658" s="153" t="e">
        <f aca="false">_xlfn.xlookup(BG658,A:A,N:N)+_xlfn.xlookup(BG658,A:A,O:O)</f>
        <v>#NAME?</v>
      </c>
      <c r="BK658" s="153" t="e">
        <f aca="false">_xlfn.xlookup(BG658,A607:A1601,AB607:AB1601)</f>
        <v>#NAME?</v>
      </c>
      <c r="BN658" s="146"/>
      <c r="BO658" s="150"/>
      <c r="BQ658" s="153" t="str">
        <f aca="false">IF(VALUE(MONTH(C658))&lt;10,YEAR(C658)&amp;"-0"&amp;MONTH(C658),YEAR(C658)&amp;"-"&amp;MONTH(C658))</f>
        <v>1900-01</v>
      </c>
      <c r="BR658" s="153" t="n">
        <f aca="false">J658</f>
        <v>0</v>
      </c>
      <c r="BS658" s="153" t="n">
        <f aca="false">IF(ISNUMBER(FIND("-", BR658)), LEFT(BR658, FIND("-", BR658) - 1), BR658)</f>
        <v>0</v>
      </c>
      <c r="BT658" s="189" t="n">
        <f aca="false">L658-M658+O658</f>
        <v>0</v>
      </c>
    </row>
    <row r="659" s="153" customFormat="true" ht="15" hidden="false" customHeight="false" outlineLevel="0" collapsed="false">
      <c r="AN659" s="153" t="e">
        <v>#NAME?</v>
      </c>
      <c r="AO659" s="153" t="e">
        <f aca="false">_xlfn.xlookup(AN659,A:A,F:F)</f>
        <v>#NAME?</v>
      </c>
      <c r="AP659" s="153" t="e">
        <f aca="false">_xlfn.xlookup(AN659,A:A,J:J)</f>
        <v>#NAME?</v>
      </c>
      <c r="AQ659" s="153" t="e">
        <f aca="false">_xlfn.xlookup(AN659,A:A,N:N)+_xlfn.xlookup(AN659,A:A,O:O)</f>
        <v>#NAME?</v>
      </c>
      <c r="AR659" s="150" t="e">
        <f aca="false">_xlfn.xlookup(AN659,A:A,AH:AH)</f>
        <v>#NAME?</v>
      </c>
      <c r="AS659" s="150" t="e">
        <f aca="false">_xlfn.xlookup(AN659,A:A,S:S)</f>
        <v>#NAME?</v>
      </c>
      <c r="AT659" s="150" t="e">
        <f aca="false">_xlfn.xlookup(AN659,A:A,AE:AE)</f>
        <v>#NAME?</v>
      </c>
      <c r="AU659" s="150" t="e">
        <f aca="false">_xlfn.xlookup(AN659,A:A,AF:AF)</f>
        <v>#NAME?</v>
      </c>
      <c r="AX659" s="146"/>
      <c r="AY659" s="150"/>
      <c r="AZ659" s="150"/>
      <c r="BA659" s="150"/>
      <c r="BB659" s="146"/>
      <c r="BC659" s="146"/>
      <c r="BD659" s="151"/>
      <c r="BE659" s="146"/>
      <c r="BF659" s="146"/>
      <c r="BH659" s="152" t="e">
        <f aca="false">_xlfn.xlookup(BG659,A:A,F:F)</f>
        <v>#NAME?</v>
      </c>
      <c r="BI659" s="153" t="e">
        <f aca="false">_xlfn.xlookup(BG659,A:A,J:J)</f>
        <v>#NAME?</v>
      </c>
      <c r="BJ659" s="153" t="e">
        <f aca="false">_xlfn.xlookup(BG659,A:A,N:N)+_xlfn.xlookup(BG659,A:A,O:O)</f>
        <v>#NAME?</v>
      </c>
      <c r="BK659" s="153" t="e">
        <f aca="false">_xlfn.xlookup(BG659,A608:A1602,AB608:AB1602)</f>
        <v>#NAME?</v>
      </c>
      <c r="BN659" s="146"/>
      <c r="BO659" s="150"/>
      <c r="BQ659" s="153" t="str">
        <f aca="false">IF(VALUE(MONTH(C659))&lt;10,YEAR(C659)&amp;"-0"&amp;MONTH(C659),YEAR(C659)&amp;"-"&amp;MONTH(C659))</f>
        <v>1900-01</v>
      </c>
      <c r="BR659" s="153" t="n">
        <f aca="false">J659</f>
        <v>0</v>
      </c>
      <c r="BS659" s="153" t="n">
        <f aca="false">IF(ISNUMBER(FIND("-", BR659)), LEFT(BR659, FIND("-", BR659) - 1), BR659)</f>
        <v>0</v>
      </c>
      <c r="BT659" s="189" t="n">
        <f aca="false">L659-M659+O659</f>
        <v>0</v>
      </c>
    </row>
    <row r="660" s="153" customFormat="true" ht="15" hidden="false" customHeight="false" outlineLevel="0" collapsed="false">
      <c r="AN660" s="153" t="e">
        <v>#NAME?</v>
      </c>
      <c r="AO660" s="153" t="e">
        <f aca="false">_xlfn.xlookup(AN660,A:A,F:F)</f>
        <v>#NAME?</v>
      </c>
      <c r="AP660" s="153" t="e">
        <f aca="false">_xlfn.xlookup(AN660,A:A,J:J)</f>
        <v>#NAME?</v>
      </c>
      <c r="AQ660" s="153" t="e">
        <f aca="false">_xlfn.xlookup(AN660,A:A,N:N)+_xlfn.xlookup(AN660,A:A,O:O)</f>
        <v>#NAME?</v>
      </c>
      <c r="AR660" s="150" t="e">
        <f aca="false">_xlfn.xlookup(AN660,A:A,AH:AH)</f>
        <v>#NAME?</v>
      </c>
      <c r="AS660" s="150" t="e">
        <f aca="false">_xlfn.xlookup(AN660,A:A,S:S)</f>
        <v>#NAME?</v>
      </c>
      <c r="AT660" s="150" t="e">
        <f aca="false">_xlfn.xlookup(AN660,A:A,AE:AE)</f>
        <v>#NAME?</v>
      </c>
      <c r="AU660" s="150" t="e">
        <f aca="false">_xlfn.xlookup(AN660,A:A,AF:AF)</f>
        <v>#NAME?</v>
      </c>
      <c r="AX660" s="146"/>
      <c r="AY660" s="150"/>
      <c r="AZ660" s="150"/>
      <c r="BA660" s="150"/>
      <c r="BB660" s="146"/>
      <c r="BC660" s="146"/>
      <c r="BD660" s="151"/>
      <c r="BE660" s="146"/>
      <c r="BF660" s="146"/>
      <c r="BH660" s="152" t="e">
        <f aca="false">_xlfn.xlookup(BG660,A:A,F:F)</f>
        <v>#NAME?</v>
      </c>
      <c r="BI660" s="153" t="e">
        <f aca="false">_xlfn.xlookup(BG660,A:A,J:J)</f>
        <v>#NAME?</v>
      </c>
      <c r="BJ660" s="153" t="e">
        <f aca="false">_xlfn.xlookup(BG660,A:A,N:N)+_xlfn.xlookup(BG660,A:A,O:O)</f>
        <v>#NAME?</v>
      </c>
      <c r="BK660" s="153" t="e">
        <f aca="false">_xlfn.xlookup(BG660,A609:A1603,AB609:AB1603)</f>
        <v>#NAME?</v>
      </c>
      <c r="BN660" s="146"/>
      <c r="BO660" s="150"/>
      <c r="BQ660" s="153" t="str">
        <f aca="false">IF(VALUE(MONTH(C660))&lt;10,YEAR(C660)&amp;"-0"&amp;MONTH(C660),YEAR(C660)&amp;"-"&amp;MONTH(C660))</f>
        <v>1900-01</v>
      </c>
      <c r="BR660" s="153" t="n">
        <f aca="false">J660</f>
        <v>0</v>
      </c>
      <c r="BS660" s="153" t="n">
        <f aca="false">IF(ISNUMBER(FIND("-", BR660)), LEFT(BR660, FIND("-", BR660) - 1), BR660)</f>
        <v>0</v>
      </c>
      <c r="BT660" s="189" t="n">
        <f aca="false">L660-M660+O660</f>
        <v>0</v>
      </c>
    </row>
    <row r="661" s="153" customFormat="true" ht="15" hidden="false" customHeight="false" outlineLevel="0" collapsed="false">
      <c r="AN661" s="153" t="e">
        <v>#NAME?</v>
      </c>
      <c r="AO661" s="153" t="e">
        <f aca="false">_xlfn.xlookup(AN661,A:A,F:F)</f>
        <v>#NAME?</v>
      </c>
      <c r="AP661" s="153" t="e">
        <f aca="false">_xlfn.xlookup(AN661,A:A,J:J)</f>
        <v>#NAME?</v>
      </c>
      <c r="AQ661" s="153" t="e">
        <f aca="false">_xlfn.xlookup(AN661,A:A,N:N)+_xlfn.xlookup(AN661,A:A,O:O)</f>
        <v>#NAME?</v>
      </c>
      <c r="AR661" s="150" t="e">
        <f aca="false">_xlfn.xlookup(AN661,A:A,AH:AH)</f>
        <v>#NAME?</v>
      </c>
      <c r="AS661" s="150" t="e">
        <f aca="false">_xlfn.xlookup(AN661,A:A,S:S)</f>
        <v>#NAME?</v>
      </c>
      <c r="AT661" s="150" t="e">
        <f aca="false">_xlfn.xlookup(AN661,A:A,AE:AE)</f>
        <v>#NAME?</v>
      </c>
      <c r="AU661" s="150" t="e">
        <f aca="false">_xlfn.xlookup(AN661,A:A,AF:AF)</f>
        <v>#NAME?</v>
      </c>
      <c r="AX661" s="146"/>
      <c r="AY661" s="150"/>
      <c r="AZ661" s="150"/>
      <c r="BA661" s="150"/>
      <c r="BB661" s="146"/>
      <c r="BC661" s="146"/>
      <c r="BD661" s="151"/>
      <c r="BE661" s="146"/>
      <c r="BF661" s="146"/>
      <c r="BH661" s="152" t="e">
        <f aca="false">_xlfn.xlookup(BG661,A:A,F:F)</f>
        <v>#NAME?</v>
      </c>
      <c r="BI661" s="153" t="e">
        <f aca="false">_xlfn.xlookup(BG661,A:A,J:J)</f>
        <v>#NAME?</v>
      </c>
      <c r="BJ661" s="153" t="e">
        <f aca="false">_xlfn.xlookup(BG661,A:A,N:N)+_xlfn.xlookup(BG661,A:A,O:O)</f>
        <v>#NAME?</v>
      </c>
      <c r="BK661" s="153" t="e">
        <f aca="false">_xlfn.xlookup(BG661,A610:A1604,AB610:AB1604)</f>
        <v>#NAME?</v>
      </c>
      <c r="BN661" s="146"/>
      <c r="BO661" s="150"/>
      <c r="BQ661" s="153" t="str">
        <f aca="false">IF(VALUE(MONTH(C661))&lt;10,YEAR(C661)&amp;"-0"&amp;MONTH(C661),YEAR(C661)&amp;"-"&amp;MONTH(C661))</f>
        <v>1900-01</v>
      </c>
      <c r="BR661" s="153" t="n">
        <f aca="false">J661</f>
        <v>0</v>
      </c>
      <c r="BS661" s="153" t="n">
        <f aca="false">IF(ISNUMBER(FIND("-", BR661)), LEFT(BR661, FIND("-", BR661) - 1), BR661)</f>
        <v>0</v>
      </c>
      <c r="BT661" s="189" t="n">
        <f aca="false">L661-M661+O661</f>
        <v>0</v>
      </c>
    </row>
    <row r="662" s="153" customFormat="true" ht="15" hidden="false" customHeight="false" outlineLevel="0" collapsed="false">
      <c r="AN662" s="153" t="e">
        <v>#NAME?</v>
      </c>
      <c r="AO662" s="153" t="e">
        <f aca="false">_xlfn.xlookup(AN662,A:A,F:F)</f>
        <v>#NAME?</v>
      </c>
      <c r="AP662" s="153" t="e">
        <f aca="false">_xlfn.xlookup(AN662,A:A,J:J)</f>
        <v>#NAME?</v>
      </c>
      <c r="AQ662" s="153" t="e">
        <f aca="false">_xlfn.xlookup(AN662,A:A,N:N)+_xlfn.xlookup(AN662,A:A,O:O)</f>
        <v>#NAME?</v>
      </c>
      <c r="AR662" s="150" t="e">
        <f aca="false">_xlfn.xlookup(AN662,A:A,AH:AH)</f>
        <v>#NAME?</v>
      </c>
      <c r="AS662" s="150" t="e">
        <f aca="false">_xlfn.xlookup(AN662,A:A,S:S)</f>
        <v>#NAME?</v>
      </c>
      <c r="AT662" s="150" t="e">
        <f aca="false">_xlfn.xlookup(AN662,A:A,AE:AE)</f>
        <v>#NAME?</v>
      </c>
      <c r="AU662" s="150" t="e">
        <f aca="false">_xlfn.xlookup(AN662,A:A,AF:AF)</f>
        <v>#NAME?</v>
      </c>
      <c r="AX662" s="146"/>
      <c r="AY662" s="150"/>
      <c r="AZ662" s="150"/>
      <c r="BA662" s="150"/>
      <c r="BB662" s="146"/>
      <c r="BC662" s="146"/>
      <c r="BD662" s="151"/>
      <c r="BE662" s="146"/>
      <c r="BF662" s="146"/>
      <c r="BH662" s="152" t="e">
        <f aca="false">_xlfn.xlookup(BG662,A:A,F:F)</f>
        <v>#NAME?</v>
      </c>
      <c r="BI662" s="153" t="e">
        <f aca="false">_xlfn.xlookup(BG662,A:A,J:J)</f>
        <v>#NAME?</v>
      </c>
      <c r="BJ662" s="153" t="e">
        <f aca="false">_xlfn.xlookup(BG662,A:A,N:N)+_xlfn.xlookup(BG662,A:A,O:O)</f>
        <v>#NAME?</v>
      </c>
      <c r="BK662" s="153" t="e">
        <f aca="false">_xlfn.xlookup(BG662,A611:A1605,AB611:AB1605)</f>
        <v>#NAME?</v>
      </c>
      <c r="BN662" s="146"/>
      <c r="BO662" s="150"/>
      <c r="BQ662" s="153" t="str">
        <f aca="false">IF(VALUE(MONTH(C662))&lt;10,YEAR(C662)&amp;"-0"&amp;MONTH(C662),YEAR(C662)&amp;"-"&amp;MONTH(C662))</f>
        <v>1900-01</v>
      </c>
      <c r="BR662" s="153" t="n">
        <f aca="false">J662</f>
        <v>0</v>
      </c>
      <c r="BS662" s="153" t="n">
        <f aca="false">IF(ISNUMBER(FIND("-", BR662)), LEFT(BR662, FIND("-", BR662) - 1), BR662)</f>
        <v>0</v>
      </c>
      <c r="BT662" s="189" t="n">
        <f aca="false">L662-M662+O662</f>
        <v>0</v>
      </c>
    </row>
    <row r="663" s="153" customFormat="true" ht="15" hidden="false" customHeight="false" outlineLevel="0" collapsed="false">
      <c r="AN663" s="153" t="e">
        <v>#NAME?</v>
      </c>
      <c r="AO663" s="153" t="e">
        <f aca="false">_xlfn.xlookup(AN663,A:A,F:F)</f>
        <v>#NAME?</v>
      </c>
      <c r="AP663" s="153" t="e">
        <f aca="false">_xlfn.xlookup(AN663,A:A,J:J)</f>
        <v>#NAME?</v>
      </c>
      <c r="AQ663" s="153" t="e">
        <f aca="false">_xlfn.xlookup(AN663,A:A,N:N)+_xlfn.xlookup(AN663,A:A,O:O)</f>
        <v>#NAME?</v>
      </c>
      <c r="AR663" s="150" t="e">
        <f aca="false">_xlfn.xlookup(AN663,A:A,AH:AH)</f>
        <v>#NAME?</v>
      </c>
      <c r="AS663" s="150" t="e">
        <f aca="false">_xlfn.xlookup(AN663,A:A,S:S)</f>
        <v>#NAME?</v>
      </c>
      <c r="AT663" s="150" t="e">
        <f aca="false">_xlfn.xlookup(AN663,A:A,AE:AE)</f>
        <v>#NAME?</v>
      </c>
      <c r="AU663" s="150" t="e">
        <f aca="false">_xlfn.xlookup(AN663,A:A,AF:AF)</f>
        <v>#NAME?</v>
      </c>
      <c r="AX663" s="146"/>
      <c r="AY663" s="150"/>
      <c r="AZ663" s="150"/>
      <c r="BA663" s="150"/>
      <c r="BB663" s="146"/>
      <c r="BC663" s="146"/>
      <c r="BD663" s="151"/>
      <c r="BE663" s="146"/>
      <c r="BF663" s="146"/>
      <c r="BH663" s="152" t="e">
        <f aca="false">_xlfn.xlookup(BG663,A:A,F:F)</f>
        <v>#NAME?</v>
      </c>
      <c r="BI663" s="153" t="e">
        <f aca="false">_xlfn.xlookup(BG663,A:A,J:J)</f>
        <v>#NAME?</v>
      </c>
      <c r="BJ663" s="153" t="e">
        <f aca="false">_xlfn.xlookup(BG663,A:A,N:N)+_xlfn.xlookup(BG663,A:A,O:O)</f>
        <v>#NAME?</v>
      </c>
      <c r="BK663" s="153" t="e">
        <f aca="false">_xlfn.xlookup(BG663,A612:A1606,AB612:AB1606)</f>
        <v>#NAME?</v>
      </c>
      <c r="BN663" s="146"/>
      <c r="BO663" s="150"/>
      <c r="BQ663" s="153" t="str">
        <f aca="false">IF(VALUE(MONTH(C663))&lt;10,YEAR(C663)&amp;"-0"&amp;MONTH(C663),YEAR(C663)&amp;"-"&amp;MONTH(C663))</f>
        <v>1900-01</v>
      </c>
      <c r="BR663" s="153" t="n">
        <f aca="false">J663</f>
        <v>0</v>
      </c>
      <c r="BS663" s="153" t="n">
        <f aca="false">IF(ISNUMBER(FIND("-", BR663)), LEFT(BR663, FIND("-", BR663) - 1), BR663)</f>
        <v>0</v>
      </c>
      <c r="BT663" s="189" t="n">
        <f aca="false">L663-M663+O663</f>
        <v>0</v>
      </c>
    </row>
    <row r="664" s="153" customFormat="true" ht="15" hidden="false" customHeight="false" outlineLevel="0" collapsed="false">
      <c r="AN664" s="153" t="e">
        <v>#NAME?</v>
      </c>
      <c r="AO664" s="153" t="e">
        <f aca="false">_xlfn.xlookup(AN664,A:A,F:F)</f>
        <v>#NAME?</v>
      </c>
      <c r="AP664" s="153" t="e">
        <f aca="false">_xlfn.xlookup(AN664,A:A,J:J)</f>
        <v>#NAME?</v>
      </c>
      <c r="AQ664" s="153" t="e">
        <f aca="false">_xlfn.xlookup(AN664,A:A,N:N)+_xlfn.xlookup(AN664,A:A,O:O)</f>
        <v>#NAME?</v>
      </c>
      <c r="AR664" s="150" t="e">
        <f aca="false">_xlfn.xlookup(AN664,A:A,AH:AH)</f>
        <v>#NAME?</v>
      </c>
      <c r="AS664" s="150" t="e">
        <f aca="false">_xlfn.xlookup(AN664,A:A,S:S)</f>
        <v>#NAME?</v>
      </c>
      <c r="AT664" s="150" t="e">
        <f aca="false">_xlfn.xlookup(AN664,A:A,AE:AE)</f>
        <v>#NAME?</v>
      </c>
      <c r="AU664" s="150" t="e">
        <f aca="false">_xlfn.xlookup(AN664,A:A,AF:AF)</f>
        <v>#NAME?</v>
      </c>
      <c r="AX664" s="146"/>
      <c r="AY664" s="150"/>
      <c r="AZ664" s="150"/>
      <c r="BA664" s="150"/>
      <c r="BB664" s="146"/>
      <c r="BC664" s="146"/>
      <c r="BD664" s="151"/>
      <c r="BE664" s="146"/>
      <c r="BF664" s="146"/>
      <c r="BH664" s="152" t="e">
        <f aca="false">_xlfn.xlookup(BG664,A:A,F:F)</f>
        <v>#NAME?</v>
      </c>
      <c r="BI664" s="153" t="e">
        <f aca="false">_xlfn.xlookup(BG664,A:A,J:J)</f>
        <v>#NAME?</v>
      </c>
      <c r="BJ664" s="153" t="e">
        <f aca="false">_xlfn.xlookup(BG664,A:A,N:N)+_xlfn.xlookup(BG664,A:A,O:O)</f>
        <v>#NAME?</v>
      </c>
      <c r="BK664" s="153" t="e">
        <f aca="false">_xlfn.xlookup(BG664,A613:A1607,AB613:AB1607)</f>
        <v>#NAME?</v>
      </c>
      <c r="BN664" s="146"/>
      <c r="BO664" s="150"/>
      <c r="BQ664" s="153" t="str">
        <f aca="false">IF(VALUE(MONTH(C664))&lt;10,YEAR(C664)&amp;"-0"&amp;MONTH(C664),YEAR(C664)&amp;"-"&amp;MONTH(C664))</f>
        <v>1900-01</v>
      </c>
      <c r="BR664" s="153" t="n">
        <f aca="false">J664</f>
        <v>0</v>
      </c>
      <c r="BS664" s="153" t="n">
        <f aca="false">IF(ISNUMBER(FIND("-", BR664)), LEFT(BR664, FIND("-", BR664) - 1), BR664)</f>
        <v>0</v>
      </c>
      <c r="BT664" s="189" t="n">
        <f aca="false">L664-M664+O664</f>
        <v>0</v>
      </c>
    </row>
    <row r="665" s="153" customFormat="true" ht="15" hidden="false" customHeight="false" outlineLevel="0" collapsed="false">
      <c r="AN665" s="153" t="e">
        <v>#NAME?</v>
      </c>
      <c r="AO665" s="153" t="e">
        <f aca="false">_xlfn.xlookup(AN665,A:A,F:F)</f>
        <v>#NAME?</v>
      </c>
      <c r="AP665" s="153" t="e">
        <f aca="false">_xlfn.xlookup(AN665,A:A,J:J)</f>
        <v>#NAME?</v>
      </c>
      <c r="AQ665" s="153" t="e">
        <f aca="false">_xlfn.xlookup(AN665,A:A,N:N)+_xlfn.xlookup(AN665,A:A,O:O)</f>
        <v>#NAME?</v>
      </c>
      <c r="AR665" s="150" t="e">
        <f aca="false">_xlfn.xlookup(AN665,A:A,AH:AH)</f>
        <v>#NAME?</v>
      </c>
      <c r="AS665" s="150" t="e">
        <f aca="false">_xlfn.xlookup(AN665,A:A,S:S)</f>
        <v>#NAME?</v>
      </c>
      <c r="AT665" s="150" t="e">
        <f aca="false">_xlfn.xlookup(AN665,A:A,AE:AE)</f>
        <v>#NAME?</v>
      </c>
      <c r="AU665" s="150" t="e">
        <f aca="false">_xlfn.xlookup(AN665,A:A,AF:AF)</f>
        <v>#NAME?</v>
      </c>
      <c r="AX665" s="146"/>
      <c r="AY665" s="150"/>
      <c r="AZ665" s="150"/>
      <c r="BA665" s="150"/>
      <c r="BB665" s="146"/>
      <c r="BC665" s="146"/>
      <c r="BD665" s="151"/>
      <c r="BE665" s="146"/>
      <c r="BF665" s="146"/>
      <c r="BH665" s="152" t="e">
        <f aca="false">_xlfn.xlookup(BG665,A:A,F:F)</f>
        <v>#NAME?</v>
      </c>
      <c r="BI665" s="153" t="e">
        <f aca="false">_xlfn.xlookup(BG665,A:A,J:J)</f>
        <v>#NAME?</v>
      </c>
      <c r="BJ665" s="153" t="e">
        <f aca="false">_xlfn.xlookup(BG665,A:A,N:N)+_xlfn.xlookup(BG665,A:A,O:O)</f>
        <v>#NAME?</v>
      </c>
      <c r="BK665" s="153" t="e">
        <f aca="false">_xlfn.xlookup(BG665,A614:A1608,AB614:AB1608)</f>
        <v>#NAME?</v>
      </c>
      <c r="BN665" s="146"/>
      <c r="BO665" s="150"/>
      <c r="BQ665" s="153" t="str">
        <f aca="false">IF(VALUE(MONTH(C665))&lt;10,YEAR(C665)&amp;"-0"&amp;MONTH(C665),YEAR(C665)&amp;"-"&amp;MONTH(C665))</f>
        <v>1900-01</v>
      </c>
      <c r="BR665" s="153" t="n">
        <f aca="false">J665</f>
        <v>0</v>
      </c>
      <c r="BS665" s="153" t="n">
        <f aca="false">IF(ISNUMBER(FIND("-", BR665)), LEFT(BR665, FIND("-", BR665) - 1), BR665)</f>
        <v>0</v>
      </c>
      <c r="BT665" s="189" t="n">
        <f aca="false">L665-M665+O665</f>
        <v>0</v>
      </c>
    </row>
    <row r="666" s="153" customFormat="true" ht="15" hidden="false" customHeight="false" outlineLevel="0" collapsed="false">
      <c r="AN666" s="153" t="e">
        <v>#NAME?</v>
      </c>
      <c r="AO666" s="153" t="e">
        <f aca="false">_xlfn.xlookup(AN666,A:A,F:F)</f>
        <v>#NAME?</v>
      </c>
      <c r="AP666" s="153" t="e">
        <f aca="false">_xlfn.xlookup(AN666,A:A,J:J)</f>
        <v>#NAME?</v>
      </c>
      <c r="AQ666" s="153" t="e">
        <f aca="false">_xlfn.xlookup(AN666,A:A,N:N)+_xlfn.xlookup(AN666,A:A,O:O)</f>
        <v>#NAME?</v>
      </c>
      <c r="AR666" s="150" t="e">
        <f aca="false">_xlfn.xlookup(AN666,A:A,AH:AH)</f>
        <v>#NAME?</v>
      </c>
      <c r="AS666" s="150" t="e">
        <f aca="false">_xlfn.xlookup(AN666,A:A,S:S)</f>
        <v>#NAME?</v>
      </c>
      <c r="AT666" s="150" t="e">
        <f aca="false">_xlfn.xlookup(AN666,A:A,AE:AE)</f>
        <v>#NAME?</v>
      </c>
      <c r="AU666" s="150" t="e">
        <f aca="false">_xlfn.xlookup(AN666,A:A,AF:AF)</f>
        <v>#NAME?</v>
      </c>
      <c r="AX666" s="146"/>
      <c r="AY666" s="150"/>
      <c r="AZ666" s="150"/>
      <c r="BA666" s="150"/>
      <c r="BB666" s="146"/>
      <c r="BC666" s="146"/>
      <c r="BD666" s="151"/>
      <c r="BE666" s="146"/>
      <c r="BF666" s="146"/>
      <c r="BH666" s="152" t="e">
        <f aca="false">_xlfn.xlookup(BG666,A:A,F:F)</f>
        <v>#NAME?</v>
      </c>
      <c r="BI666" s="153" t="e">
        <f aca="false">_xlfn.xlookup(BG666,A:A,J:J)</f>
        <v>#NAME?</v>
      </c>
      <c r="BJ666" s="153" t="e">
        <f aca="false">_xlfn.xlookup(BG666,A:A,N:N)+_xlfn.xlookup(BG666,A:A,O:O)</f>
        <v>#NAME?</v>
      </c>
      <c r="BK666" s="153" t="e">
        <f aca="false">_xlfn.xlookup(BG666,A615:A1609,AB615:AB1609)</f>
        <v>#NAME?</v>
      </c>
      <c r="BN666" s="146"/>
      <c r="BO666" s="150"/>
      <c r="BQ666" s="153" t="str">
        <f aca="false">IF(VALUE(MONTH(C666))&lt;10,YEAR(C666)&amp;"-0"&amp;MONTH(C666),YEAR(C666)&amp;"-"&amp;MONTH(C666))</f>
        <v>1900-01</v>
      </c>
      <c r="BR666" s="153" t="n">
        <f aca="false">J666</f>
        <v>0</v>
      </c>
      <c r="BS666" s="153" t="n">
        <f aca="false">IF(ISNUMBER(FIND("-", BR666)), LEFT(BR666, FIND("-", BR666) - 1), BR666)</f>
        <v>0</v>
      </c>
      <c r="BT666" s="189" t="n">
        <f aca="false">L666-M666+O666</f>
        <v>0</v>
      </c>
    </row>
    <row r="667" s="153" customFormat="true" ht="15" hidden="false" customHeight="false" outlineLevel="0" collapsed="false">
      <c r="AN667" s="153" t="e">
        <v>#NAME?</v>
      </c>
      <c r="AO667" s="153" t="e">
        <f aca="false">_xlfn.xlookup(AN667,A:A,F:F)</f>
        <v>#NAME?</v>
      </c>
      <c r="AP667" s="153" t="e">
        <f aca="false">_xlfn.xlookup(AN667,A:A,J:J)</f>
        <v>#NAME?</v>
      </c>
      <c r="AQ667" s="153" t="e">
        <f aca="false">_xlfn.xlookup(AN667,A:A,N:N)+_xlfn.xlookup(AN667,A:A,O:O)</f>
        <v>#NAME?</v>
      </c>
      <c r="AR667" s="150" t="e">
        <f aca="false">_xlfn.xlookup(AN667,A:A,AH:AH)</f>
        <v>#NAME?</v>
      </c>
      <c r="AS667" s="150" t="e">
        <f aca="false">_xlfn.xlookup(AN667,A:A,S:S)</f>
        <v>#NAME?</v>
      </c>
      <c r="AT667" s="150" t="e">
        <f aca="false">_xlfn.xlookup(AN667,A:A,AE:AE)</f>
        <v>#NAME?</v>
      </c>
      <c r="AU667" s="150" t="e">
        <f aca="false">_xlfn.xlookup(AN667,A:A,AF:AF)</f>
        <v>#NAME?</v>
      </c>
      <c r="AX667" s="146"/>
      <c r="AY667" s="150"/>
      <c r="AZ667" s="150"/>
      <c r="BA667" s="150"/>
      <c r="BB667" s="146"/>
      <c r="BC667" s="146"/>
      <c r="BD667" s="151"/>
      <c r="BE667" s="146"/>
      <c r="BF667" s="146"/>
      <c r="BH667" s="152" t="e">
        <f aca="false">_xlfn.xlookup(BG667,A:A,F:F)</f>
        <v>#NAME?</v>
      </c>
      <c r="BI667" s="153" t="e">
        <f aca="false">_xlfn.xlookup(BG667,A:A,J:J)</f>
        <v>#NAME?</v>
      </c>
      <c r="BJ667" s="153" t="e">
        <f aca="false">_xlfn.xlookup(BG667,A:A,N:N)+_xlfn.xlookup(BG667,A:A,O:O)</f>
        <v>#NAME?</v>
      </c>
      <c r="BK667" s="153" t="e">
        <f aca="false">_xlfn.xlookup(BG667,A616:A1610,AB616:AB1610)</f>
        <v>#NAME?</v>
      </c>
      <c r="BN667" s="146"/>
      <c r="BO667" s="150"/>
      <c r="BQ667" s="153" t="str">
        <f aca="false">IF(VALUE(MONTH(C667))&lt;10,YEAR(C667)&amp;"-0"&amp;MONTH(C667),YEAR(C667)&amp;"-"&amp;MONTH(C667))</f>
        <v>1900-01</v>
      </c>
      <c r="BR667" s="153" t="n">
        <f aca="false">J667</f>
        <v>0</v>
      </c>
      <c r="BS667" s="153" t="n">
        <f aca="false">IF(ISNUMBER(FIND("-", BR667)), LEFT(BR667, FIND("-", BR667) - 1), BR667)</f>
        <v>0</v>
      </c>
      <c r="BT667" s="189" t="n">
        <f aca="false">L667-M667+O667</f>
        <v>0</v>
      </c>
    </row>
    <row r="668" s="153" customFormat="true" ht="15" hidden="false" customHeight="false" outlineLevel="0" collapsed="false">
      <c r="AN668" s="153" t="e">
        <v>#NAME?</v>
      </c>
      <c r="AO668" s="153" t="e">
        <f aca="false">_xlfn.xlookup(AN668,A:A,F:F)</f>
        <v>#NAME?</v>
      </c>
      <c r="AP668" s="153" t="e">
        <f aca="false">_xlfn.xlookup(AN668,A:A,J:J)</f>
        <v>#NAME?</v>
      </c>
      <c r="AQ668" s="153" t="e">
        <f aca="false">_xlfn.xlookup(AN668,A:A,N:N)+_xlfn.xlookup(AN668,A:A,O:O)</f>
        <v>#NAME?</v>
      </c>
      <c r="AR668" s="150" t="e">
        <f aca="false">_xlfn.xlookup(AN668,A:A,AH:AH)</f>
        <v>#NAME?</v>
      </c>
      <c r="AS668" s="150" t="e">
        <f aca="false">_xlfn.xlookup(AN668,A:A,S:S)</f>
        <v>#NAME?</v>
      </c>
      <c r="AT668" s="150" t="e">
        <f aca="false">_xlfn.xlookup(AN668,A:A,AE:AE)</f>
        <v>#NAME?</v>
      </c>
      <c r="AU668" s="150" t="e">
        <f aca="false">_xlfn.xlookup(AN668,A:A,AF:AF)</f>
        <v>#NAME?</v>
      </c>
      <c r="AX668" s="146"/>
      <c r="AY668" s="150"/>
      <c r="AZ668" s="150"/>
      <c r="BA668" s="150"/>
      <c r="BB668" s="146"/>
      <c r="BC668" s="146"/>
      <c r="BD668" s="151"/>
      <c r="BE668" s="146"/>
      <c r="BF668" s="146"/>
      <c r="BH668" s="152" t="e">
        <f aca="false">_xlfn.xlookup(BG668,A:A,F:F)</f>
        <v>#NAME?</v>
      </c>
      <c r="BI668" s="153" t="e">
        <f aca="false">_xlfn.xlookup(BG668,A:A,J:J)</f>
        <v>#NAME?</v>
      </c>
      <c r="BJ668" s="153" t="e">
        <f aca="false">_xlfn.xlookup(BG668,A:A,N:N)+_xlfn.xlookup(BG668,A:A,O:O)</f>
        <v>#NAME?</v>
      </c>
      <c r="BK668" s="153" t="e">
        <f aca="false">_xlfn.xlookup(BG668,A617:A1611,AB617:AB1611)</f>
        <v>#NAME?</v>
      </c>
      <c r="BN668" s="146"/>
      <c r="BO668" s="150"/>
      <c r="BQ668" s="153" t="str">
        <f aca="false">IF(VALUE(MONTH(C668))&lt;10,YEAR(C668)&amp;"-0"&amp;MONTH(C668),YEAR(C668)&amp;"-"&amp;MONTH(C668))</f>
        <v>1900-01</v>
      </c>
      <c r="BR668" s="153" t="n">
        <f aca="false">J668</f>
        <v>0</v>
      </c>
      <c r="BS668" s="153" t="n">
        <f aca="false">IF(ISNUMBER(FIND("-", BR668)), LEFT(BR668, FIND("-", BR668) - 1), BR668)</f>
        <v>0</v>
      </c>
      <c r="BT668" s="189" t="n">
        <f aca="false">L668-M668+O668</f>
        <v>0</v>
      </c>
    </row>
    <row r="669" s="153" customFormat="true" ht="15" hidden="false" customHeight="false" outlineLevel="0" collapsed="false">
      <c r="AN669" s="153" t="e">
        <v>#NAME?</v>
      </c>
      <c r="AO669" s="153" t="e">
        <f aca="false">_xlfn.xlookup(AN669,A:A,F:F)</f>
        <v>#NAME?</v>
      </c>
      <c r="AP669" s="153" t="e">
        <f aca="false">_xlfn.xlookup(AN669,A:A,J:J)</f>
        <v>#NAME?</v>
      </c>
      <c r="AQ669" s="153" t="e">
        <f aca="false">_xlfn.xlookup(AN669,A:A,N:N)+_xlfn.xlookup(AN669,A:A,O:O)</f>
        <v>#NAME?</v>
      </c>
      <c r="AR669" s="150" t="e">
        <f aca="false">_xlfn.xlookup(AN669,A:A,AH:AH)</f>
        <v>#NAME?</v>
      </c>
      <c r="AS669" s="150" t="e">
        <f aca="false">_xlfn.xlookup(AN669,A:A,S:S)</f>
        <v>#NAME?</v>
      </c>
      <c r="AT669" s="150" t="e">
        <f aca="false">_xlfn.xlookup(AN669,A:A,AE:AE)</f>
        <v>#NAME?</v>
      </c>
      <c r="AU669" s="150" t="e">
        <f aca="false">_xlfn.xlookup(AN669,A:A,AF:AF)</f>
        <v>#NAME?</v>
      </c>
      <c r="AX669" s="146"/>
      <c r="AY669" s="150"/>
      <c r="AZ669" s="150"/>
      <c r="BA669" s="150"/>
      <c r="BB669" s="146"/>
      <c r="BC669" s="146"/>
      <c r="BD669" s="151"/>
      <c r="BE669" s="146"/>
      <c r="BF669" s="146"/>
      <c r="BH669" s="152" t="e">
        <f aca="false">_xlfn.xlookup(BG669,A:A,F:F)</f>
        <v>#NAME?</v>
      </c>
      <c r="BI669" s="153" t="e">
        <f aca="false">_xlfn.xlookup(BG669,A:A,J:J)</f>
        <v>#NAME?</v>
      </c>
      <c r="BJ669" s="153" t="e">
        <f aca="false">_xlfn.xlookup(BG669,A:A,N:N)+_xlfn.xlookup(BG669,A:A,O:O)</f>
        <v>#NAME?</v>
      </c>
      <c r="BK669" s="153" t="e">
        <f aca="false">_xlfn.xlookup(BG669,A618:A1612,AB618:AB1612)</f>
        <v>#NAME?</v>
      </c>
      <c r="BN669" s="146"/>
      <c r="BO669" s="150"/>
      <c r="BQ669" s="153" t="str">
        <f aca="false">IF(VALUE(MONTH(C669))&lt;10,YEAR(C669)&amp;"-0"&amp;MONTH(C669),YEAR(C669)&amp;"-"&amp;MONTH(C669))</f>
        <v>1900-01</v>
      </c>
      <c r="BR669" s="153" t="n">
        <f aca="false">J669</f>
        <v>0</v>
      </c>
      <c r="BS669" s="153" t="n">
        <f aca="false">IF(ISNUMBER(FIND("-", BR669)), LEFT(BR669, FIND("-", BR669) - 1), BR669)</f>
        <v>0</v>
      </c>
      <c r="BT669" s="189" t="n">
        <f aca="false">L669-M669+O669</f>
        <v>0</v>
      </c>
    </row>
    <row r="670" s="153" customFormat="true" ht="15" hidden="false" customHeight="false" outlineLevel="0" collapsed="false">
      <c r="AN670" s="153" t="e">
        <v>#NAME?</v>
      </c>
      <c r="AO670" s="153" t="e">
        <f aca="false">_xlfn.xlookup(AN670,A:A,F:F)</f>
        <v>#NAME?</v>
      </c>
      <c r="AP670" s="153" t="e">
        <f aca="false">_xlfn.xlookup(AN670,A:A,J:J)</f>
        <v>#NAME?</v>
      </c>
      <c r="AQ670" s="153" t="e">
        <f aca="false">_xlfn.xlookup(AN670,A:A,N:N)+_xlfn.xlookup(AN670,A:A,O:O)</f>
        <v>#NAME?</v>
      </c>
      <c r="AR670" s="150" t="e">
        <f aca="false">_xlfn.xlookup(AN670,A:A,AH:AH)</f>
        <v>#NAME?</v>
      </c>
      <c r="AS670" s="150" t="e">
        <f aca="false">_xlfn.xlookup(AN670,A:A,S:S)</f>
        <v>#NAME?</v>
      </c>
      <c r="AT670" s="150" t="e">
        <f aca="false">_xlfn.xlookup(AN670,A:A,AE:AE)</f>
        <v>#NAME?</v>
      </c>
      <c r="AU670" s="150" t="e">
        <f aca="false">_xlfn.xlookup(AN670,A:A,AF:AF)</f>
        <v>#NAME?</v>
      </c>
      <c r="AX670" s="146"/>
      <c r="AY670" s="150"/>
      <c r="AZ670" s="150"/>
      <c r="BA670" s="150"/>
      <c r="BB670" s="146"/>
      <c r="BC670" s="146"/>
      <c r="BD670" s="151"/>
      <c r="BE670" s="146"/>
      <c r="BF670" s="146"/>
      <c r="BH670" s="152" t="e">
        <f aca="false">_xlfn.xlookup(BG670,A:A,F:F)</f>
        <v>#NAME?</v>
      </c>
      <c r="BI670" s="153" t="e">
        <f aca="false">_xlfn.xlookup(BG670,A:A,J:J)</f>
        <v>#NAME?</v>
      </c>
      <c r="BJ670" s="153" t="e">
        <f aca="false">_xlfn.xlookup(BG670,A:A,N:N)+_xlfn.xlookup(BG670,A:A,O:O)</f>
        <v>#NAME?</v>
      </c>
      <c r="BK670" s="153" t="e">
        <f aca="false">_xlfn.xlookup(BG670,A619:A1613,AB619:AB1613)</f>
        <v>#NAME?</v>
      </c>
      <c r="BN670" s="146"/>
      <c r="BO670" s="150"/>
      <c r="BQ670" s="153" t="str">
        <f aca="false">IF(VALUE(MONTH(C670))&lt;10,YEAR(C670)&amp;"-0"&amp;MONTH(C670),YEAR(C670)&amp;"-"&amp;MONTH(C670))</f>
        <v>1900-01</v>
      </c>
      <c r="BR670" s="153" t="n">
        <f aca="false">J670</f>
        <v>0</v>
      </c>
      <c r="BS670" s="153" t="n">
        <f aca="false">IF(ISNUMBER(FIND("-", BR670)), LEFT(BR670, FIND("-", BR670) - 1), BR670)</f>
        <v>0</v>
      </c>
      <c r="BT670" s="189" t="n">
        <f aca="false">L670-M670+O670</f>
        <v>0</v>
      </c>
    </row>
    <row r="671" s="153" customFormat="true" ht="15" hidden="false" customHeight="false" outlineLevel="0" collapsed="false">
      <c r="AN671" s="153" t="e">
        <v>#NAME?</v>
      </c>
      <c r="AO671" s="153" t="e">
        <f aca="false">_xlfn.xlookup(AN671,A:A,F:F)</f>
        <v>#NAME?</v>
      </c>
      <c r="AP671" s="153" t="e">
        <f aca="false">_xlfn.xlookup(AN671,A:A,J:J)</f>
        <v>#NAME?</v>
      </c>
      <c r="AQ671" s="153" t="e">
        <f aca="false">_xlfn.xlookup(AN671,A:A,N:N)+_xlfn.xlookup(AN671,A:A,O:O)</f>
        <v>#NAME?</v>
      </c>
      <c r="AR671" s="150" t="e">
        <f aca="false">_xlfn.xlookup(AN671,A:A,AH:AH)</f>
        <v>#NAME?</v>
      </c>
      <c r="AS671" s="150" t="e">
        <f aca="false">_xlfn.xlookup(AN671,A:A,S:S)</f>
        <v>#NAME?</v>
      </c>
      <c r="AT671" s="150" t="e">
        <f aca="false">_xlfn.xlookup(AN671,A:A,AE:AE)</f>
        <v>#NAME?</v>
      </c>
      <c r="AU671" s="150" t="e">
        <f aca="false">_xlfn.xlookup(AN671,A:A,AF:AF)</f>
        <v>#NAME?</v>
      </c>
      <c r="AX671" s="146"/>
      <c r="AY671" s="150"/>
      <c r="AZ671" s="150"/>
      <c r="BA671" s="150"/>
      <c r="BB671" s="146"/>
      <c r="BC671" s="146"/>
      <c r="BD671" s="151"/>
      <c r="BE671" s="146"/>
      <c r="BF671" s="146"/>
      <c r="BH671" s="152" t="e">
        <f aca="false">_xlfn.xlookup(BG671,A:A,F:F)</f>
        <v>#NAME?</v>
      </c>
      <c r="BI671" s="153" t="e">
        <f aca="false">_xlfn.xlookup(BG671,A:A,J:J)</f>
        <v>#NAME?</v>
      </c>
      <c r="BJ671" s="153" t="e">
        <f aca="false">_xlfn.xlookup(BG671,A:A,N:N)+_xlfn.xlookup(BG671,A:A,O:O)</f>
        <v>#NAME?</v>
      </c>
      <c r="BK671" s="153" t="e">
        <f aca="false">_xlfn.xlookup(BG671,A620:A1614,AB620:AB1614)</f>
        <v>#NAME?</v>
      </c>
      <c r="BN671" s="146"/>
      <c r="BO671" s="150"/>
      <c r="BQ671" s="153" t="str">
        <f aca="false">IF(VALUE(MONTH(C671))&lt;10,YEAR(C671)&amp;"-0"&amp;MONTH(C671),YEAR(C671)&amp;"-"&amp;MONTH(C671))</f>
        <v>1900-01</v>
      </c>
      <c r="BR671" s="153" t="n">
        <f aca="false">J671</f>
        <v>0</v>
      </c>
      <c r="BS671" s="153" t="n">
        <f aca="false">IF(ISNUMBER(FIND("-", BR671)), LEFT(BR671, FIND("-", BR671) - 1), BR671)</f>
        <v>0</v>
      </c>
      <c r="BT671" s="189" t="n">
        <f aca="false">L671-M671+O671</f>
        <v>0</v>
      </c>
    </row>
    <row r="672" s="153" customFormat="true" ht="15" hidden="false" customHeight="false" outlineLevel="0" collapsed="false">
      <c r="AN672" s="153" t="e">
        <v>#NAME?</v>
      </c>
      <c r="AO672" s="153" t="e">
        <f aca="false">_xlfn.xlookup(AN672,A:A,F:F)</f>
        <v>#NAME?</v>
      </c>
      <c r="AP672" s="153" t="e">
        <f aca="false">_xlfn.xlookup(AN672,A:A,J:J)</f>
        <v>#NAME?</v>
      </c>
      <c r="AQ672" s="153" t="e">
        <f aca="false">_xlfn.xlookup(AN672,A:A,N:N)+_xlfn.xlookup(AN672,A:A,O:O)</f>
        <v>#NAME?</v>
      </c>
      <c r="AR672" s="150" t="e">
        <f aca="false">_xlfn.xlookup(AN672,A:A,AH:AH)</f>
        <v>#NAME?</v>
      </c>
      <c r="AS672" s="150" t="e">
        <f aca="false">_xlfn.xlookup(AN672,A:A,S:S)</f>
        <v>#NAME?</v>
      </c>
      <c r="AT672" s="150" t="e">
        <f aca="false">_xlfn.xlookup(AN672,A:A,AE:AE)</f>
        <v>#NAME?</v>
      </c>
      <c r="AU672" s="150" t="e">
        <f aca="false">_xlfn.xlookup(AN672,A:A,AF:AF)</f>
        <v>#NAME?</v>
      </c>
      <c r="AX672" s="146"/>
      <c r="AY672" s="150"/>
      <c r="AZ672" s="150"/>
      <c r="BA672" s="150"/>
      <c r="BB672" s="146"/>
      <c r="BC672" s="146"/>
      <c r="BD672" s="151"/>
      <c r="BE672" s="146"/>
      <c r="BF672" s="146"/>
      <c r="BH672" s="152" t="e">
        <f aca="false">_xlfn.xlookup(BG672,A:A,F:F)</f>
        <v>#NAME?</v>
      </c>
      <c r="BI672" s="153" t="e">
        <f aca="false">_xlfn.xlookup(BG672,A:A,J:J)</f>
        <v>#NAME?</v>
      </c>
      <c r="BJ672" s="153" t="e">
        <f aca="false">_xlfn.xlookup(BG672,A:A,N:N)+_xlfn.xlookup(BG672,A:A,O:O)</f>
        <v>#NAME?</v>
      </c>
      <c r="BK672" s="153" t="e">
        <f aca="false">_xlfn.xlookup(BG672,A621:A1615,AB621:AB1615)</f>
        <v>#NAME?</v>
      </c>
      <c r="BN672" s="146"/>
      <c r="BO672" s="150"/>
      <c r="BQ672" s="153" t="str">
        <f aca="false">IF(VALUE(MONTH(C672))&lt;10,YEAR(C672)&amp;"-0"&amp;MONTH(C672),YEAR(C672)&amp;"-"&amp;MONTH(C672))</f>
        <v>1900-01</v>
      </c>
      <c r="BR672" s="153" t="n">
        <f aca="false">J672</f>
        <v>0</v>
      </c>
      <c r="BS672" s="153" t="n">
        <f aca="false">IF(ISNUMBER(FIND("-", BR672)), LEFT(BR672, FIND("-", BR672) - 1), BR672)</f>
        <v>0</v>
      </c>
      <c r="BT672" s="189" t="n">
        <f aca="false">L672-M672+O672</f>
        <v>0</v>
      </c>
    </row>
    <row r="673" s="153" customFormat="true" ht="15" hidden="false" customHeight="false" outlineLevel="0" collapsed="false">
      <c r="AN673" s="153" t="e">
        <v>#NAME?</v>
      </c>
      <c r="AO673" s="153" t="e">
        <f aca="false">_xlfn.xlookup(AN673,A:A,F:F)</f>
        <v>#NAME?</v>
      </c>
      <c r="AP673" s="153" t="e">
        <f aca="false">_xlfn.xlookup(AN673,A:A,J:J)</f>
        <v>#NAME?</v>
      </c>
      <c r="AQ673" s="153" t="e">
        <f aca="false">_xlfn.xlookup(AN673,A:A,N:N)+_xlfn.xlookup(AN673,A:A,O:O)</f>
        <v>#NAME?</v>
      </c>
      <c r="AR673" s="150" t="e">
        <f aca="false">_xlfn.xlookup(AN673,A:A,AH:AH)</f>
        <v>#NAME?</v>
      </c>
      <c r="AS673" s="150" t="e">
        <f aca="false">_xlfn.xlookup(AN673,A:A,S:S)</f>
        <v>#NAME?</v>
      </c>
      <c r="AT673" s="150" t="e">
        <f aca="false">_xlfn.xlookup(AN673,A:A,AE:AE)</f>
        <v>#NAME?</v>
      </c>
      <c r="AU673" s="150" t="e">
        <f aca="false">_xlfn.xlookup(AN673,A:A,AF:AF)</f>
        <v>#NAME?</v>
      </c>
      <c r="AX673" s="146"/>
      <c r="AY673" s="150"/>
      <c r="AZ673" s="150"/>
      <c r="BA673" s="150"/>
      <c r="BB673" s="146"/>
      <c r="BC673" s="146"/>
      <c r="BD673" s="151"/>
      <c r="BE673" s="146"/>
      <c r="BF673" s="146"/>
      <c r="BH673" s="152" t="e">
        <f aca="false">_xlfn.xlookup(BG673,A:A,F:F)</f>
        <v>#NAME?</v>
      </c>
      <c r="BI673" s="153" t="e">
        <f aca="false">_xlfn.xlookup(BG673,A:A,J:J)</f>
        <v>#NAME?</v>
      </c>
      <c r="BJ673" s="153" t="e">
        <f aca="false">_xlfn.xlookup(BG673,A:A,N:N)+_xlfn.xlookup(BG673,A:A,O:O)</f>
        <v>#NAME?</v>
      </c>
      <c r="BK673" s="153" t="e">
        <f aca="false">_xlfn.xlookup(BG673,A622:A1616,AB622:AB1616)</f>
        <v>#NAME?</v>
      </c>
      <c r="BN673" s="146"/>
      <c r="BO673" s="150"/>
      <c r="BQ673" s="153" t="str">
        <f aca="false">IF(VALUE(MONTH(C673))&lt;10,YEAR(C673)&amp;"-0"&amp;MONTH(C673),YEAR(C673)&amp;"-"&amp;MONTH(C673))</f>
        <v>1900-01</v>
      </c>
      <c r="BR673" s="153" t="n">
        <f aca="false">J673</f>
        <v>0</v>
      </c>
      <c r="BS673" s="153" t="n">
        <f aca="false">IF(ISNUMBER(FIND("-", BR673)), LEFT(BR673, FIND("-", BR673) - 1), BR673)</f>
        <v>0</v>
      </c>
      <c r="BT673" s="189" t="n">
        <f aca="false">L673-M673+O673</f>
        <v>0</v>
      </c>
    </row>
    <row r="674" s="153" customFormat="true" ht="15" hidden="false" customHeight="false" outlineLevel="0" collapsed="false">
      <c r="AN674" s="153" t="e">
        <v>#NAME?</v>
      </c>
      <c r="AO674" s="153" t="e">
        <f aca="false">_xlfn.xlookup(AN674,A:A,F:F)</f>
        <v>#NAME?</v>
      </c>
      <c r="AP674" s="153" t="e">
        <f aca="false">_xlfn.xlookup(AN674,A:A,J:J)</f>
        <v>#NAME?</v>
      </c>
      <c r="AQ674" s="153" t="e">
        <f aca="false">_xlfn.xlookup(AN674,A:A,N:N)+_xlfn.xlookup(AN674,A:A,O:O)</f>
        <v>#NAME?</v>
      </c>
      <c r="AR674" s="150" t="e">
        <f aca="false">_xlfn.xlookup(AN674,A:A,AH:AH)</f>
        <v>#NAME?</v>
      </c>
      <c r="AS674" s="150" t="e">
        <f aca="false">_xlfn.xlookup(AN674,A:A,S:S)</f>
        <v>#NAME?</v>
      </c>
      <c r="AT674" s="150" t="e">
        <f aca="false">_xlfn.xlookup(AN674,A:A,AE:AE)</f>
        <v>#NAME?</v>
      </c>
      <c r="AU674" s="150" t="e">
        <f aca="false">_xlfn.xlookup(AN674,A:A,AF:AF)</f>
        <v>#NAME?</v>
      </c>
      <c r="AX674" s="146"/>
      <c r="AY674" s="150"/>
      <c r="AZ674" s="150"/>
      <c r="BA674" s="150"/>
      <c r="BB674" s="146"/>
      <c r="BC674" s="146"/>
      <c r="BD674" s="151"/>
      <c r="BE674" s="146"/>
      <c r="BF674" s="146"/>
      <c r="BH674" s="152" t="e">
        <f aca="false">_xlfn.xlookup(BG674,A:A,F:F)</f>
        <v>#NAME?</v>
      </c>
      <c r="BI674" s="153" t="e">
        <f aca="false">_xlfn.xlookup(BG674,A:A,J:J)</f>
        <v>#NAME?</v>
      </c>
      <c r="BJ674" s="153" t="e">
        <f aca="false">_xlfn.xlookup(BG674,A:A,N:N)+_xlfn.xlookup(BG674,A:A,O:O)</f>
        <v>#NAME?</v>
      </c>
      <c r="BK674" s="153" t="e">
        <f aca="false">_xlfn.xlookup(BG674,A623:A1617,AB623:AB1617)</f>
        <v>#NAME?</v>
      </c>
      <c r="BN674" s="146"/>
      <c r="BO674" s="150"/>
      <c r="BQ674" s="153" t="str">
        <f aca="false">IF(VALUE(MONTH(C674))&lt;10,YEAR(C674)&amp;"-0"&amp;MONTH(C674),YEAR(C674)&amp;"-"&amp;MONTH(C674))</f>
        <v>1900-01</v>
      </c>
      <c r="BR674" s="153" t="n">
        <f aca="false">J674</f>
        <v>0</v>
      </c>
      <c r="BS674" s="153" t="n">
        <f aca="false">IF(ISNUMBER(FIND("-", BR674)), LEFT(BR674, FIND("-", BR674) - 1), BR674)</f>
        <v>0</v>
      </c>
      <c r="BT674" s="189" t="n">
        <f aca="false">L674-M674+O674</f>
        <v>0</v>
      </c>
    </row>
    <row r="675" s="153" customFormat="true" ht="15" hidden="false" customHeight="false" outlineLevel="0" collapsed="false">
      <c r="AN675" s="153" t="e">
        <v>#NAME?</v>
      </c>
      <c r="AO675" s="153" t="e">
        <f aca="false">_xlfn.xlookup(AN675,A:A,F:F)</f>
        <v>#NAME?</v>
      </c>
      <c r="AP675" s="153" t="e">
        <f aca="false">_xlfn.xlookup(AN675,A:A,J:J)</f>
        <v>#NAME?</v>
      </c>
      <c r="AQ675" s="153" t="e">
        <f aca="false">_xlfn.xlookup(AN675,A:A,N:N)+_xlfn.xlookup(AN675,A:A,O:O)</f>
        <v>#NAME?</v>
      </c>
      <c r="AR675" s="150" t="e">
        <f aca="false">_xlfn.xlookup(AN675,A:A,AH:AH)</f>
        <v>#NAME?</v>
      </c>
      <c r="AS675" s="150" t="e">
        <f aca="false">_xlfn.xlookup(AN675,A:A,S:S)</f>
        <v>#NAME?</v>
      </c>
      <c r="AT675" s="150" t="e">
        <f aca="false">_xlfn.xlookup(AN675,A:A,AE:AE)</f>
        <v>#NAME?</v>
      </c>
      <c r="AU675" s="150" t="e">
        <f aca="false">_xlfn.xlookup(AN675,A:A,AF:AF)</f>
        <v>#NAME?</v>
      </c>
      <c r="AX675" s="146"/>
      <c r="AY675" s="150"/>
      <c r="AZ675" s="150"/>
      <c r="BA675" s="150"/>
      <c r="BB675" s="146"/>
      <c r="BC675" s="146"/>
      <c r="BD675" s="151"/>
      <c r="BE675" s="146"/>
      <c r="BF675" s="146"/>
      <c r="BH675" s="152" t="e">
        <f aca="false">_xlfn.xlookup(BG675,A:A,F:F)</f>
        <v>#NAME?</v>
      </c>
      <c r="BI675" s="153" t="e">
        <f aca="false">_xlfn.xlookup(BG675,A:A,J:J)</f>
        <v>#NAME?</v>
      </c>
      <c r="BJ675" s="153" t="e">
        <f aca="false">_xlfn.xlookup(BG675,A:A,N:N)+_xlfn.xlookup(BG675,A:A,O:O)</f>
        <v>#NAME?</v>
      </c>
      <c r="BK675" s="153" t="e">
        <f aca="false">_xlfn.xlookup(BG675,A624:A1618,AB624:AB1618)</f>
        <v>#NAME?</v>
      </c>
      <c r="BN675" s="146"/>
      <c r="BO675" s="150"/>
      <c r="BQ675" s="153" t="str">
        <f aca="false">IF(VALUE(MONTH(C675))&lt;10,YEAR(C675)&amp;"-0"&amp;MONTH(C675),YEAR(C675)&amp;"-"&amp;MONTH(C675))</f>
        <v>1900-01</v>
      </c>
      <c r="BR675" s="153" t="n">
        <f aca="false">J675</f>
        <v>0</v>
      </c>
      <c r="BS675" s="153" t="n">
        <f aca="false">IF(ISNUMBER(FIND("-", BR675)), LEFT(BR675, FIND("-", BR675) - 1), BR675)</f>
        <v>0</v>
      </c>
      <c r="BT675" s="189" t="n">
        <f aca="false">L675-M675+O675</f>
        <v>0</v>
      </c>
    </row>
    <row r="676" s="153" customFormat="true" ht="15" hidden="false" customHeight="false" outlineLevel="0" collapsed="false">
      <c r="AN676" s="153" t="e">
        <v>#NAME?</v>
      </c>
      <c r="AO676" s="153" t="e">
        <f aca="false">_xlfn.xlookup(AN676,A:A,F:F)</f>
        <v>#NAME?</v>
      </c>
      <c r="AP676" s="153" t="e">
        <f aca="false">_xlfn.xlookup(AN676,A:A,J:J)</f>
        <v>#NAME?</v>
      </c>
      <c r="AQ676" s="153" t="e">
        <f aca="false">_xlfn.xlookup(AN676,A:A,N:N)+_xlfn.xlookup(AN676,A:A,O:O)</f>
        <v>#NAME?</v>
      </c>
      <c r="AR676" s="150" t="e">
        <f aca="false">_xlfn.xlookup(AN676,A:A,AH:AH)</f>
        <v>#NAME?</v>
      </c>
      <c r="AS676" s="150" t="e">
        <f aca="false">_xlfn.xlookup(AN676,A:A,S:S)</f>
        <v>#NAME?</v>
      </c>
      <c r="AT676" s="150" t="e">
        <f aca="false">_xlfn.xlookup(AN676,A:A,AE:AE)</f>
        <v>#NAME?</v>
      </c>
      <c r="AU676" s="150" t="e">
        <f aca="false">_xlfn.xlookup(AN676,A:A,AF:AF)</f>
        <v>#NAME?</v>
      </c>
      <c r="AX676" s="146"/>
      <c r="AY676" s="150"/>
      <c r="AZ676" s="150"/>
      <c r="BA676" s="150"/>
      <c r="BB676" s="146"/>
      <c r="BC676" s="146"/>
      <c r="BD676" s="151"/>
      <c r="BE676" s="146"/>
      <c r="BF676" s="146"/>
      <c r="BH676" s="152" t="e">
        <f aca="false">_xlfn.xlookup(BG676,A:A,F:F)</f>
        <v>#NAME?</v>
      </c>
      <c r="BI676" s="153" t="e">
        <f aca="false">_xlfn.xlookup(BG676,A:A,J:J)</f>
        <v>#NAME?</v>
      </c>
      <c r="BJ676" s="153" t="e">
        <f aca="false">_xlfn.xlookup(BG676,A:A,N:N)+_xlfn.xlookup(BG676,A:A,O:O)</f>
        <v>#NAME?</v>
      </c>
      <c r="BK676" s="153" t="e">
        <f aca="false">_xlfn.xlookup(BG676,A625:A1619,AB625:AB1619)</f>
        <v>#NAME?</v>
      </c>
      <c r="BN676" s="146"/>
      <c r="BO676" s="150"/>
      <c r="BQ676" s="153" t="str">
        <f aca="false">IF(VALUE(MONTH(C676))&lt;10,YEAR(C676)&amp;"-0"&amp;MONTH(C676),YEAR(C676)&amp;"-"&amp;MONTH(C676))</f>
        <v>1900-01</v>
      </c>
      <c r="BR676" s="153" t="n">
        <f aca="false">J676</f>
        <v>0</v>
      </c>
      <c r="BS676" s="153" t="n">
        <f aca="false">IF(ISNUMBER(FIND("-", BR676)), LEFT(BR676, FIND("-", BR676) - 1), BR676)</f>
        <v>0</v>
      </c>
      <c r="BT676" s="189" t="n">
        <f aca="false">L676-M676+O676</f>
        <v>0</v>
      </c>
    </row>
    <row r="677" s="153" customFormat="true" ht="15" hidden="false" customHeight="false" outlineLevel="0" collapsed="false">
      <c r="AN677" s="153" t="e">
        <v>#NAME?</v>
      </c>
      <c r="AO677" s="153" t="e">
        <f aca="false">_xlfn.xlookup(AN677,A:A,F:F)</f>
        <v>#NAME?</v>
      </c>
      <c r="AP677" s="153" t="e">
        <f aca="false">_xlfn.xlookup(AN677,A:A,J:J)</f>
        <v>#NAME?</v>
      </c>
      <c r="AQ677" s="153" t="e">
        <f aca="false">_xlfn.xlookup(AN677,A:A,N:N)+_xlfn.xlookup(AN677,A:A,O:O)</f>
        <v>#NAME?</v>
      </c>
      <c r="AR677" s="150" t="e">
        <f aca="false">_xlfn.xlookup(AN677,A:A,AH:AH)</f>
        <v>#NAME?</v>
      </c>
      <c r="AS677" s="150" t="e">
        <f aca="false">_xlfn.xlookup(AN677,A:A,S:S)</f>
        <v>#NAME?</v>
      </c>
      <c r="AT677" s="150" t="e">
        <f aca="false">_xlfn.xlookup(AN677,A:A,AE:AE)</f>
        <v>#NAME?</v>
      </c>
      <c r="AU677" s="150" t="e">
        <f aca="false">_xlfn.xlookup(AN677,A:A,AF:AF)</f>
        <v>#NAME?</v>
      </c>
      <c r="AX677" s="146"/>
      <c r="AY677" s="150"/>
      <c r="AZ677" s="150"/>
      <c r="BA677" s="150"/>
      <c r="BB677" s="146"/>
      <c r="BC677" s="146"/>
      <c r="BD677" s="151"/>
      <c r="BE677" s="146"/>
      <c r="BF677" s="146"/>
      <c r="BH677" s="152" t="e">
        <f aca="false">_xlfn.xlookup(BG677,A:A,F:F)</f>
        <v>#NAME?</v>
      </c>
      <c r="BI677" s="153" t="e">
        <f aca="false">_xlfn.xlookup(BG677,A:A,J:J)</f>
        <v>#NAME?</v>
      </c>
      <c r="BJ677" s="153" t="e">
        <f aca="false">_xlfn.xlookup(BG677,A:A,N:N)+_xlfn.xlookup(BG677,A:A,O:O)</f>
        <v>#NAME?</v>
      </c>
      <c r="BK677" s="153" t="e">
        <f aca="false">_xlfn.xlookup(BG677,A626:A1620,AB626:AB1620)</f>
        <v>#NAME?</v>
      </c>
      <c r="BN677" s="146"/>
      <c r="BO677" s="150"/>
      <c r="BQ677" s="153" t="str">
        <f aca="false">IF(VALUE(MONTH(C677))&lt;10,YEAR(C677)&amp;"-0"&amp;MONTH(C677),YEAR(C677)&amp;"-"&amp;MONTH(C677))</f>
        <v>1900-01</v>
      </c>
      <c r="BR677" s="153" t="n">
        <f aca="false">J677</f>
        <v>0</v>
      </c>
      <c r="BS677" s="153" t="n">
        <f aca="false">IF(ISNUMBER(FIND("-", BR677)), LEFT(BR677, FIND("-", BR677) - 1), BR677)</f>
        <v>0</v>
      </c>
      <c r="BT677" s="189" t="n">
        <f aca="false">L677-M677+O677</f>
        <v>0</v>
      </c>
    </row>
    <row r="678" s="153" customFormat="true" ht="15" hidden="false" customHeight="false" outlineLevel="0" collapsed="false">
      <c r="AN678" s="153" t="e">
        <v>#NAME?</v>
      </c>
      <c r="AO678" s="153" t="e">
        <f aca="false">_xlfn.xlookup(AN678,A:A,F:F)</f>
        <v>#NAME?</v>
      </c>
      <c r="AP678" s="153" t="e">
        <f aca="false">_xlfn.xlookup(AN678,A:A,J:J)</f>
        <v>#NAME?</v>
      </c>
      <c r="AQ678" s="153" t="e">
        <f aca="false">_xlfn.xlookup(AN678,A:A,N:N)+_xlfn.xlookup(AN678,A:A,O:O)</f>
        <v>#NAME?</v>
      </c>
      <c r="AR678" s="150" t="e">
        <f aca="false">_xlfn.xlookup(AN678,A:A,AH:AH)</f>
        <v>#NAME?</v>
      </c>
      <c r="AS678" s="150" t="e">
        <f aca="false">_xlfn.xlookup(AN678,A:A,S:S)</f>
        <v>#NAME?</v>
      </c>
      <c r="AT678" s="150" t="e">
        <f aca="false">_xlfn.xlookup(AN678,A:A,AE:AE)</f>
        <v>#NAME?</v>
      </c>
      <c r="AU678" s="150" t="e">
        <f aca="false">_xlfn.xlookup(AN678,A:A,AF:AF)</f>
        <v>#NAME?</v>
      </c>
      <c r="AX678" s="146"/>
      <c r="AY678" s="150"/>
      <c r="AZ678" s="150"/>
      <c r="BA678" s="150"/>
      <c r="BB678" s="146"/>
      <c r="BC678" s="146"/>
      <c r="BD678" s="151"/>
      <c r="BE678" s="146"/>
      <c r="BF678" s="146"/>
      <c r="BH678" s="152" t="e">
        <f aca="false">_xlfn.xlookup(BG678,A:A,F:F)</f>
        <v>#NAME?</v>
      </c>
      <c r="BI678" s="153" t="e">
        <f aca="false">_xlfn.xlookup(BG678,A:A,J:J)</f>
        <v>#NAME?</v>
      </c>
      <c r="BJ678" s="153" t="e">
        <f aca="false">_xlfn.xlookup(BG678,A:A,N:N)+_xlfn.xlookup(BG678,A:A,O:O)</f>
        <v>#NAME?</v>
      </c>
      <c r="BK678" s="153" t="e">
        <f aca="false">_xlfn.xlookup(BG678,A627:A1621,AB627:AB1621)</f>
        <v>#NAME?</v>
      </c>
      <c r="BN678" s="146"/>
      <c r="BO678" s="150"/>
      <c r="BQ678" s="153" t="str">
        <f aca="false">IF(VALUE(MONTH(C678))&lt;10,YEAR(C678)&amp;"-0"&amp;MONTH(C678),YEAR(C678)&amp;"-"&amp;MONTH(C678))</f>
        <v>1900-01</v>
      </c>
      <c r="BR678" s="153" t="n">
        <f aca="false">J678</f>
        <v>0</v>
      </c>
      <c r="BS678" s="153" t="n">
        <f aca="false">IF(ISNUMBER(FIND("-", BR678)), LEFT(BR678, FIND("-", BR678) - 1), BR678)</f>
        <v>0</v>
      </c>
      <c r="BT678" s="189" t="n">
        <f aca="false">L678-M678+O678</f>
        <v>0</v>
      </c>
    </row>
    <row r="679" s="153" customFormat="true" ht="15" hidden="false" customHeight="false" outlineLevel="0" collapsed="false">
      <c r="AN679" s="153" t="e">
        <v>#NAME?</v>
      </c>
      <c r="AO679" s="153" t="e">
        <f aca="false">_xlfn.xlookup(AN679,A:A,F:F)</f>
        <v>#NAME?</v>
      </c>
      <c r="AP679" s="153" t="e">
        <f aca="false">_xlfn.xlookup(AN679,A:A,J:J)</f>
        <v>#NAME?</v>
      </c>
      <c r="AQ679" s="153" t="e">
        <f aca="false">_xlfn.xlookup(AN679,A:A,N:N)+_xlfn.xlookup(AN679,A:A,O:O)</f>
        <v>#NAME?</v>
      </c>
      <c r="AR679" s="150" t="e">
        <f aca="false">_xlfn.xlookup(AN679,A:A,AH:AH)</f>
        <v>#NAME?</v>
      </c>
      <c r="AS679" s="150" t="e">
        <f aca="false">_xlfn.xlookup(AN679,A:A,S:S)</f>
        <v>#NAME?</v>
      </c>
      <c r="AT679" s="150" t="e">
        <f aca="false">_xlfn.xlookup(AN679,A:A,AE:AE)</f>
        <v>#NAME?</v>
      </c>
      <c r="AU679" s="150" t="e">
        <f aca="false">_xlfn.xlookup(AN679,A:A,AF:AF)</f>
        <v>#NAME?</v>
      </c>
      <c r="AX679" s="146"/>
      <c r="AY679" s="150"/>
      <c r="AZ679" s="150"/>
      <c r="BA679" s="150"/>
      <c r="BB679" s="146"/>
      <c r="BC679" s="146"/>
      <c r="BD679" s="151"/>
      <c r="BE679" s="146"/>
      <c r="BF679" s="146"/>
      <c r="BH679" s="152" t="e">
        <f aca="false">_xlfn.xlookup(BG679,A:A,F:F)</f>
        <v>#NAME?</v>
      </c>
      <c r="BI679" s="153" t="e">
        <f aca="false">_xlfn.xlookup(BG679,A:A,J:J)</f>
        <v>#NAME?</v>
      </c>
      <c r="BJ679" s="153" t="e">
        <f aca="false">_xlfn.xlookup(BG679,A:A,N:N)+_xlfn.xlookup(BG679,A:A,O:O)</f>
        <v>#NAME?</v>
      </c>
      <c r="BK679" s="153" t="e">
        <f aca="false">_xlfn.xlookup(BG679,A628:A1622,AB628:AB1622)</f>
        <v>#NAME?</v>
      </c>
      <c r="BN679" s="146"/>
      <c r="BO679" s="150"/>
      <c r="BQ679" s="153" t="str">
        <f aca="false">IF(VALUE(MONTH(C679))&lt;10,YEAR(C679)&amp;"-0"&amp;MONTH(C679),YEAR(C679)&amp;"-"&amp;MONTH(C679))</f>
        <v>1900-01</v>
      </c>
      <c r="BR679" s="153" t="n">
        <f aca="false">J679</f>
        <v>0</v>
      </c>
      <c r="BS679" s="153" t="n">
        <f aca="false">IF(ISNUMBER(FIND("-", BR679)), LEFT(BR679, FIND("-", BR679) - 1), BR679)</f>
        <v>0</v>
      </c>
      <c r="BT679" s="189" t="n">
        <f aca="false">L679-M679+O679</f>
        <v>0</v>
      </c>
    </row>
    <row r="680" s="153" customFormat="true" ht="15" hidden="false" customHeight="false" outlineLevel="0" collapsed="false">
      <c r="AN680" s="153" t="e">
        <v>#NAME?</v>
      </c>
      <c r="AO680" s="153" t="e">
        <f aca="false">_xlfn.xlookup(AN680,A:A,F:F)</f>
        <v>#NAME?</v>
      </c>
      <c r="AP680" s="153" t="e">
        <f aca="false">_xlfn.xlookup(AN680,A:A,J:J)</f>
        <v>#NAME?</v>
      </c>
      <c r="AQ680" s="153" t="e">
        <f aca="false">_xlfn.xlookup(AN680,A:A,N:N)+_xlfn.xlookup(AN680,A:A,O:O)</f>
        <v>#NAME?</v>
      </c>
      <c r="AR680" s="150" t="e">
        <f aca="false">_xlfn.xlookup(AN680,A:A,AH:AH)</f>
        <v>#NAME?</v>
      </c>
      <c r="AS680" s="150" t="e">
        <f aca="false">_xlfn.xlookup(AN680,A:A,S:S)</f>
        <v>#NAME?</v>
      </c>
      <c r="AT680" s="150" t="e">
        <f aca="false">_xlfn.xlookup(AN680,A:A,AE:AE)</f>
        <v>#NAME?</v>
      </c>
      <c r="AU680" s="150" t="e">
        <f aca="false">_xlfn.xlookup(AN680,A:A,AF:AF)</f>
        <v>#NAME?</v>
      </c>
      <c r="AX680" s="146"/>
      <c r="AY680" s="150"/>
      <c r="AZ680" s="150"/>
      <c r="BA680" s="150"/>
      <c r="BB680" s="146"/>
      <c r="BC680" s="146"/>
      <c r="BD680" s="151"/>
      <c r="BE680" s="146"/>
      <c r="BF680" s="146"/>
      <c r="BH680" s="152" t="e">
        <f aca="false">_xlfn.xlookup(BG680,A:A,F:F)</f>
        <v>#NAME?</v>
      </c>
      <c r="BI680" s="153" t="e">
        <f aca="false">_xlfn.xlookup(BG680,A:A,J:J)</f>
        <v>#NAME?</v>
      </c>
      <c r="BJ680" s="153" t="e">
        <f aca="false">_xlfn.xlookup(BG680,A:A,N:N)+_xlfn.xlookup(BG680,A:A,O:O)</f>
        <v>#NAME?</v>
      </c>
      <c r="BK680" s="153" t="e">
        <f aca="false">_xlfn.xlookup(BG680,A629:A1623,AB629:AB1623)</f>
        <v>#NAME?</v>
      </c>
      <c r="BN680" s="146"/>
      <c r="BO680" s="150"/>
      <c r="BQ680" s="153" t="str">
        <f aca="false">IF(VALUE(MONTH(C680))&lt;10,YEAR(C680)&amp;"-0"&amp;MONTH(C680),YEAR(C680)&amp;"-"&amp;MONTH(C680))</f>
        <v>1900-01</v>
      </c>
      <c r="BR680" s="153" t="n">
        <f aca="false">J680</f>
        <v>0</v>
      </c>
      <c r="BS680" s="153" t="n">
        <f aca="false">IF(ISNUMBER(FIND("-", BR680)), LEFT(BR680, FIND("-", BR680) - 1), BR680)</f>
        <v>0</v>
      </c>
      <c r="BT680" s="189" t="n">
        <f aca="false">L680-M680+O680</f>
        <v>0</v>
      </c>
    </row>
    <row r="681" s="153" customFormat="true" ht="15" hidden="false" customHeight="false" outlineLevel="0" collapsed="false">
      <c r="AN681" s="153" t="e">
        <v>#NAME?</v>
      </c>
      <c r="AO681" s="153" t="e">
        <f aca="false">_xlfn.xlookup(AN681,A:A,F:F)</f>
        <v>#NAME?</v>
      </c>
      <c r="AP681" s="153" t="e">
        <f aca="false">_xlfn.xlookup(AN681,A:A,J:J)</f>
        <v>#NAME?</v>
      </c>
      <c r="AQ681" s="153" t="e">
        <f aca="false">_xlfn.xlookup(AN681,A:A,N:N)+_xlfn.xlookup(AN681,A:A,O:O)</f>
        <v>#NAME?</v>
      </c>
      <c r="AR681" s="150" t="e">
        <f aca="false">_xlfn.xlookup(AN681,A:A,AH:AH)</f>
        <v>#NAME?</v>
      </c>
      <c r="AS681" s="150" t="e">
        <f aca="false">_xlfn.xlookup(AN681,A:A,S:S)</f>
        <v>#NAME?</v>
      </c>
      <c r="AT681" s="150" t="e">
        <f aca="false">_xlfn.xlookup(AN681,A:A,AE:AE)</f>
        <v>#NAME?</v>
      </c>
      <c r="AU681" s="150" t="e">
        <f aca="false">_xlfn.xlookup(AN681,A:A,AF:AF)</f>
        <v>#NAME?</v>
      </c>
      <c r="AX681" s="146"/>
      <c r="AY681" s="150"/>
      <c r="AZ681" s="150"/>
      <c r="BA681" s="150"/>
      <c r="BB681" s="146"/>
      <c r="BC681" s="146"/>
      <c r="BD681" s="151"/>
      <c r="BE681" s="146"/>
      <c r="BF681" s="146"/>
      <c r="BH681" s="152" t="e">
        <f aca="false">_xlfn.xlookup(BG681,A:A,F:F)</f>
        <v>#NAME?</v>
      </c>
      <c r="BI681" s="153" t="e">
        <f aca="false">_xlfn.xlookup(BG681,A:A,J:J)</f>
        <v>#NAME?</v>
      </c>
      <c r="BJ681" s="153" t="e">
        <f aca="false">_xlfn.xlookup(BG681,A:A,N:N)+_xlfn.xlookup(BG681,A:A,O:O)</f>
        <v>#NAME?</v>
      </c>
      <c r="BK681" s="153" t="e">
        <f aca="false">_xlfn.xlookup(BG681,A630:A1624,AB630:AB1624)</f>
        <v>#NAME?</v>
      </c>
      <c r="BN681" s="146"/>
      <c r="BO681" s="150"/>
      <c r="BQ681" s="153" t="str">
        <f aca="false">IF(VALUE(MONTH(C681))&lt;10,YEAR(C681)&amp;"-0"&amp;MONTH(C681),YEAR(C681)&amp;"-"&amp;MONTH(C681))</f>
        <v>1900-01</v>
      </c>
      <c r="BR681" s="153" t="n">
        <f aca="false">J681</f>
        <v>0</v>
      </c>
      <c r="BS681" s="153" t="n">
        <f aca="false">IF(ISNUMBER(FIND("-", BR681)), LEFT(BR681, FIND("-", BR681) - 1), BR681)</f>
        <v>0</v>
      </c>
      <c r="BT681" s="189" t="n">
        <f aca="false">L681-M681+O681</f>
        <v>0</v>
      </c>
    </row>
    <row r="682" s="153" customFormat="true" ht="15" hidden="false" customHeight="false" outlineLevel="0" collapsed="false">
      <c r="AN682" s="153" t="e">
        <v>#NAME?</v>
      </c>
      <c r="AO682" s="153" t="e">
        <f aca="false">_xlfn.xlookup(AN682,A:A,F:F)</f>
        <v>#NAME?</v>
      </c>
      <c r="AP682" s="153" t="e">
        <f aca="false">_xlfn.xlookup(AN682,A:A,J:J)</f>
        <v>#NAME?</v>
      </c>
      <c r="AQ682" s="153" t="e">
        <f aca="false">_xlfn.xlookup(AN682,A:A,N:N)+_xlfn.xlookup(AN682,A:A,O:O)</f>
        <v>#NAME?</v>
      </c>
      <c r="AR682" s="150" t="e">
        <f aca="false">_xlfn.xlookup(AN682,A:A,AH:AH)</f>
        <v>#NAME?</v>
      </c>
      <c r="AS682" s="150" t="e">
        <f aca="false">_xlfn.xlookup(AN682,A:A,S:S)</f>
        <v>#NAME?</v>
      </c>
      <c r="AT682" s="150" t="e">
        <f aca="false">_xlfn.xlookup(AN682,A:A,AE:AE)</f>
        <v>#NAME?</v>
      </c>
      <c r="AU682" s="150" t="e">
        <f aca="false">_xlfn.xlookup(AN682,A:A,AF:AF)</f>
        <v>#NAME?</v>
      </c>
      <c r="AX682" s="146"/>
      <c r="AY682" s="150"/>
      <c r="AZ682" s="150"/>
      <c r="BA682" s="150"/>
      <c r="BB682" s="146"/>
      <c r="BC682" s="146"/>
      <c r="BD682" s="151"/>
      <c r="BE682" s="146"/>
      <c r="BF682" s="146"/>
      <c r="BH682" s="152" t="e">
        <f aca="false">_xlfn.xlookup(BG682,A:A,F:F)</f>
        <v>#NAME?</v>
      </c>
      <c r="BI682" s="153" t="e">
        <f aca="false">_xlfn.xlookup(BG682,A:A,J:J)</f>
        <v>#NAME?</v>
      </c>
      <c r="BJ682" s="153" t="e">
        <f aca="false">_xlfn.xlookup(BG682,A:A,N:N)+_xlfn.xlookup(BG682,A:A,O:O)</f>
        <v>#NAME?</v>
      </c>
      <c r="BK682" s="153" t="e">
        <f aca="false">_xlfn.xlookup(BG682,A631:A1625,AB631:AB1625)</f>
        <v>#NAME?</v>
      </c>
      <c r="BN682" s="146"/>
      <c r="BO682" s="150"/>
      <c r="BQ682" s="153" t="str">
        <f aca="false">IF(VALUE(MONTH(C682))&lt;10,YEAR(C682)&amp;"-0"&amp;MONTH(C682),YEAR(C682)&amp;"-"&amp;MONTH(C682))</f>
        <v>1900-01</v>
      </c>
      <c r="BR682" s="153" t="n">
        <f aca="false">J682</f>
        <v>0</v>
      </c>
      <c r="BS682" s="153" t="n">
        <f aca="false">IF(ISNUMBER(FIND("-", BR682)), LEFT(BR682, FIND("-", BR682) - 1), BR682)</f>
        <v>0</v>
      </c>
      <c r="BT682" s="189" t="n">
        <f aca="false">L682-M682+O682</f>
        <v>0</v>
      </c>
    </row>
    <row r="683" s="153" customFormat="true" ht="15" hidden="false" customHeight="false" outlineLevel="0" collapsed="false">
      <c r="AN683" s="153" t="e">
        <v>#NAME?</v>
      </c>
      <c r="AO683" s="153" t="e">
        <f aca="false">_xlfn.xlookup(AN683,A:A,F:F)</f>
        <v>#NAME?</v>
      </c>
      <c r="AP683" s="153" t="e">
        <f aca="false">_xlfn.xlookup(AN683,A:A,J:J)</f>
        <v>#NAME?</v>
      </c>
      <c r="AQ683" s="153" t="e">
        <f aca="false">_xlfn.xlookup(AN683,A:A,N:N)+_xlfn.xlookup(AN683,A:A,O:O)</f>
        <v>#NAME?</v>
      </c>
      <c r="AR683" s="150" t="e">
        <f aca="false">_xlfn.xlookup(AN683,A:A,AH:AH)</f>
        <v>#NAME?</v>
      </c>
      <c r="AS683" s="150" t="e">
        <f aca="false">_xlfn.xlookup(AN683,A:A,S:S)</f>
        <v>#NAME?</v>
      </c>
      <c r="AT683" s="150" t="e">
        <f aca="false">_xlfn.xlookup(AN683,A:A,AE:AE)</f>
        <v>#NAME?</v>
      </c>
      <c r="AU683" s="150" t="e">
        <f aca="false">_xlfn.xlookup(AN683,A:A,AF:AF)</f>
        <v>#NAME?</v>
      </c>
      <c r="AX683" s="146"/>
      <c r="AY683" s="150"/>
      <c r="AZ683" s="150"/>
      <c r="BA683" s="150"/>
      <c r="BB683" s="146"/>
      <c r="BC683" s="146"/>
      <c r="BD683" s="151"/>
      <c r="BE683" s="146"/>
      <c r="BF683" s="146"/>
      <c r="BH683" s="152" t="e">
        <f aca="false">_xlfn.xlookup(BG683,A:A,F:F)</f>
        <v>#NAME?</v>
      </c>
      <c r="BI683" s="153" t="e">
        <f aca="false">_xlfn.xlookup(BG683,A:A,J:J)</f>
        <v>#NAME?</v>
      </c>
      <c r="BJ683" s="153" t="e">
        <f aca="false">_xlfn.xlookup(BG683,A:A,N:N)+_xlfn.xlookup(BG683,A:A,O:O)</f>
        <v>#NAME?</v>
      </c>
      <c r="BK683" s="153" t="e">
        <f aca="false">_xlfn.xlookup(BG683,A632:A1626,AB632:AB1626)</f>
        <v>#NAME?</v>
      </c>
      <c r="BN683" s="146"/>
      <c r="BO683" s="150"/>
      <c r="BQ683" s="153" t="str">
        <f aca="false">IF(VALUE(MONTH(C683))&lt;10,YEAR(C683)&amp;"-0"&amp;MONTH(C683),YEAR(C683)&amp;"-"&amp;MONTH(C683))</f>
        <v>1900-01</v>
      </c>
      <c r="BR683" s="153" t="n">
        <f aca="false">J683</f>
        <v>0</v>
      </c>
      <c r="BS683" s="153" t="n">
        <f aca="false">IF(ISNUMBER(FIND("-", BR683)), LEFT(BR683, FIND("-", BR683) - 1), BR683)</f>
        <v>0</v>
      </c>
      <c r="BT683" s="189" t="n">
        <f aca="false">L683-M683+O683</f>
        <v>0</v>
      </c>
    </row>
    <row r="684" s="153" customFormat="true" ht="15" hidden="false" customHeight="false" outlineLevel="0" collapsed="false">
      <c r="AN684" s="153" t="e">
        <v>#NAME?</v>
      </c>
      <c r="AO684" s="153" t="e">
        <f aca="false">_xlfn.xlookup(AN684,A:A,F:F)</f>
        <v>#NAME?</v>
      </c>
      <c r="AP684" s="153" t="e">
        <f aca="false">_xlfn.xlookup(AN684,A:A,J:J)</f>
        <v>#NAME?</v>
      </c>
      <c r="AQ684" s="153" t="e">
        <f aca="false">_xlfn.xlookup(AN684,A:A,N:N)+_xlfn.xlookup(AN684,A:A,O:O)</f>
        <v>#NAME?</v>
      </c>
      <c r="AR684" s="150" t="e">
        <f aca="false">_xlfn.xlookup(AN684,A:A,AH:AH)</f>
        <v>#NAME?</v>
      </c>
      <c r="AS684" s="150" t="e">
        <f aca="false">_xlfn.xlookup(AN684,A:A,S:S)</f>
        <v>#NAME?</v>
      </c>
      <c r="AT684" s="150" t="e">
        <f aca="false">_xlfn.xlookup(AN684,A:A,AE:AE)</f>
        <v>#NAME?</v>
      </c>
      <c r="AU684" s="150" t="e">
        <f aca="false">_xlfn.xlookup(AN684,A:A,AF:AF)</f>
        <v>#NAME?</v>
      </c>
      <c r="AX684" s="146"/>
      <c r="AY684" s="150"/>
      <c r="AZ684" s="150"/>
      <c r="BA684" s="150"/>
      <c r="BB684" s="146"/>
      <c r="BC684" s="146"/>
      <c r="BD684" s="151"/>
      <c r="BE684" s="146"/>
      <c r="BF684" s="146"/>
      <c r="BH684" s="152" t="e">
        <f aca="false">_xlfn.xlookup(BG684,A:A,F:F)</f>
        <v>#NAME?</v>
      </c>
      <c r="BI684" s="153" t="e">
        <f aca="false">_xlfn.xlookup(BG684,A:A,J:J)</f>
        <v>#NAME?</v>
      </c>
      <c r="BJ684" s="153" t="e">
        <f aca="false">_xlfn.xlookup(BG684,A:A,N:N)+_xlfn.xlookup(BG684,A:A,O:O)</f>
        <v>#NAME?</v>
      </c>
      <c r="BK684" s="153" t="e">
        <f aca="false">_xlfn.xlookup(BG684,A633:A1627,AB633:AB1627)</f>
        <v>#NAME?</v>
      </c>
      <c r="BN684" s="146"/>
      <c r="BO684" s="150"/>
      <c r="BQ684" s="153" t="str">
        <f aca="false">IF(VALUE(MONTH(C684))&lt;10,YEAR(C684)&amp;"-0"&amp;MONTH(C684),YEAR(C684)&amp;"-"&amp;MONTH(C684))</f>
        <v>1900-01</v>
      </c>
      <c r="BR684" s="153" t="n">
        <f aca="false">J684</f>
        <v>0</v>
      </c>
      <c r="BS684" s="153" t="n">
        <f aca="false">IF(ISNUMBER(FIND("-", BR684)), LEFT(BR684, FIND("-", BR684) - 1), BR684)</f>
        <v>0</v>
      </c>
      <c r="BT684" s="189" t="n">
        <f aca="false">L684-M684+O684</f>
        <v>0</v>
      </c>
    </row>
    <row r="685" s="153" customFormat="true" ht="15" hidden="false" customHeight="false" outlineLevel="0" collapsed="false">
      <c r="AN685" s="153" t="e">
        <v>#NAME?</v>
      </c>
      <c r="AO685" s="153" t="e">
        <f aca="false">_xlfn.xlookup(AN685,A:A,F:F)</f>
        <v>#NAME?</v>
      </c>
      <c r="AP685" s="153" t="e">
        <f aca="false">_xlfn.xlookup(AN685,A:A,J:J)</f>
        <v>#NAME?</v>
      </c>
      <c r="AQ685" s="153" t="e">
        <f aca="false">_xlfn.xlookup(AN685,A:A,N:N)+_xlfn.xlookup(AN685,A:A,O:O)</f>
        <v>#NAME?</v>
      </c>
      <c r="AR685" s="150" t="e">
        <f aca="false">_xlfn.xlookup(AN685,A:A,AH:AH)</f>
        <v>#NAME?</v>
      </c>
      <c r="AS685" s="150" t="e">
        <f aca="false">_xlfn.xlookup(AN685,A:A,S:S)</f>
        <v>#NAME?</v>
      </c>
      <c r="AT685" s="150" t="e">
        <f aca="false">_xlfn.xlookup(AN685,A:A,AE:AE)</f>
        <v>#NAME?</v>
      </c>
      <c r="AU685" s="150" t="e">
        <f aca="false">_xlfn.xlookup(AN685,A:A,AF:AF)</f>
        <v>#NAME?</v>
      </c>
      <c r="AX685" s="146"/>
      <c r="AY685" s="150"/>
      <c r="AZ685" s="150"/>
      <c r="BA685" s="150"/>
      <c r="BB685" s="146"/>
      <c r="BC685" s="146"/>
      <c r="BD685" s="151"/>
      <c r="BE685" s="146"/>
      <c r="BF685" s="146"/>
      <c r="BH685" s="152" t="e">
        <f aca="false">_xlfn.xlookup(BG685,A:A,F:F)</f>
        <v>#NAME?</v>
      </c>
      <c r="BI685" s="153" t="e">
        <f aca="false">_xlfn.xlookup(BG685,A:A,J:J)</f>
        <v>#NAME?</v>
      </c>
      <c r="BJ685" s="153" t="e">
        <f aca="false">_xlfn.xlookup(BG685,A:A,N:N)+_xlfn.xlookup(BG685,A:A,O:O)</f>
        <v>#NAME?</v>
      </c>
      <c r="BK685" s="153" t="e">
        <f aca="false">_xlfn.xlookup(BG685,A634:A1628,AB634:AB1628)</f>
        <v>#NAME?</v>
      </c>
      <c r="BN685" s="146"/>
      <c r="BO685" s="150"/>
      <c r="BQ685" s="153" t="str">
        <f aca="false">IF(VALUE(MONTH(C685))&lt;10,YEAR(C685)&amp;"-0"&amp;MONTH(C685),YEAR(C685)&amp;"-"&amp;MONTH(C685))</f>
        <v>1900-01</v>
      </c>
      <c r="BR685" s="153" t="n">
        <f aca="false">J685</f>
        <v>0</v>
      </c>
      <c r="BS685" s="153" t="n">
        <f aca="false">IF(ISNUMBER(FIND("-", BR685)), LEFT(BR685, FIND("-", BR685) - 1), BR685)</f>
        <v>0</v>
      </c>
      <c r="BT685" s="189" t="n">
        <f aca="false">L685-M685+O685</f>
        <v>0</v>
      </c>
    </row>
    <row r="686" s="153" customFormat="true" ht="15" hidden="false" customHeight="false" outlineLevel="0" collapsed="false">
      <c r="AN686" s="153" t="e">
        <v>#NAME?</v>
      </c>
      <c r="AO686" s="153" t="e">
        <f aca="false">_xlfn.xlookup(AN686,A:A,F:F)</f>
        <v>#NAME?</v>
      </c>
      <c r="AP686" s="153" t="e">
        <f aca="false">_xlfn.xlookup(AN686,A:A,J:J)</f>
        <v>#NAME?</v>
      </c>
      <c r="AQ686" s="153" t="e">
        <f aca="false">_xlfn.xlookup(AN686,A:A,N:N)+_xlfn.xlookup(AN686,A:A,O:O)</f>
        <v>#NAME?</v>
      </c>
      <c r="AR686" s="150" t="e">
        <f aca="false">_xlfn.xlookup(AN686,A:A,AH:AH)</f>
        <v>#NAME?</v>
      </c>
      <c r="AS686" s="150" t="e">
        <f aca="false">_xlfn.xlookup(AN686,A:A,S:S)</f>
        <v>#NAME?</v>
      </c>
      <c r="AT686" s="150" t="e">
        <f aca="false">_xlfn.xlookup(AN686,A:A,AE:AE)</f>
        <v>#NAME?</v>
      </c>
      <c r="AU686" s="150" t="e">
        <f aca="false">_xlfn.xlookup(AN686,A:A,AF:AF)</f>
        <v>#NAME?</v>
      </c>
      <c r="AX686" s="146"/>
      <c r="AY686" s="150"/>
      <c r="AZ686" s="150"/>
      <c r="BA686" s="150"/>
      <c r="BB686" s="146"/>
      <c r="BC686" s="146"/>
      <c r="BD686" s="151"/>
      <c r="BE686" s="146"/>
      <c r="BF686" s="146"/>
      <c r="BH686" s="152" t="e">
        <f aca="false">_xlfn.xlookup(BG686,A:A,F:F)</f>
        <v>#NAME?</v>
      </c>
      <c r="BI686" s="153" t="e">
        <f aca="false">_xlfn.xlookup(BG686,A:A,J:J)</f>
        <v>#NAME?</v>
      </c>
      <c r="BJ686" s="153" t="e">
        <f aca="false">_xlfn.xlookup(BG686,A:A,N:N)+_xlfn.xlookup(BG686,A:A,O:O)</f>
        <v>#NAME?</v>
      </c>
      <c r="BK686" s="153" t="e">
        <f aca="false">_xlfn.xlookup(BG686,A635:A1629,AB635:AB1629)</f>
        <v>#NAME?</v>
      </c>
      <c r="BN686" s="146"/>
      <c r="BO686" s="150"/>
      <c r="BQ686" s="153" t="str">
        <f aca="false">IF(VALUE(MONTH(C686))&lt;10,YEAR(C686)&amp;"-0"&amp;MONTH(C686),YEAR(C686)&amp;"-"&amp;MONTH(C686))</f>
        <v>1900-01</v>
      </c>
      <c r="BR686" s="153" t="n">
        <f aca="false">J686</f>
        <v>0</v>
      </c>
      <c r="BS686" s="153" t="n">
        <f aca="false">IF(ISNUMBER(FIND("-", BR686)), LEFT(BR686, FIND("-", BR686) - 1), BR686)</f>
        <v>0</v>
      </c>
      <c r="BT686" s="189" t="n">
        <f aca="false">L686-M686+O686</f>
        <v>0</v>
      </c>
    </row>
    <row r="687" s="153" customFormat="true" ht="15" hidden="false" customHeight="false" outlineLevel="0" collapsed="false">
      <c r="AN687" s="153" t="e">
        <v>#NAME?</v>
      </c>
      <c r="AO687" s="153" t="e">
        <f aca="false">_xlfn.xlookup(AN687,A:A,F:F)</f>
        <v>#NAME?</v>
      </c>
      <c r="AP687" s="153" t="e">
        <f aca="false">_xlfn.xlookup(AN687,A:A,J:J)</f>
        <v>#NAME?</v>
      </c>
      <c r="AQ687" s="153" t="e">
        <f aca="false">_xlfn.xlookup(AN687,A:A,N:N)+_xlfn.xlookup(AN687,A:A,O:O)</f>
        <v>#NAME?</v>
      </c>
      <c r="AR687" s="150" t="e">
        <f aca="false">_xlfn.xlookup(AN687,A:A,AH:AH)</f>
        <v>#NAME?</v>
      </c>
      <c r="AS687" s="150" t="e">
        <f aca="false">_xlfn.xlookup(AN687,A:A,S:S)</f>
        <v>#NAME?</v>
      </c>
      <c r="AT687" s="150" t="e">
        <f aca="false">_xlfn.xlookup(AN687,A:A,AE:AE)</f>
        <v>#NAME?</v>
      </c>
      <c r="AU687" s="150" t="e">
        <f aca="false">_xlfn.xlookup(AN687,A:A,AF:AF)</f>
        <v>#NAME?</v>
      </c>
      <c r="AX687" s="146"/>
      <c r="AY687" s="150"/>
      <c r="AZ687" s="150"/>
      <c r="BA687" s="150"/>
      <c r="BB687" s="146"/>
      <c r="BC687" s="146"/>
      <c r="BD687" s="151"/>
      <c r="BE687" s="146"/>
      <c r="BF687" s="146"/>
      <c r="BH687" s="152" t="e">
        <f aca="false">_xlfn.xlookup(BG687,A:A,F:F)</f>
        <v>#NAME?</v>
      </c>
      <c r="BI687" s="153" t="e">
        <f aca="false">_xlfn.xlookup(BG687,A:A,J:J)</f>
        <v>#NAME?</v>
      </c>
      <c r="BJ687" s="153" t="e">
        <f aca="false">_xlfn.xlookup(BG687,A:A,N:N)+_xlfn.xlookup(BG687,A:A,O:O)</f>
        <v>#NAME?</v>
      </c>
      <c r="BK687" s="153" t="e">
        <f aca="false">_xlfn.xlookup(BG687,A636:A1630,AB636:AB1630)</f>
        <v>#NAME?</v>
      </c>
      <c r="BN687" s="146"/>
      <c r="BO687" s="150"/>
      <c r="BQ687" s="153" t="str">
        <f aca="false">IF(VALUE(MONTH(C687))&lt;10,YEAR(C687)&amp;"-0"&amp;MONTH(C687),YEAR(C687)&amp;"-"&amp;MONTH(C687))</f>
        <v>1900-01</v>
      </c>
      <c r="BR687" s="153" t="n">
        <f aca="false">J687</f>
        <v>0</v>
      </c>
      <c r="BS687" s="153" t="n">
        <f aca="false">IF(ISNUMBER(FIND("-", BR687)), LEFT(BR687, FIND("-", BR687) - 1), BR687)</f>
        <v>0</v>
      </c>
      <c r="BT687" s="189" t="n">
        <f aca="false">L687-M687+O687</f>
        <v>0</v>
      </c>
    </row>
    <row r="688" s="153" customFormat="true" ht="15" hidden="false" customHeight="false" outlineLevel="0" collapsed="false">
      <c r="AN688" s="153" t="e">
        <v>#NAME?</v>
      </c>
      <c r="AO688" s="153" t="e">
        <f aca="false">_xlfn.xlookup(AN688,A:A,F:F)</f>
        <v>#NAME?</v>
      </c>
      <c r="AP688" s="153" t="e">
        <f aca="false">_xlfn.xlookup(AN688,A:A,J:J)</f>
        <v>#NAME?</v>
      </c>
      <c r="AQ688" s="153" t="e">
        <f aca="false">_xlfn.xlookup(AN688,A:A,N:N)+_xlfn.xlookup(AN688,A:A,O:O)</f>
        <v>#NAME?</v>
      </c>
      <c r="AR688" s="150" t="e">
        <f aca="false">_xlfn.xlookup(AN688,A:A,AH:AH)</f>
        <v>#NAME?</v>
      </c>
      <c r="AS688" s="150" t="e">
        <f aca="false">_xlfn.xlookup(AN688,A:A,S:S)</f>
        <v>#NAME?</v>
      </c>
      <c r="AT688" s="150" t="e">
        <f aca="false">_xlfn.xlookup(AN688,A:A,AE:AE)</f>
        <v>#NAME?</v>
      </c>
      <c r="AU688" s="150" t="e">
        <f aca="false">_xlfn.xlookup(AN688,A:A,AF:AF)</f>
        <v>#NAME?</v>
      </c>
      <c r="AX688" s="146"/>
      <c r="AY688" s="150"/>
      <c r="AZ688" s="150"/>
      <c r="BA688" s="150"/>
      <c r="BB688" s="146"/>
      <c r="BC688" s="146"/>
      <c r="BD688" s="151"/>
      <c r="BE688" s="146"/>
      <c r="BF688" s="146"/>
      <c r="BH688" s="152" t="e">
        <f aca="false">_xlfn.xlookup(BG688,A:A,F:F)</f>
        <v>#NAME?</v>
      </c>
      <c r="BI688" s="153" t="e">
        <f aca="false">_xlfn.xlookup(BG688,A:A,J:J)</f>
        <v>#NAME?</v>
      </c>
      <c r="BJ688" s="153" t="e">
        <f aca="false">_xlfn.xlookup(BG688,A:A,N:N)+_xlfn.xlookup(BG688,A:A,O:O)</f>
        <v>#NAME?</v>
      </c>
      <c r="BK688" s="153" t="e">
        <f aca="false">_xlfn.xlookup(BG688,A637:A1631,AB637:AB1631)</f>
        <v>#NAME?</v>
      </c>
      <c r="BN688" s="146"/>
      <c r="BO688" s="150"/>
      <c r="BQ688" s="153" t="str">
        <f aca="false">IF(VALUE(MONTH(C688))&lt;10,YEAR(C688)&amp;"-0"&amp;MONTH(C688),YEAR(C688)&amp;"-"&amp;MONTH(C688))</f>
        <v>1900-01</v>
      </c>
      <c r="BR688" s="153" t="n">
        <f aca="false">J688</f>
        <v>0</v>
      </c>
      <c r="BS688" s="153" t="n">
        <f aca="false">IF(ISNUMBER(FIND("-", BR688)), LEFT(BR688, FIND("-", BR688) - 1), BR688)</f>
        <v>0</v>
      </c>
      <c r="BT688" s="189" t="n">
        <f aca="false">L688-M688+O688</f>
        <v>0</v>
      </c>
    </row>
    <row r="689" s="153" customFormat="true" ht="15" hidden="false" customHeight="false" outlineLevel="0" collapsed="false">
      <c r="AN689" s="153" t="e">
        <v>#NAME?</v>
      </c>
      <c r="AO689" s="153" t="e">
        <f aca="false">_xlfn.xlookup(AN689,A:A,F:F)</f>
        <v>#NAME?</v>
      </c>
      <c r="AP689" s="153" t="e">
        <f aca="false">_xlfn.xlookup(AN689,A:A,J:J)</f>
        <v>#NAME?</v>
      </c>
      <c r="AQ689" s="153" t="e">
        <f aca="false">_xlfn.xlookup(AN689,A:A,N:N)+_xlfn.xlookup(AN689,A:A,O:O)</f>
        <v>#NAME?</v>
      </c>
      <c r="AR689" s="150" t="e">
        <f aca="false">_xlfn.xlookup(AN689,A:A,AH:AH)</f>
        <v>#NAME?</v>
      </c>
      <c r="AS689" s="150" t="e">
        <f aca="false">_xlfn.xlookup(AN689,A:A,S:S)</f>
        <v>#NAME?</v>
      </c>
      <c r="AT689" s="150" t="e">
        <f aca="false">_xlfn.xlookup(AN689,A:A,AE:AE)</f>
        <v>#NAME?</v>
      </c>
      <c r="AU689" s="150" t="e">
        <f aca="false">_xlfn.xlookup(AN689,A:A,AF:AF)</f>
        <v>#NAME?</v>
      </c>
      <c r="AX689" s="146"/>
      <c r="AY689" s="150"/>
      <c r="AZ689" s="150"/>
      <c r="BA689" s="150"/>
      <c r="BB689" s="146"/>
      <c r="BC689" s="146"/>
      <c r="BD689" s="151"/>
      <c r="BE689" s="146"/>
      <c r="BF689" s="146"/>
      <c r="BH689" s="152" t="e">
        <f aca="false">_xlfn.xlookup(BG689,A:A,F:F)</f>
        <v>#NAME?</v>
      </c>
      <c r="BI689" s="153" t="e">
        <f aca="false">_xlfn.xlookup(BG689,A:A,J:J)</f>
        <v>#NAME?</v>
      </c>
      <c r="BJ689" s="153" t="e">
        <f aca="false">_xlfn.xlookup(BG689,A:A,N:N)+_xlfn.xlookup(BG689,A:A,O:O)</f>
        <v>#NAME?</v>
      </c>
      <c r="BK689" s="153" t="e">
        <f aca="false">_xlfn.xlookup(BG689,A638:A1632,AB638:AB1632)</f>
        <v>#NAME?</v>
      </c>
      <c r="BN689" s="146"/>
      <c r="BO689" s="150"/>
      <c r="BQ689" s="153" t="str">
        <f aca="false">IF(VALUE(MONTH(C689))&lt;10,YEAR(C689)&amp;"-0"&amp;MONTH(C689),YEAR(C689)&amp;"-"&amp;MONTH(C689))</f>
        <v>1900-01</v>
      </c>
      <c r="BR689" s="153" t="n">
        <f aca="false">J689</f>
        <v>0</v>
      </c>
      <c r="BS689" s="153" t="n">
        <f aca="false">IF(ISNUMBER(FIND("-", BR689)), LEFT(BR689, FIND("-", BR689) - 1), BR689)</f>
        <v>0</v>
      </c>
      <c r="BT689" s="189" t="n">
        <f aca="false">L689-M689+O689</f>
        <v>0</v>
      </c>
    </row>
    <row r="690" s="153" customFormat="true" ht="15" hidden="false" customHeight="false" outlineLevel="0" collapsed="false">
      <c r="AN690" s="153" t="e">
        <v>#NAME?</v>
      </c>
      <c r="AO690" s="153" t="e">
        <f aca="false">_xlfn.xlookup(AN690,A:A,F:F)</f>
        <v>#NAME?</v>
      </c>
      <c r="AP690" s="153" t="e">
        <f aca="false">_xlfn.xlookup(AN690,A:A,J:J)</f>
        <v>#NAME?</v>
      </c>
      <c r="AQ690" s="153" t="e">
        <f aca="false">_xlfn.xlookup(AN690,A:A,N:N)+_xlfn.xlookup(AN690,A:A,O:O)</f>
        <v>#NAME?</v>
      </c>
      <c r="AR690" s="150" t="e">
        <f aca="false">_xlfn.xlookup(AN690,A:A,AH:AH)</f>
        <v>#NAME?</v>
      </c>
      <c r="AS690" s="150" t="e">
        <f aca="false">_xlfn.xlookup(AN690,A:A,S:S)</f>
        <v>#NAME?</v>
      </c>
      <c r="AT690" s="150" t="e">
        <f aca="false">_xlfn.xlookup(AN690,A:A,AE:AE)</f>
        <v>#NAME?</v>
      </c>
      <c r="AU690" s="150" t="e">
        <f aca="false">_xlfn.xlookup(AN690,A:A,AF:AF)</f>
        <v>#NAME?</v>
      </c>
      <c r="AX690" s="146"/>
      <c r="AY690" s="150"/>
      <c r="AZ690" s="150"/>
      <c r="BA690" s="150"/>
      <c r="BB690" s="146"/>
      <c r="BC690" s="146"/>
      <c r="BD690" s="151"/>
      <c r="BE690" s="146"/>
      <c r="BF690" s="146"/>
      <c r="BH690" s="152" t="e">
        <f aca="false">_xlfn.xlookup(BG690,A:A,F:F)</f>
        <v>#NAME?</v>
      </c>
      <c r="BI690" s="153" t="e">
        <f aca="false">_xlfn.xlookup(BG690,A:A,J:J)</f>
        <v>#NAME?</v>
      </c>
      <c r="BJ690" s="153" t="e">
        <f aca="false">_xlfn.xlookup(BG690,A:A,N:N)+_xlfn.xlookup(BG690,A:A,O:O)</f>
        <v>#NAME?</v>
      </c>
      <c r="BK690" s="153" t="e">
        <f aca="false">_xlfn.xlookup(BG690,A639:A1633,AB639:AB1633)</f>
        <v>#NAME?</v>
      </c>
      <c r="BN690" s="146"/>
      <c r="BO690" s="150"/>
      <c r="BQ690" s="153" t="str">
        <f aca="false">IF(VALUE(MONTH(C690))&lt;10,YEAR(C690)&amp;"-0"&amp;MONTH(C690),YEAR(C690)&amp;"-"&amp;MONTH(C690))</f>
        <v>1900-01</v>
      </c>
      <c r="BR690" s="153" t="n">
        <f aca="false">J690</f>
        <v>0</v>
      </c>
      <c r="BS690" s="153" t="n">
        <f aca="false">IF(ISNUMBER(FIND("-", BR690)), LEFT(BR690, FIND("-", BR690) - 1), BR690)</f>
        <v>0</v>
      </c>
      <c r="BT690" s="189" t="n">
        <f aca="false">L690-M690+O690</f>
        <v>0</v>
      </c>
    </row>
    <row r="691" s="153" customFormat="true" ht="15" hidden="false" customHeight="false" outlineLevel="0" collapsed="false">
      <c r="AN691" s="153" t="e">
        <v>#NAME?</v>
      </c>
      <c r="AO691" s="153" t="e">
        <f aca="false">_xlfn.xlookup(AN691,A:A,F:F)</f>
        <v>#NAME?</v>
      </c>
      <c r="AP691" s="153" t="e">
        <f aca="false">_xlfn.xlookup(AN691,A:A,J:J)</f>
        <v>#NAME?</v>
      </c>
      <c r="AQ691" s="153" t="e">
        <f aca="false">_xlfn.xlookup(AN691,A:A,N:N)+_xlfn.xlookup(AN691,A:A,O:O)</f>
        <v>#NAME?</v>
      </c>
      <c r="AR691" s="150" t="e">
        <f aca="false">_xlfn.xlookup(AN691,A:A,AH:AH)</f>
        <v>#NAME?</v>
      </c>
      <c r="AS691" s="150" t="e">
        <f aca="false">_xlfn.xlookup(AN691,A:A,S:S)</f>
        <v>#NAME?</v>
      </c>
      <c r="AT691" s="150" t="e">
        <f aca="false">_xlfn.xlookup(AN691,A:A,AE:AE)</f>
        <v>#NAME?</v>
      </c>
      <c r="AU691" s="150" t="e">
        <f aca="false">_xlfn.xlookup(AN691,A:A,AF:AF)</f>
        <v>#NAME?</v>
      </c>
      <c r="AX691" s="146"/>
      <c r="AY691" s="150"/>
      <c r="AZ691" s="150"/>
      <c r="BA691" s="150"/>
      <c r="BB691" s="146"/>
      <c r="BC691" s="146"/>
      <c r="BD691" s="151"/>
      <c r="BE691" s="146"/>
      <c r="BF691" s="146"/>
      <c r="BH691" s="152" t="e">
        <f aca="false">_xlfn.xlookup(BG691,A:A,F:F)</f>
        <v>#NAME?</v>
      </c>
      <c r="BI691" s="153" t="e">
        <f aca="false">_xlfn.xlookup(BG691,A:A,J:J)</f>
        <v>#NAME?</v>
      </c>
      <c r="BJ691" s="153" t="e">
        <f aca="false">_xlfn.xlookup(BG691,A:A,N:N)+_xlfn.xlookup(BG691,A:A,O:O)</f>
        <v>#NAME?</v>
      </c>
      <c r="BK691" s="153" t="e">
        <f aca="false">_xlfn.xlookup(BG691,A640:A1634,AB640:AB1634)</f>
        <v>#NAME?</v>
      </c>
      <c r="BN691" s="146"/>
      <c r="BO691" s="150"/>
      <c r="BQ691" s="153" t="str">
        <f aca="false">IF(VALUE(MONTH(C691))&lt;10,YEAR(C691)&amp;"-0"&amp;MONTH(C691),YEAR(C691)&amp;"-"&amp;MONTH(C691))</f>
        <v>1900-01</v>
      </c>
      <c r="BR691" s="153" t="n">
        <f aca="false">J691</f>
        <v>0</v>
      </c>
      <c r="BS691" s="153" t="n">
        <f aca="false">IF(ISNUMBER(FIND("-", BR691)), LEFT(BR691, FIND("-", BR691) - 1), BR691)</f>
        <v>0</v>
      </c>
      <c r="BT691" s="189" t="n">
        <f aca="false">L691-M691+O691</f>
        <v>0</v>
      </c>
    </row>
    <row r="692" s="153" customFormat="true" ht="15" hidden="false" customHeight="false" outlineLevel="0" collapsed="false">
      <c r="AN692" s="153" t="e">
        <v>#NAME?</v>
      </c>
      <c r="AO692" s="153" t="e">
        <f aca="false">_xlfn.xlookup(AN692,A:A,F:F)</f>
        <v>#NAME?</v>
      </c>
      <c r="AP692" s="153" t="e">
        <f aca="false">_xlfn.xlookup(AN692,A:A,J:J)</f>
        <v>#NAME?</v>
      </c>
      <c r="AQ692" s="153" t="e">
        <f aca="false">_xlfn.xlookup(AN692,A:A,N:N)+_xlfn.xlookup(AN692,A:A,O:O)</f>
        <v>#NAME?</v>
      </c>
      <c r="AR692" s="150" t="e">
        <f aca="false">_xlfn.xlookup(AN692,A:A,AH:AH)</f>
        <v>#NAME?</v>
      </c>
      <c r="AS692" s="150" t="e">
        <f aca="false">_xlfn.xlookup(AN692,A:A,S:S)</f>
        <v>#NAME?</v>
      </c>
      <c r="AT692" s="150" t="e">
        <f aca="false">_xlfn.xlookup(AN692,A:A,AE:AE)</f>
        <v>#NAME?</v>
      </c>
      <c r="AU692" s="150" t="e">
        <f aca="false">_xlfn.xlookup(AN692,A:A,AF:AF)</f>
        <v>#NAME?</v>
      </c>
      <c r="AX692" s="146"/>
      <c r="AY692" s="150"/>
      <c r="AZ692" s="150"/>
      <c r="BA692" s="150"/>
      <c r="BB692" s="146"/>
      <c r="BC692" s="146"/>
      <c r="BD692" s="151"/>
      <c r="BE692" s="146"/>
      <c r="BF692" s="146"/>
      <c r="BH692" s="152" t="e">
        <f aca="false">_xlfn.xlookup(BG692,A:A,F:F)</f>
        <v>#NAME?</v>
      </c>
      <c r="BI692" s="153" t="e">
        <f aca="false">_xlfn.xlookup(BG692,A:A,J:J)</f>
        <v>#NAME?</v>
      </c>
      <c r="BJ692" s="153" t="e">
        <f aca="false">_xlfn.xlookup(BG692,A:A,N:N)+_xlfn.xlookup(BG692,A:A,O:O)</f>
        <v>#NAME?</v>
      </c>
      <c r="BK692" s="153" t="e">
        <f aca="false">_xlfn.xlookup(BG692,A641:A1635,AB641:AB1635)</f>
        <v>#NAME?</v>
      </c>
      <c r="BN692" s="146"/>
      <c r="BO692" s="150"/>
      <c r="BQ692" s="153" t="str">
        <f aca="false">IF(VALUE(MONTH(C692))&lt;10,YEAR(C692)&amp;"-0"&amp;MONTH(C692),YEAR(C692)&amp;"-"&amp;MONTH(C692))</f>
        <v>1900-01</v>
      </c>
      <c r="BR692" s="153" t="n">
        <f aca="false">J692</f>
        <v>0</v>
      </c>
      <c r="BS692" s="153" t="n">
        <f aca="false">IF(ISNUMBER(FIND("-", BR692)), LEFT(BR692, FIND("-", BR692) - 1), BR692)</f>
        <v>0</v>
      </c>
      <c r="BT692" s="189" t="n">
        <f aca="false">L692-M692+O692</f>
        <v>0</v>
      </c>
    </row>
    <row r="693" s="153" customFormat="true" ht="15" hidden="false" customHeight="false" outlineLevel="0" collapsed="false">
      <c r="AN693" s="153" t="e">
        <v>#NAME?</v>
      </c>
      <c r="AO693" s="153" t="e">
        <f aca="false">_xlfn.xlookup(AN693,A:A,F:F)</f>
        <v>#NAME?</v>
      </c>
      <c r="AP693" s="153" t="e">
        <f aca="false">_xlfn.xlookup(AN693,A:A,J:J)</f>
        <v>#NAME?</v>
      </c>
      <c r="AQ693" s="153" t="e">
        <f aca="false">_xlfn.xlookup(AN693,A:A,N:N)+_xlfn.xlookup(AN693,A:A,O:O)</f>
        <v>#NAME?</v>
      </c>
      <c r="AR693" s="150" t="e">
        <f aca="false">_xlfn.xlookup(AN693,A:A,AH:AH)</f>
        <v>#NAME?</v>
      </c>
      <c r="AS693" s="150" t="e">
        <f aca="false">_xlfn.xlookup(AN693,A:A,S:S)</f>
        <v>#NAME?</v>
      </c>
      <c r="AT693" s="150" t="e">
        <f aca="false">_xlfn.xlookup(AN693,A:A,AE:AE)</f>
        <v>#NAME?</v>
      </c>
      <c r="AU693" s="150" t="e">
        <f aca="false">_xlfn.xlookup(AN693,A:A,AF:AF)</f>
        <v>#NAME?</v>
      </c>
      <c r="AX693" s="146"/>
      <c r="AY693" s="150"/>
      <c r="AZ693" s="150"/>
      <c r="BA693" s="150"/>
      <c r="BB693" s="146"/>
      <c r="BC693" s="146"/>
      <c r="BD693" s="151"/>
      <c r="BE693" s="146"/>
      <c r="BF693" s="146"/>
      <c r="BH693" s="152" t="e">
        <f aca="false">_xlfn.xlookup(BG693,A:A,F:F)</f>
        <v>#NAME?</v>
      </c>
      <c r="BI693" s="153" t="e">
        <f aca="false">_xlfn.xlookup(BG693,A:A,J:J)</f>
        <v>#NAME?</v>
      </c>
      <c r="BJ693" s="153" t="e">
        <f aca="false">_xlfn.xlookup(BG693,A:A,N:N)+_xlfn.xlookup(BG693,A:A,O:O)</f>
        <v>#NAME?</v>
      </c>
      <c r="BK693" s="153" t="e">
        <f aca="false">_xlfn.xlookup(BG693,A642:A1636,AB642:AB1636)</f>
        <v>#NAME?</v>
      </c>
      <c r="BN693" s="146"/>
      <c r="BO693" s="150"/>
      <c r="BQ693" s="153" t="str">
        <f aca="false">IF(VALUE(MONTH(C693))&lt;10,YEAR(C693)&amp;"-0"&amp;MONTH(C693),YEAR(C693)&amp;"-"&amp;MONTH(C693))</f>
        <v>1900-01</v>
      </c>
      <c r="BR693" s="153" t="n">
        <f aca="false">J693</f>
        <v>0</v>
      </c>
      <c r="BS693" s="153" t="n">
        <f aca="false">IF(ISNUMBER(FIND("-", BR693)), LEFT(BR693, FIND("-", BR693) - 1), BR693)</f>
        <v>0</v>
      </c>
      <c r="BT693" s="189" t="n">
        <f aca="false">L693-M693+O693</f>
        <v>0</v>
      </c>
    </row>
    <row r="694" s="153" customFormat="true" ht="15" hidden="false" customHeight="false" outlineLevel="0" collapsed="false">
      <c r="AN694" s="153" t="e">
        <v>#NAME?</v>
      </c>
      <c r="AO694" s="153" t="e">
        <f aca="false">_xlfn.xlookup(AN694,A:A,F:F)</f>
        <v>#NAME?</v>
      </c>
      <c r="AP694" s="153" t="e">
        <f aca="false">_xlfn.xlookup(AN694,A:A,J:J)</f>
        <v>#NAME?</v>
      </c>
      <c r="AQ694" s="153" t="e">
        <f aca="false">_xlfn.xlookup(AN694,A:A,N:N)+_xlfn.xlookup(AN694,A:A,O:O)</f>
        <v>#NAME?</v>
      </c>
      <c r="AR694" s="150" t="e">
        <f aca="false">_xlfn.xlookup(AN694,A:A,AH:AH)</f>
        <v>#NAME?</v>
      </c>
      <c r="AS694" s="150" t="e">
        <f aca="false">_xlfn.xlookup(AN694,A:A,S:S)</f>
        <v>#NAME?</v>
      </c>
      <c r="AT694" s="150" t="e">
        <f aca="false">_xlfn.xlookup(AN694,A:A,AE:AE)</f>
        <v>#NAME?</v>
      </c>
      <c r="AU694" s="150" t="e">
        <f aca="false">_xlfn.xlookup(AN694,A:A,AF:AF)</f>
        <v>#NAME?</v>
      </c>
      <c r="AX694" s="146"/>
      <c r="AY694" s="150"/>
      <c r="AZ694" s="150"/>
      <c r="BA694" s="150"/>
      <c r="BB694" s="146"/>
      <c r="BC694" s="146"/>
      <c r="BD694" s="151"/>
      <c r="BE694" s="146"/>
      <c r="BF694" s="146"/>
      <c r="BH694" s="152" t="e">
        <f aca="false">_xlfn.xlookup(BG694,A:A,F:F)</f>
        <v>#NAME?</v>
      </c>
      <c r="BI694" s="153" t="e">
        <f aca="false">_xlfn.xlookup(BG694,A:A,J:J)</f>
        <v>#NAME?</v>
      </c>
      <c r="BJ694" s="153" t="e">
        <f aca="false">_xlfn.xlookup(BG694,A:A,N:N)+_xlfn.xlookup(BG694,A:A,O:O)</f>
        <v>#NAME?</v>
      </c>
      <c r="BK694" s="153" t="e">
        <f aca="false">_xlfn.xlookup(BG694,A643:A1637,AB643:AB1637)</f>
        <v>#NAME?</v>
      </c>
      <c r="BN694" s="146"/>
      <c r="BO694" s="150"/>
      <c r="BQ694" s="153" t="str">
        <f aca="false">IF(VALUE(MONTH(C694))&lt;10,YEAR(C694)&amp;"-0"&amp;MONTH(C694),YEAR(C694)&amp;"-"&amp;MONTH(C694))</f>
        <v>1900-01</v>
      </c>
      <c r="BR694" s="153" t="n">
        <f aca="false">J694</f>
        <v>0</v>
      </c>
      <c r="BS694" s="153" t="n">
        <f aca="false">IF(ISNUMBER(FIND("-", BR694)), LEFT(BR694, FIND("-", BR694) - 1), BR694)</f>
        <v>0</v>
      </c>
      <c r="BT694" s="189" t="n">
        <f aca="false">L694-M694+O694</f>
        <v>0</v>
      </c>
    </row>
    <row r="695" s="153" customFormat="true" ht="15" hidden="false" customHeight="false" outlineLevel="0" collapsed="false">
      <c r="AN695" s="153" t="e">
        <v>#NAME?</v>
      </c>
      <c r="AO695" s="153" t="e">
        <f aca="false">_xlfn.xlookup(AN695,A:A,F:F)</f>
        <v>#NAME?</v>
      </c>
      <c r="AP695" s="153" t="e">
        <f aca="false">_xlfn.xlookup(AN695,A:A,J:J)</f>
        <v>#NAME?</v>
      </c>
      <c r="AQ695" s="153" t="e">
        <f aca="false">_xlfn.xlookup(AN695,A:A,N:N)+_xlfn.xlookup(AN695,A:A,O:O)</f>
        <v>#NAME?</v>
      </c>
      <c r="AR695" s="150" t="e">
        <f aca="false">_xlfn.xlookup(AN695,A:A,AH:AH)</f>
        <v>#NAME?</v>
      </c>
      <c r="AS695" s="150" t="e">
        <f aca="false">_xlfn.xlookup(AN695,A:A,S:S)</f>
        <v>#NAME?</v>
      </c>
      <c r="AT695" s="150" t="e">
        <f aca="false">_xlfn.xlookup(AN695,A:A,AE:AE)</f>
        <v>#NAME?</v>
      </c>
      <c r="AU695" s="150" t="e">
        <f aca="false">_xlfn.xlookup(AN695,A:A,AF:AF)</f>
        <v>#NAME?</v>
      </c>
      <c r="AX695" s="146"/>
      <c r="AY695" s="150"/>
      <c r="AZ695" s="150"/>
      <c r="BA695" s="150"/>
      <c r="BB695" s="146"/>
      <c r="BC695" s="146"/>
      <c r="BD695" s="151"/>
      <c r="BE695" s="146"/>
      <c r="BF695" s="146"/>
      <c r="BH695" s="152" t="e">
        <f aca="false">_xlfn.xlookup(BG695,A:A,F:F)</f>
        <v>#NAME?</v>
      </c>
      <c r="BI695" s="153" t="e">
        <f aca="false">_xlfn.xlookup(BG695,A:A,J:J)</f>
        <v>#NAME?</v>
      </c>
      <c r="BJ695" s="153" t="e">
        <f aca="false">_xlfn.xlookup(BG695,A:A,N:N)+_xlfn.xlookup(BG695,A:A,O:O)</f>
        <v>#NAME?</v>
      </c>
      <c r="BK695" s="153" t="e">
        <f aca="false">_xlfn.xlookup(BG695,A644:A1638,AB644:AB1638)</f>
        <v>#NAME?</v>
      </c>
      <c r="BN695" s="146"/>
      <c r="BO695" s="150"/>
      <c r="BQ695" s="153" t="str">
        <f aca="false">IF(VALUE(MONTH(C695))&lt;10,YEAR(C695)&amp;"-0"&amp;MONTH(C695),YEAR(C695)&amp;"-"&amp;MONTH(C695))</f>
        <v>1900-01</v>
      </c>
      <c r="BR695" s="153" t="n">
        <f aca="false">J695</f>
        <v>0</v>
      </c>
      <c r="BS695" s="153" t="n">
        <f aca="false">IF(ISNUMBER(FIND("-", BR695)), LEFT(BR695, FIND("-", BR695) - 1), BR695)</f>
        <v>0</v>
      </c>
      <c r="BT695" s="189" t="n">
        <f aca="false">L695-M695+O695</f>
        <v>0</v>
      </c>
    </row>
    <row r="696" s="153" customFormat="true" ht="15" hidden="false" customHeight="false" outlineLevel="0" collapsed="false">
      <c r="AN696" s="153" t="e">
        <v>#NAME?</v>
      </c>
      <c r="AO696" s="153" t="e">
        <f aca="false">_xlfn.xlookup(AN696,A:A,F:F)</f>
        <v>#NAME?</v>
      </c>
      <c r="AP696" s="153" t="e">
        <f aca="false">_xlfn.xlookup(AN696,A:A,J:J)</f>
        <v>#NAME?</v>
      </c>
      <c r="AQ696" s="153" t="e">
        <f aca="false">_xlfn.xlookup(AN696,A:A,N:N)+_xlfn.xlookup(AN696,A:A,O:O)</f>
        <v>#NAME?</v>
      </c>
      <c r="AR696" s="150" t="e">
        <f aca="false">_xlfn.xlookup(AN696,A:A,AH:AH)</f>
        <v>#NAME?</v>
      </c>
      <c r="AS696" s="150" t="e">
        <f aca="false">_xlfn.xlookup(AN696,A:A,S:S)</f>
        <v>#NAME?</v>
      </c>
      <c r="AT696" s="150" t="e">
        <f aca="false">_xlfn.xlookup(AN696,A:A,AE:AE)</f>
        <v>#NAME?</v>
      </c>
      <c r="AU696" s="150" t="e">
        <f aca="false">_xlfn.xlookup(AN696,A:A,AF:AF)</f>
        <v>#NAME?</v>
      </c>
      <c r="AX696" s="146"/>
      <c r="AY696" s="150"/>
      <c r="AZ696" s="150"/>
      <c r="BA696" s="150"/>
      <c r="BB696" s="146"/>
      <c r="BC696" s="146"/>
      <c r="BD696" s="151"/>
      <c r="BE696" s="146"/>
      <c r="BF696" s="146"/>
      <c r="BH696" s="152" t="e">
        <f aca="false">_xlfn.xlookup(BG696,A:A,F:F)</f>
        <v>#NAME?</v>
      </c>
      <c r="BI696" s="153" t="e">
        <f aca="false">_xlfn.xlookup(BG696,A:A,J:J)</f>
        <v>#NAME?</v>
      </c>
      <c r="BJ696" s="153" t="e">
        <f aca="false">_xlfn.xlookup(BG696,A:A,N:N)+_xlfn.xlookup(BG696,A:A,O:O)</f>
        <v>#NAME?</v>
      </c>
      <c r="BK696" s="153" t="e">
        <f aca="false">_xlfn.xlookup(BG696,A645:A1639,AB645:AB1639)</f>
        <v>#NAME?</v>
      </c>
      <c r="BN696" s="146"/>
      <c r="BO696" s="150"/>
      <c r="BQ696" s="153" t="str">
        <f aca="false">IF(VALUE(MONTH(C696))&lt;10,YEAR(C696)&amp;"-0"&amp;MONTH(C696),YEAR(C696)&amp;"-"&amp;MONTH(C696))</f>
        <v>1900-01</v>
      </c>
      <c r="BR696" s="153" t="n">
        <f aca="false">J696</f>
        <v>0</v>
      </c>
      <c r="BS696" s="153" t="n">
        <f aca="false">IF(ISNUMBER(FIND("-", BR696)), LEFT(BR696, FIND("-", BR696) - 1), BR696)</f>
        <v>0</v>
      </c>
      <c r="BT696" s="189" t="n">
        <f aca="false">L696-M696+O696</f>
        <v>0</v>
      </c>
    </row>
    <row r="697" s="153" customFormat="true" ht="15" hidden="false" customHeight="false" outlineLevel="0" collapsed="false">
      <c r="AN697" s="153" t="e">
        <v>#NAME?</v>
      </c>
      <c r="AO697" s="153" t="e">
        <f aca="false">_xlfn.xlookup(AN697,A:A,F:F)</f>
        <v>#NAME?</v>
      </c>
      <c r="AP697" s="153" t="e">
        <f aca="false">_xlfn.xlookup(AN697,A:A,J:J)</f>
        <v>#NAME?</v>
      </c>
      <c r="AQ697" s="153" t="e">
        <f aca="false">_xlfn.xlookup(AN697,A:A,N:N)+_xlfn.xlookup(AN697,A:A,O:O)</f>
        <v>#NAME?</v>
      </c>
      <c r="AR697" s="150" t="e">
        <f aca="false">_xlfn.xlookup(AN697,A:A,AH:AH)</f>
        <v>#NAME?</v>
      </c>
      <c r="AS697" s="150" t="e">
        <f aca="false">_xlfn.xlookup(AN697,A:A,S:S)</f>
        <v>#NAME?</v>
      </c>
      <c r="AT697" s="150" t="e">
        <f aca="false">_xlfn.xlookup(AN697,A:A,AE:AE)</f>
        <v>#NAME?</v>
      </c>
      <c r="AU697" s="150" t="e">
        <f aca="false">_xlfn.xlookup(AN697,A:A,AF:AF)</f>
        <v>#NAME?</v>
      </c>
      <c r="AX697" s="146"/>
      <c r="AY697" s="150"/>
      <c r="AZ697" s="150"/>
      <c r="BA697" s="150"/>
      <c r="BB697" s="146"/>
      <c r="BC697" s="146"/>
      <c r="BD697" s="151"/>
      <c r="BE697" s="146"/>
      <c r="BF697" s="146"/>
      <c r="BH697" s="152" t="e">
        <f aca="false">_xlfn.xlookup(BG697,A:A,F:F)</f>
        <v>#NAME?</v>
      </c>
      <c r="BI697" s="153" t="e">
        <f aca="false">_xlfn.xlookup(BG697,A:A,J:J)</f>
        <v>#NAME?</v>
      </c>
      <c r="BJ697" s="153" t="e">
        <f aca="false">_xlfn.xlookup(BG697,A:A,N:N)+_xlfn.xlookup(BG697,A:A,O:O)</f>
        <v>#NAME?</v>
      </c>
      <c r="BK697" s="153" t="e">
        <f aca="false">_xlfn.xlookup(BG697,A646:A1640,AB646:AB1640)</f>
        <v>#NAME?</v>
      </c>
      <c r="BN697" s="146"/>
      <c r="BO697" s="150"/>
      <c r="BQ697" s="153" t="str">
        <f aca="false">IF(VALUE(MONTH(C697))&lt;10,YEAR(C697)&amp;"-0"&amp;MONTH(C697),YEAR(C697)&amp;"-"&amp;MONTH(C697))</f>
        <v>1900-01</v>
      </c>
      <c r="BR697" s="153" t="n">
        <f aca="false">J697</f>
        <v>0</v>
      </c>
      <c r="BS697" s="153" t="n">
        <f aca="false">IF(ISNUMBER(FIND("-", BR697)), LEFT(BR697, FIND("-", BR697) - 1), BR697)</f>
        <v>0</v>
      </c>
      <c r="BT697" s="189" t="n">
        <f aca="false">L697-M697+O697</f>
        <v>0</v>
      </c>
    </row>
    <row r="698" s="153" customFormat="true" ht="15" hidden="false" customHeight="false" outlineLevel="0" collapsed="false">
      <c r="AN698" s="153" t="e">
        <v>#NAME?</v>
      </c>
      <c r="AO698" s="153" t="e">
        <f aca="false">_xlfn.xlookup(AN698,A:A,F:F)</f>
        <v>#NAME?</v>
      </c>
      <c r="AP698" s="153" t="e">
        <f aca="false">_xlfn.xlookup(AN698,A:A,J:J)</f>
        <v>#NAME?</v>
      </c>
      <c r="AQ698" s="153" t="e">
        <f aca="false">_xlfn.xlookup(AN698,A:A,N:N)+_xlfn.xlookup(AN698,A:A,O:O)</f>
        <v>#NAME?</v>
      </c>
      <c r="AR698" s="150" t="e">
        <f aca="false">_xlfn.xlookup(AN698,A:A,AH:AH)</f>
        <v>#NAME?</v>
      </c>
      <c r="AS698" s="150" t="e">
        <f aca="false">_xlfn.xlookup(AN698,A:A,S:S)</f>
        <v>#NAME?</v>
      </c>
      <c r="AT698" s="150" t="e">
        <f aca="false">_xlfn.xlookup(AN698,A:A,AE:AE)</f>
        <v>#NAME?</v>
      </c>
      <c r="AU698" s="150" t="e">
        <f aca="false">_xlfn.xlookup(AN698,A:A,AF:AF)</f>
        <v>#NAME?</v>
      </c>
      <c r="AX698" s="146"/>
      <c r="AY698" s="150"/>
      <c r="AZ698" s="150"/>
      <c r="BA698" s="150"/>
      <c r="BB698" s="146"/>
      <c r="BC698" s="146"/>
      <c r="BD698" s="151"/>
      <c r="BE698" s="146"/>
      <c r="BF698" s="146"/>
      <c r="BH698" s="152" t="e">
        <f aca="false">_xlfn.xlookup(BG698,A:A,F:F)</f>
        <v>#NAME?</v>
      </c>
      <c r="BI698" s="153" t="e">
        <f aca="false">_xlfn.xlookup(BG698,A:A,J:J)</f>
        <v>#NAME?</v>
      </c>
      <c r="BJ698" s="153" t="e">
        <f aca="false">_xlfn.xlookup(BG698,A:A,N:N)+_xlfn.xlookup(BG698,A:A,O:O)</f>
        <v>#NAME?</v>
      </c>
      <c r="BK698" s="153" t="e">
        <f aca="false">_xlfn.xlookup(BG698,A647:A1641,AB647:AB1641)</f>
        <v>#NAME?</v>
      </c>
      <c r="BN698" s="146"/>
      <c r="BO698" s="150"/>
      <c r="BQ698" s="153" t="str">
        <f aca="false">IF(VALUE(MONTH(C698))&lt;10,YEAR(C698)&amp;"-0"&amp;MONTH(C698),YEAR(C698)&amp;"-"&amp;MONTH(C698))</f>
        <v>1900-01</v>
      </c>
      <c r="BR698" s="153" t="n">
        <f aca="false">J698</f>
        <v>0</v>
      </c>
      <c r="BS698" s="153" t="n">
        <f aca="false">IF(ISNUMBER(FIND("-", BR698)), LEFT(BR698, FIND("-", BR698) - 1), BR698)</f>
        <v>0</v>
      </c>
      <c r="BT698" s="189" t="n">
        <f aca="false">L698-M698+O698</f>
        <v>0</v>
      </c>
    </row>
    <row r="699" s="153" customFormat="true" ht="15" hidden="false" customHeight="false" outlineLevel="0" collapsed="false">
      <c r="AN699" s="153" t="e">
        <v>#NAME?</v>
      </c>
      <c r="AO699" s="153" t="e">
        <f aca="false">_xlfn.xlookup(AN699,A:A,F:F)</f>
        <v>#NAME?</v>
      </c>
      <c r="AP699" s="153" t="e">
        <f aca="false">_xlfn.xlookup(AN699,A:A,J:J)</f>
        <v>#NAME?</v>
      </c>
      <c r="AQ699" s="153" t="e">
        <f aca="false">_xlfn.xlookup(AN699,A:A,N:N)+_xlfn.xlookup(AN699,A:A,O:O)</f>
        <v>#NAME?</v>
      </c>
      <c r="AR699" s="150" t="e">
        <f aca="false">_xlfn.xlookup(AN699,A:A,AH:AH)</f>
        <v>#NAME?</v>
      </c>
      <c r="AS699" s="150" t="e">
        <f aca="false">_xlfn.xlookup(AN699,A:A,S:S)</f>
        <v>#NAME?</v>
      </c>
      <c r="AT699" s="150" t="e">
        <f aca="false">_xlfn.xlookup(AN699,A:A,AE:AE)</f>
        <v>#NAME?</v>
      </c>
      <c r="AU699" s="150" t="e">
        <f aca="false">_xlfn.xlookup(AN699,A:A,AF:AF)</f>
        <v>#NAME?</v>
      </c>
      <c r="AX699" s="146"/>
      <c r="AY699" s="150"/>
      <c r="AZ699" s="150"/>
      <c r="BA699" s="150"/>
      <c r="BB699" s="146"/>
      <c r="BC699" s="146"/>
      <c r="BD699" s="151"/>
      <c r="BE699" s="146"/>
      <c r="BF699" s="146"/>
      <c r="BH699" s="152" t="e">
        <f aca="false">_xlfn.xlookup(BG699,A:A,F:F)</f>
        <v>#NAME?</v>
      </c>
      <c r="BI699" s="153" t="e">
        <f aca="false">_xlfn.xlookup(BG699,A:A,J:J)</f>
        <v>#NAME?</v>
      </c>
      <c r="BJ699" s="153" t="e">
        <f aca="false">_xlfn.xlookup(BG699,A:A,N:N)+_xlfn.xlookup(BG699,A:A,O:O)</f>
        <v>#NAME?</v>
      </c>
      <c r="BK699" s="153" t="e">
        <f aca="false">_xlfn.xlookup(BG699,A648:A1642,AB648:AB1642)</f>
        <v>#NAME?</v>
      </c>
      <c r="BN699" s="146"/>
      <c r="BO699" s="150"/>
      <c r="BQ699" s="153" t="str">
        <f aca="false">IF(VALUE(MONTH(C699))&lt;10,YEAR(C699)&amp;"-0"&amp;MONTH(C699),YEAR(C699)&amp;"-"&amp;MONTH(C699))</f>
        <v>1900-01</v>
      </c>
      <c r="BR699" s="153" t="n">
        <f aca="false">J699</f>
        <v>0</v>
      </c>
      <c r="BS699" s="153" t="n">
        <f aca="false">IF(ISNUMBER(FIND("-", BR699)), LEFT(BR699, FIND("-", BR699) - 1), BR699)</f>
        <v>0</v>
      </c>
      <c r="BT699" s="189" t="n">
        <f aca="false">L699-M699+O699</f>
        <v>0</v>
      </c>
    </row>
    <row r="700" s="153" customFormat="true" ht="15" hidden="false" customHeight="false" outlineLevel="0" collapsed="false">
      <c r="AN700" s="153" t="e">
        <v>#NAME?</v>
      </c>
      <c r="AO700" s="153" t="e">
        <f aca="false">_xlfn.xlookup(AN700,A:A,F:F)</f>
        <v>#NAME?</v>
      </c>
      <c r="AP700" s="153" t="e">
        <f aca="false">_xlfn.xlookup(AN700,A:A,J:J)</f>
        <v>#NAME?</v>
      </c>
      <c r="AQ700" s="153" t="e">
        <f aca="false">_xlfn.xlookup(AN700,A:A,N:N)+_xlfn.xlookup(AN700,A:A,O:O)</f>
        <v>#NAME?</v>
      </c>
      <c r="AR700" s="150" t="e">
        <f aca="false">_xlfn.xlookup(AN700,A:A,AH:AH)</f>
        <v>#NAME?</v>
      </c>
      <c r="AS700" s="150" t="e">
        <f aca="false">_xlfn.xlookup(AN700,A:A,S:S)</f>
        <v>#NAME?</v>
      </c>
      <c r="AT700" s="150" t="e">
        <f aca="false">_xlfn.xlookup(AN700,A:A,AE:AE)</f>
        <v>#NAME?</v>
      </c>
      <c r="AU700" s="150" t="e">
        <f aca="false">_xlfn.xlookup(AN700,A:A,AF:AF)</f>
        <v>#NAME?</v>
      </c>
      <c r="AX700" s="146"/>
      <c r="AY700" s="150"/>
      <c r="AZ700" s="150"/>
      <c r="BA700" s="150"/>
      <c r="BB700" s="146"/>
      <c r="BC700" s="146"/>
      <c r="BD700" s="151"/>
      <c r="BE700" s="146"/>
      <c r="BF700" s="146"/>
      <c r="BH700" s="152" t="e">
        <f aca="false">_xlfn.xlookup(BG700,A:A,F:F)</f>
        <v>#NAME?</v>
      </c>
      <c r="BI700" s="153" t="e">
        <f aca="false">_xlfn.xlookup(BG700,A:A,J:J)</f>
        <v>#NAME?</v>
      </c>
      <c r="BJ700" s="153" t="e">
        <f aca="false">_xlfn.xlookup(BG700,A:A,N:N)+_xlfn.xlookup(BG700,A:A,O:O)</f>
        <v>#NAME?</v>
      </c>
      <c r="BK700" s="153" t="e">
        <f aca="false">_xlfn.xlookup(BG700,A649:A1643,AB649:AB1643)</f>
        <v>#NAME?</v>
      </c>
      <c r="BN700" s="146"/>
      <c r="BO700" s="150"/>
      <c r="BQ700" s="153" t="str">
        <f aca="false">IF(VALUE(MONTH(C700))&lt;10,YEAR(C700)&amp;"-0"&amp;MONTH(C700),YEAR(C700)&amp;"-"&amp;MONTH(C700))</f>
        <v>1900-01</v>
      </c>
      <c r="BR700" s="153" t="n">
        <f aca="false">J700</f>
        <v>0</v>
      </c>
      <c r="BS700" s="153" t="n">
        <f aca="false">IF(ISNUMBER(FIND("-", BR700)), LEFT(BR700, FIND("-", BR700) - 1), BR700)</f>
        <v>0</v>
      </c>
      <c r="BT700" s="189" t="n">
        <f aca="false">L700-M700+O700</f>
        <v>0</v>
      </c>
    </row>
    <row r="701" s="153" customFormat="true" ht="15" hidden="false" customHeight="false" outlineLevel="0" collapsed="false">
      <c r="AN701" s="153" t="e">
        <v>#NAME?</v>
      </c>
      <c r="AO701" s="153" t="e">
        <f aca="false">_xlfn.xlookup(AN701,A:A,F:F)</f>
        <v>#NAME?</v>
      </c>
      <c r="AP701" s="153" t="e">
        <f aca="false">_xlfn.xlookup(AN701,A:A,J:J)</f>
        <v>#NAME?</v>
      </c>
      <c r="AQ701" s="153" t="e">
        <f aca="false">_xlfn.xlookup(AN701,A:A,N:N)+_xlfn.xlookup(AN701,A:A,O:O)</f>
        <v>#NAME?</v>
      </c>
      <c r="AR701" s="150" t="e">
        <f aca="false">_xlfn.xlookup(AN701,A:A,AH:AH)</f>
        <v>#NAME?</v>
      </c>
      <c r="AS701" s="150" t="e">
        <f aca="false">_xlfn.xlookup(AN701,A:A,S:S)</f>
        <v>#NAME?</v>
      </c>
      <c r="AT701" s="150" t="e">
        <f aca="false">_xlfn.xlookup(AN701,A:A,AE:AE)</f>
        <v>#NAME?</v>
      </c>
      <c r="AU701" s="150" t="e">
        <f aca="false">_xlfn.xlookup(AN701,A:A,AF:AF)</f>
        <v>#NAME?</v>
      </c>
      <c r="AX701" s="146"/>
      <c r="AY701" s="150"/>
      <c r="AZ701" s="150"/>
      <c r="BA701" s="150"/>
      <c r="BB701" s="146"/>
      <c r="BC701" s="146"/>
      <c r="BD701" s="151"/>
      <c r="BE701" s="146"/>
      <c r="BF701" s="146"/>
      <c r="BH701" s="152" t="e">
        <f aca="false">_xlfn.xlookup(BG701,A:A,F:F)</f>
        <v>#NAME?</v>
      </c>
      <c r="BI701" s="153" t="e">
        <f aca="false">_xlfn.xlookup(BG701,A:A,J:J)</f>
        <v>#NAME?</v>
      </c>
      <c r="BJ701" s="153" t="e">
        <f aca="false">_xlfn.xlookup(BG701,A:A,N:N)+_xlfn.xlookup(BG701,A:A,O:O)</f>
        <v>#NAME?</v>
      </c>
      <c r="BK701" s="153" t="e">
        <f aca="false">_xlfn.xlookup(BG701,A650:A1644,AB650:AB1644)</f>
        <v>#NAME?</v>
      </c>
      <c r="BN701" s="146"/>
      <c r="BO701" s="150"/>
      <c r="BQ701" s="153" t="str">
        <f aca="false">IF(VALUE(MONTH(C701))&lt;10,YEAR(C701)&amp;"-0"&amp;MONTH(C701),YEAR(C701)&amp;"-"&amp;MONTH(C701))</f>
        <v>1900-01</v>
      </c>
      <c r="BR701" s="153" t="n">
        <f aca="false">J701</f>
        <v>0</v>
      </c>
      <c r="BS701" s="153" t="n">
        <f aca="false">IF(ISNUMBER(FIND("-", BR701)), LEFT(BR701, FIND("-", BR701) - 1), BR701)</f>
        <v>0</v>
      </c>
      <c r="BT701" s="189" t="n">
        <f aca="false">L701-M701+O701</f>
        <v>0</v>
      </c>
    </row>
    <row r="702" s="153" customFormat="true" ht="15" hidden="false" customHeight="false" outlineLevel="0" collapsed="false">
      <c r="AN702" s="153" t="e">
        <v>#NAME?</v>
      </c>
      <c r="AO702" s="153" t="e">
        <f aca="false">_xlfn.xlookup(AN702,A:A,F:F)</f>
        <v>#NAME?</v>
      </c>
      <c r="AP702" s="153" t="e">
        <f aca="false">_xlfn.xlookup(AN702,A:A,J:J)</f>
        <v>#NAME?</v>
      </c>
      <c r="AQ702" s="153" t="e">
        <f aca="false">_xlfn.xlookup(AN702,A:A,N:N)+_xlfn.xlookup(AN702,A:A,O:O)</f>
        <v>#NAME?</v>
      </c>
      <c r="AR702" s="150" t="e">
        <f aca="false">_xlfn.xlookup(AN702,A:A,AH:AH)</f>
        <v>#NAME?</v>
      </c>
      <c r="AS702" s="150" t="e">
        <f aca="false">_xlfn.xlookup(AN702,A:A,S:S)</f>
        <v>#NAME?</v>
      </c>
      <c r="AT702" s="150" t="e">
        <f aca="false">_xlfn.xlookup(AN702,A:A,AE:AE)</f>
        <v>#NAME?</v>
      </c>
      <c r="AU702" s="150" t="e">
        <f aca="false">_xlfn.xlookup(AN702,A:A,AF:AF)</f>
        <v>#NAME?</v>
      </c>
      <c r="AX702" s="146"/>
      <c r="AY702" s="150"/>
      <c r="AZ702" s="150"/>
      <c r="BA702" s="150"/>
      <c r="BB702" s="146"/>
      <c r="BC702" s="146"/>
      <c r="BD702" s="151"/>
      <c r="BE702" s="146"/>
      <c r="BF702" s="146"/>
      <c r="BH702" s="152" t="e">
        <f aca="false">_xlfn.xlookup(BG702,A:A,F:F)</f>
        <v>#NAME?</v>
      </c>
      <c r="BI702" s="153" t="e">
        <f aca="false">_xlfn.xlookup(BG702,A:A,J:J)</f>
        <v>#NAME?</v>
      </c>
      <c r="BJ702" s="153" t="e">
        <f aca="false">_xlfn.xlookup(BG702,A:A,N:N)+_xlfn.xlookup(BG702,A:A,O:O)</f>
        <v>#NAME?</v>
      </c>
      <c r="BK702" s="153" t="e">
        <f aca="false">_xlfn.xlookup(BG702,A651:A1645,AB651:AB1645)</f>
        <v>#NAME?</v>
      </c>
      <c r="BN702" s="146"/>
      <c r="BO702" s="150"/>
      <c r="BQ702" s="153" t="str">
        <f aca="false">IF(VALUE(MONTH(C702))&lt;10,YEAR(C702)&amp;"-0"&amp;MONTH(C702),YEAR(C702)&amp;"-"&amp;MONTH(C702))</f>
        <v>1900-01</v>
      </c>
      <c r="BR702" s="153" t="n">
        <f aca="false">J702</f>
        <v>0</v>
      </c>
      <c r="BS702" s="153" t="n">
        <f aca="false">IF(ISNUMBER(FIND("-", BR702)), LEFT(BR702, FIND("-", BR702) - 1), BR702)</f>
        <v>0</v>
      </c>
      <c r="BT702" s="189" t="n">
        <f aca="false">L702-M702+O702</f>
        <v>0</v>
      </c>
    </row>
    <row r="703" s="153" customFormat="true" ht="15" hidden="false" customHeight="false" outlineLevel="0" collapsed="false">
      <c r="AN703" s="153" t="e">
        <v>#NAME?</v>
      </c>
      <c r="AO703" s="153" t="e">
        <f aca="false">_xlfn.xlookup(AN703,A:A,F:F)</f>
        <v>#NAME?</v>
      </c>
      <c r="AP703" s="153" t="e">
        <f aca="false">_xlfn.xlookup(AN703,A:A,J:J)</f>
        <v>#NAME?</v>
      </c>
      <c r="AQ703" s="153" t="e">
        <f aca="false">_xlfn.xlookup(AN703,A:A,N:N)+_xlfn.xlookup(AN703,A:A,O:O)</f>
        <v>#NAME?</v>
      </c>
      <c r="AR703" s="150" t="e">
        <f aca="false">_xlfn.xlookup(AN703,A:A,AH:AH)</f>
        <v>#NAME?</v>
      </c>
      <c r="AS703" s="150" t="e">
        <f aca="false">_xlfn.xlookup(AN703,A:A,S:S)</f>
        <v>#NAME?</v>
      </c>
      <c r="AT703" s="150" t="e">
        <f aca="false">_xlfn.xlookup(AN703,A:A,AE:AE)</f>
        <v>#NAME?</v>
      </c>
      <c r="AU703" s="150" t="e">
        <f aca="false">_xlfn.xlookup(AN703,A:A,AF:AF)</f>
        <v>#NAME?</v>
      </c>
      <c r="AX703" s="146"/>
      <c r="AY703" s="150"/>
      <c r="AZ703" s="150"/>
      <c r="BA703" s="150"/>
      <c r="BB703" s="146"/>
      <c r="BC703" s="146"/>
      <c r="BD703" s="151"/>
      <c r="BE703" s="146"/>
      <c r="BF703" s="146"/>
      <c r="BH703" s="152" t="e">
        <f aca="false">_xlfn.xlookup(BG703,A:A,F:F)</f>
        <v>#NAME?</v>
      </c>
      <c r="BI703" s="153" t="e">
        <f aca="false">_xlfn.xlookup(BG703,A:A,J:J)</f>
        <v>#NAME?</v>
      </c>
      <c r="BJ703" s="153" t="e">
        <f aca="false">_xlfn.xlookup(BG703,A:A,N:N)+_xlfn.xlookup(BG703,A:A,O:O)</f>
        <v>#NAME?</v>
      </c>
      <c r="BK703" s="153" t="e">
        <f aca="false">_xlfn.xlookup(BG703,A652:A1646,AB652:AB1646)</f>
        <v>#NAME?</v>
      </c>
      <c r="BN703" s="146"/>
      <c r="BO703" s="150"/>
      <c r="BQ703" s="153" t="str">
        <f aca="false">IF(VALUE(MONTH(C703))&lt;10,YEAR(C703)&amp;"-0"&amp;MONTH(C703),YEAR(C703)&amp;"-"&amp;MONTH(C703))</f>
        <v>1900-01</v>
      </c>
      <c r="BR703" s="153" t="n">
        <f aca="false">J703</f>
        <v>0</v>
      </c>
      <c r="BS703" s="153" t="n">
        <f aca="false">IF(ISNUMBER(FIND("-", BR703)), LEFT(BR703, FIND("-", BR703) - 1), BR703)</f>
        <v>0</v>
      </c>
      <c r="BT703" s="189" t="n">
        <f aca="false">L703-M703+O703</f>
        <v>0</v>
      </c>
    </row>
    <row r="704" s="153" customFormat="true" ht="15" hidden="false" customHeight="false" outlineLevel="0" collapsed="false">
      <c r="AN704" s="153" t="e">
        <v>#NAME?</v>
      </c>
      <c r="AO704" s="153" t="e">
        <f aca="false">_xlfn.xlookup(AN704,A:A,F:F)</f>
        <v>#NAME?</v>
      </c>
      <c r="AP704" s="153" t="e">
        <f aca="false">_xlfn.xlookup(AN704,A:A,J:J)</f>
        <v>#NAME?</v>
      </c>
      <c r="AQ704" s="153" t="e">
        <f aca="false">_xlfn.xlookup(AN704,A:A,N:N)+_xlfn.xlookup(AN704,A:A,O:O)</f>
        <v>#NAME?</v>
      </c>
      <c r="AR704" s="150" t="e">
        <f aca="false">_xlfn.xlookup(AN704,A:A,AH:AH)</f>
        <v>#NAME?</v>
      </c>
      <c r="AS704" s="150" t="e">
        <f aca="false">_xlfn.xlookup(AN704,A:A,S:S)</f>
        <v>#NAME?</v>
      </c>
      <c r="AT704" s="150" t="e">
        <f aca="false">_xlfn.xlookup(AN704,A:A,AE:AE)</f>
        <v>#NAME?</v>
      </c>
      <c r="AU704" s="150" t="e">
        <f aca="false">_xlfn.xlookup(AN704,A:A,AF:AF)</f>
        <v>#NAME?</v>
      </c>
      <c r="AX704" s="146"/>
      <c r="AY704" s="150"/>
      <c r="AZ704" s="150"/>
      <c r="BA704" s="150"/>
      <c r="BB704" s="146"/>
      <c r="BC704" s="146"/>
      <c r="BD704" s="151"/>
      <c r="BE704" s="146"/>
      <c r="BF704" s="146"/>
      <c r="BH704" s="152" t="e">
        <f aca="false">_xlfn.xlookup(BG704,A:A,F:F)</f>
        <v>#NAME?</v>
      </c>
      <c r="BI704" s="153" t="e">
        <f aca="false">_xlfn.xlookup(BG704,A:A,J:J)</f>
        <v>#NAME?</v>
      </c>
      <c r="BJ704" s="153" t="e">
        <f aca="false">_xlfn.xlookup(BG704,A:A,N:N)+_xlfn.xlookup(BG704,A:A,O:O)</f>
        <v>#NAME?</v>
      </c>
      <c r="BK704" s="153" t="e">
        <f aca="false">_xlfn.xlookup(BG704,A653:A1647,AB653:AB1647)</f>
        <v>#NAME?</v>
      </c>
      <c r="BN704" s="146"/>
      <c r="BO704" s="150"/>
      <c r="BQ704" s="153" t="str">
        <f aca="false">IF(VALUE(MONTH(C704))&lt;10,YEAR(C704)&amp;"-0"&amp;MONTH(C704),YEAR(C704)&amp;"-"&amp;MONTH(C704))</f>
        <v>1900-01</v>
      </c>
      <c r="BR704" s="153" t="n">
        <f aca="false">J704</f>
        <v>0</v>
      </c>
      <c r="BS704" s="153" t="n">
        <f aca="false">IF(ISNUMBER(FIND("-", BR704)), LEFT(BR704, FIND("-", BR704) - 1), BR704)</f>
        <v>0</v>
      </c>
      <c r="BT704" s="189" t="n">
        <f aca="false">L704-M704+O704</f>
        <v>0</v>
      </c>
    </row>
    <row r="705" s="153" customFormat="true" ht="15" hidden="false" customHeight="false" outlineLevel="0" collapsed="false">
      <c r="AN705" s="153" t="e">
        <v>#NAME?</v>
      </c>
      <c r="AO705" s="153" t="e">
        <f aca="false">_xlfn.xlookup(AN705,A:A,F:F)</f>
        <v>#NAME?</v>
      </c>
      <c r="AP705" s="153" t="e">
        <f aca="false">_xlfn.xlookup(AN705,A:A,J:J)</f>
        <v>#NAME?</v>
      </c>
      <c r="AQ705" s="153" t="e">
        <f aca="false">_xlfn.xlookup(AN705,A:A,N:N)+_xlfn.xlookup(AN705,A:A,O:O)</f>
        <v>#NAME?</v>
      </c>
      <c r="AR705" s="150" t="e">
        <f aca="false">_xlfn.xlookup(AN705,A:A,AH:AH)</f>
        <v>#NAME?</v>
      </c>
      <c r="AS705" s="150" t="e">
        <f aca="false">_xlfn.xlookup(AN705,A:A,S:S)</f>
        <v>#NAME?</v>
      </c>
      <c r="AT705" s="150" t="e">
        <f aca="false">_xlfn.xlookup(AN705,A:A,AE:AE)</f>
        <v>#NAME?</v>
      </c>
      <c r="AU705" s="150" t="e">
        <f aca="false">_xlfn.xlookup(AN705,A:A,AF:AF)</f>
        <v>#NAME?</v>
      </c>
      <c r="AX705" s="146"/>
      <c r="AY705" s="150"/>
      <c r="AZ705" s="150"/>
      <c r="BA705" s="150"/>
      <c r="BB705" s="146"/>
      <c r="BC705" s="146"/>
      <c r="BD705" s="151"/>
      <c r="BE705" s="146"/>
      <c r="BF705" s="146"/>
      <c r="BH705" s="152" t="e">
        <f aca="false">_xlfn.xlookup(BG705,A:A,F:F)</f>
        <v>#NAME?</v>
      </c>
      <c r="BI705" s="153" t="e">
        <f aca="false">_xlfn.xlookup(BG705,A:A,J:J)</f>
        <v>#NAME?</v>
      </c>
      <c r="BJ705" s="153" t="e">
        <f aca="false">_xlfn.xlookup(BG705,A:A,N:N)+_xlfn.xlookup(BG705,A:A,O:O)</f>
        <v>#NAME?</v>
      </c>
      <c r="BK705" s="153" t="e">
        <f aca="false">_xlfn.xlookup(BG705,A654:A1648,AB654:AB1648)</f>
        <v>#NAME?</v>
      </c>
      <c r="BN705" s="146"/>
      <c r="BO705" s="150"/>
      <c r="BQ705" s="153" t="str">
        <f aca="false">IF(VALUE(MONTH(C705))&lt;10,YEAR(C705)&amp;"-0"&amp;MONTH(C705),YEAR(C705)&amp;"-"&amp;MONTH(C705))</f>
        <v>1900-01</v>
      </c>
      <c r="BR705" s="153" t="n">
        <f aca="false">J705</f>
        <v>0</v>
      </c>
      <c r="BS705" s="153" t="n">
        <f aca="false">IF(ISNUMBER(FIND("-", BR705)), LEFT(BR705, FIND("-", BR705) - 1), BR705)</f>
        <v>0</v>
      </c>
      <c r="BT705" s="189" t="n">
        <f aca="false">L705-M705+O705</f>
        <v>0</v>
      </c>
    </row>
    <row r="706" s="153" customFormat="true" ht="15" hidden="false" customHeight="false" outlineLevel="0" collapsed="false">
      <c r="AN706" s="153" t="e">
        <v>#NAME?</v>
      </c>
      <c r="AO706" s="153" t="e">
        <f aca="false">_xlfn.xlookup(AN706,A:A,F:F)</f>
        <v>#NAME?</v>
      </c>
      <c r="AP706" s="153" t="e">
        <f aca="false">_xlfn.xlookup(AN706,A:A,J:J)</f>
        <v>#NAME?</v>
      </c>
      <c r="AQ706" s="153" t="e">
        <f aca="false">_xlfn.xlookup(AN706,A:A,N:N)+_xlfn.xlookup(AN706,A:A,O:O)</f>
        <v>#NAME?</v>
      </c>
      <c r="AR706" s="150" t="e">
        <f aca="false">_xlfn.xlookup(AN706,A:A,AH:AH)</f>
        <v>#NAME?</v>
      </c>
      <c r="AS706" s="150" t="e">
        <f aca="false">_xlfn.xlookup(AN706,A:A,S:S)</f>
        <v>#NAME?</v>
      </c>
      <c r="AT706" s="150" t="e">
        <f aca="false">_xlfn.xlookup(AN706,A:A,AE:AE)</f>
        <v>#NAME?</v>
      </c>
      <c r="AU706" s="150" t="e">
        <f aca="false">_xlfn.xlookup(AN706,A:A,AF:AF)</f>
        <v>#NAME?</v>
      </c>
      <c r="AX706" s="146"/>
      <c r="AY706" s="150"/>
      <c r="AZ706" s="150"/>
      <c r="BA706" s="150"/>
      <c r="BB706" s="146"/>
      <c r="BC706" s="146"/>
      <c r="BD706" s="151"/>
      <c r="BE706" s="146"/>
      <c r="BF706" s="146"/>
      <c r="BH706" s="152" t="e">
        <f aca="false">_xlfn.xlookup(BG706,A:A,F:F)</f>
        <v>#NAME?</v>
      </c>
      <c r="BI706" s="153" t="e">
        <f aca="false">_xlfn.xlookup(BG706,A:A,J:J)</f>
        <v>#NAME?</v>
      </c>
      <c r="BJ706" s="153" t="e">
        <f aca="false">_xlfn.xlookup(BG706,A:A,N:N)+_xlfn.xlookup(BG706,A:A,O:O)</f>
        <v>#NAME?</v>
      </c>
      <c r="BK706" s="153" t="e">
        <f aca="false">_xlfn.xlookup(BG706,A655:A1649,AB655:AB1649)</f>
        <v>#NAME?</v>
      </c>
      <c r="BN706" s="146"/>
      <c r="BO706" s="150"/>
      <c r="BQ706" s="153" t="str">
        <f aca="false">IF(VALUE(MONTH(C706))&lt;10,YEAR(C706)&amp;"-0"&amp;MONTH(C706),YEAR(C706)&amp;"-"&amp;MONTH(C706))</f>
        <v>1900-01</v>
      </c>
      <c r="BR706" s="153" t="n">
        <f aca="false">J706</f>
        <v>0</v>
      </c>
      <c r="BS706" s="153" t="n">
        <f aca="false">IF(ISNUMBER(FIND("-", BR706)), LEFT(BR706, FIND("-", BR706) - 1), BR706)</f>
        <v>0</v>
      </c>
      <c r="BT706" s="189" t="n">
        <f aca="false">L706-M706+O706</f>
        <v>0</v>
      </c>
    </row>
    <row r="707" s="153" customFormat="true" ht="15" hidden="false" customHeight="false" outlineLevel="0" collapsed="false">
      <c r="AN707" s="153" t="e">
        <v>#NAME?</v>
      </c>
      <c r="AO707" s="153" t="e">
        <f aca="false">_xlfn.xlookup(AN707,A:A,F:F)</f>
        <v>#NAME?</v>
      </c>
      <c r="AP707" s="153" t="e">
        <f aca="false">_xlfn.xlookup(AN707,A:A,J:J)</f>
        <v>#NAME?</v>
      </c>
      <c r="AQ707" s="153" t="e">
        <f aca="false">_xlfn.xlookup(AN707,A:A,N:N)+_xlfn.xlookup(AN707,A:A,O:O)</f>
        <v>#NAME?</v>
      </c>
      <c r="AR707" s="150" t="e">
        <f aca="false">_xlfn.xlookup(AN707,A:A,AH:AH)</f>
        <v>#NAME?</v>
      </c>
      <c r="AS707" s="150" t="e">
        <f aca="false">_xlfn.xlookup(AN707,A:A,S:S)</f>
        <v>#NAME?</v>
      </c>
      <c r="AT707" s="150" t="e">
        <f aca="false">_xlfn.xlookup(AN707,A:A,AE:AE)</f>
        <v>#NAME?</v>
      </c>
      <c r="AU707" s="150" t="e">
        <f aca="false">_xlfn.xlookup(AN707,A:A,AF:AF)</f>
        <v>#NAME?</v>
      </c>
      <c r="AX707" s="146"/>
      <c r="AY707" s="150"/>
      <c r="AZ707" s="150"/>
      <c r="BA707" s="150"/>
      <c r="BB707" s="146"/>
      <c r="BC707" s="146"/>
      <c r="BD707" s="151"/>
      <c r="BE707" s="146"/>
      <c r="BF707" s="146"/>
      <c r="BH707" s="152" t="e">
        <f aca="false">_xlfn.xlookup(BG707,A:A,F:F)</f>
        <v>#NAME?</v>
      </c>
      <c r="BI707" s="153" t="e">
        <f aca="false">_xlfn.xlookup(BG707,A:A,J:J)</f>
        <v>#NAME?</v>
      </c>
      <c r="BJ707" s="153" t="e">
        <f aca="false">_xlfn.xlookup(BG707,A:A,N:N)+_xlfn.xlookup(BG707,A:A,O:O)</f>
        <v>#NAME?</v>
      </c>
      <c r="BK707" s="153" t="e">
        <f aca="false">_xlfn.xlookup(BG707,A656:A1650,AB656:AB1650)</f>
        <v>#NAME?</v>
      </c>
      <c r="BN707" s="146"/>
      <c r="BO707" s="150"/>
      <c r="BQ707" s="153" t="str">
        <f aca="false">IF(VALUE(MONTH(C707))&lt;10,YEAR(C707)&amp;"-0"&amp;MONTH(C707),YEAR(C707)&amp;"-"&amp;MONTH(C707))</f>
        <v>1900-01</v>
      </c>
      <c r="BR707" s="153" t="n">
        <f aca="false">J707</f>
        <v>0</v>
      </c>
      <c r="BS707" s="153" t="n">
        <f aca="false">IF(ISNUMBER(FIND("-", BR707)), LEFT(BR707, FIND("-", BR707) - 1), BR707)</f>
        <v>0</v>
      </c>
      <c r="BT707" s="189" t="n">
        <f aca="false">L707-M707+O707</f>
        <v>0</v>
      </c>
    </row>
    <row r="708" s="153" customFormat="true" ht="15" hidden="false" customHeight="false" outlineLevel="0" collapsed="false">
      <c r="AN708" s="153" t="e">
        <v>#NAME?</v>
      </c>
      <c r="AO708" s="153" t="e">
        <f aca="false">_xlfn.xlookup(AN708,A:A,F:F)</f>
        <v>#NAME?</v>
      </c>
      <c r="AP708" s="153" t="e">
        <f aca="false">_xlfn.xlookup(AN708,A:A,J:J)</f>
        <v>#NAME?</v>
      </c>
      <c r="AQ708" s="153" t="e">
        <f aca="false">_xlfn.xlookup(AN708,A:A,N:N)+_xlfn.xlookup(AN708,A:A,O:O)</f>
        <v>#NAME?</v>
      </c>
      <c r="AR708" s="150" t="e">
        <f aca="false">_xlfn.xlookup(AN708,A:A,AH:AH)</f>
        <v>#NAME?</v>
      </c>
      <c r="AS708" s="150" t="e">
        <f aca="false">_xlfn.xlookup(AN708,A:A,S:S)</f>
        <v>#NAME?</v>
      </c>
      <c r="AT708" s="150" t="e">
        <f aca="false">_xlfn.xlookup(AN708,A:A,AE:AE)</f>
        <v>#NAME?</v>
      </c>
      <c r="AU708" s="150" t="e">
        <f aca="false">_xlfn.xlookup(AN708,A:A,AF:AF)</f>
        <v>#NAME?</v>
      </c>
      <c r="AX708" s="146"/>
      <c r="AY708" s="150"/>
      <c r="AZ708" s="150"/>
      <c r="BA708" s="150"/>
      <c r="BB708" s="146"/>
      <c r="BC708" s="146"/>
      <c r="BD708" s="151"/>
      <c r="BE708" s="146"/>
      <c r="BF708" s="146"/>
      <c r="BH708" s="152" t="e">
        <f aca="false">_xlfn.xlookup(BG708,A:A,F:F)</f>
        <v>#NAME?</v>
      </c>
      <c r="BI708" s="153" t="e">
        <f aca="false">_xlfn.xlookup(BG708,A:A,J:J)</f>
        <v>#NAME?</v>
      </c>
      <c r="BJ708" s="153" t="e">
        <f aca="false">_xlfn.xlookup(BG708,A:A,N:N)+_xlfn.xlookup(BG708,A:A,O:O)</f>
        <v>#NAME?</v>
      </c>
      <c r="BK708" s="153" t="e">
        <f aca="false">_xlfn.xlookup(BG708,A657:A1651,AB657:AB1651)</f>
        <v>#NAME?</v>
      </c>
      <c r="BN708" s="146"/>
      <c r="BO708" s="150"/>
      <c r="BQ708" s="153" t="str">
        <f aca="false">IF(VALUE(MONTH(C708))&lt;10,YEAR(C708)&amp;"-0"&amp;MONTH(C708),YEAR(C708)&amp;"-"&amp;MONTH(C708))</f>
        <v>1900-01</v>
      </c>
      <c r="BR708" s="153" t="n">
        <f aca="false">J708</f>
        <v>0</v>
      </c>
      <c r="BS708" s="153" t="n">
        <f aca="false">IF(ISNUMBER(FIND("-", BR708)), LEFT(BR708, FIND("-", BR708) - 1), BR708)</f>
        <v>0</v>
      </c>
      <c r="BT708" s="189" t="n">
        <f aca="false">L708-M708+O708</f>
        <v>0</v>
      </c>
    </row>
    <row r="709" s="153" customFormat="true" ht="15" hidden="false" customHeight="false" outlineLevel="0" collapsed="false">
      <c r="AN709" s="153" t="e">
        <v>#NAME?</v>
      </c>
      <c r="AO709" s="153" t="e">
        <f aca="false">_xlfn.xlookup(AN709,A:A,F:F)</f>
        <v>#NAME?</v>
      </c>
      <c r="AP709" s="153" t="e">
        <f aca="false">_xlfn.xlookup(AN709,A:A,J:J)</f>
        <v>#NAME?</v>
      </c>
      <c r="AQ709" s="153" t="e">
        <f aca="false">_xlfn.xlookup(AN709,A:A,N:N)+_xlfn.xlookup(AN709,A:A,O:O)</f>
        <v>#NAME?</v>
      </c>
      <c r="AR709" s="150" t="e">
        <f aca="false">_xlfn.xlookup(AN709,A:A,AH:AH)</f>
        <v>#NAME?</v>
      </c>
      <c r="AS709" s="150" t="e">
        <f aca="false">_xlfn.xlookup(AN709,A:A,S:S)</f>
        <v>#NAME?</v>
      </c>
      <c r="AT709" s="150" t="e">
        <f aca="false">_xlfn.xlookup(AN709,A:A,AE:AE)</f>
        <v>#NAME?</v>
      </c>
      <c r="AU709" s="150" t="e">
        <f aca="false">_xlfn.xlookup(AN709,A:A,AF:AF)</f>
        <v>#NAME?</v>
      </c>
      <c r="AX709" s="146"/>
      <c r="AY709" s="150"/>
      <c r="AZ709" s="150"/>
      <c r="BA709" s="150"/>
      <c r="BB709" s="146"/>
      <c r="BC709" s="146"/>
      <c r="BD709" s="151"/>
      <c r="BE709" s="146"/>
      <c r="BF709" s="146"/>
      <c r="BH709" s="152" t="e">
        <f aca="false">_xlfn.xlookup(BG709,A:A,F:F)</f>
        <v>#NAME?</v>
      </c>
      <c r="BI709" s="153" t="e">
        <f aca="false">_xlfn.xlookup(BG709,A:A,J:J)</f>
        <v>#NAME?</v>
      </c>
      <c r="BJ709" s="153" t="e">
        <f aca="false">_xlfn.xlookup(BG709,A:A,N:N)+_xlfn.xlookup(BG709,A:A,O:O)</f>
        <v>#NAME?</v>
      </c>
      <c r="BK709" s="153" t="e">
        <f aca="false">_xlfn.xlookup(BG709,A658:A1652,AB658:AB1652)</f>
        <v>#NAME?</v>
      </c>
      <c r="BN709" s="146"/>
      <c r="BO709" s="150"/>
      <c r="BQ709" s="153" t="str">
        <f aca="false">IF(VALUE(MONTH(C709))&lt;10,YEAR(C709)&amp;"-0"&amp;MONTH(C709),YEAR(C709)&amp;"-"&amp;MONTH(C709))</f>
        <v>1900-01</v>
      </c>
      <c r="BR709" s="153" t="n">
        <f aca="false">J709</f>
        <v>0</v>
      </c>
      <c r="BS709" s="153" t="n">
        <f aca="false">IF(ISNUMBER(FIND("-", BR709)), LEFT(BR709, FIND("-", BR709) - 1), BR709)</f>
        <v>0</v>
      </c>
      <c r="BT709" s="189" t="n">
        <f aca="false">L709-M709+O709</f>
        <v>0</v>
      </c>
    </row>
    <row r="710" s="153" customFormat="true" ht="15" hidden="false" customHeight="false" outlineLevel="0" collapsed="false">
      <c r="AN710" s="153" t="e">
        <v>#NAME?</v>
      </c>
      <c r="AO710" s="153" t="e">
        <f aca="false">_xlfn.xlookup(AN710,A:A,F:F)</f>
        <v>#NAME?</v>
      </c>
      <c r="AP710" s="153" t="e">
        <f aca="false">_xlfn.xlookup(AN710,A:A,J:J)</f>
        <v>#NAME?</v>
      </c>
      <c r="AQ710" s="153" t="e">
        <f aca="false">_xlfn.xlookup(AN710,A:A,N:N)+_xlfn.xlookup(AN710,A:A,O:O)</f>
        <v>#NAME?</v>
      </c>
      <c r="AR710" s="150" t="e">
        <f aca="false">_xlfn.xlookup(AN710,A:A,AH:AH)</f>
        <v>#NAME?</v>
      </c>
      <c r="AS710" s="150" t="e">
        <f aca="false">_xlfn.xlookup(AN710,A:A,S:S)</f>
        <v>#NAME?</v>
      </c>
      <c r="AT710" s="150" t="e">
        <f aca="false">_xlfn.xlookup(AN710,A:A,AE:AE)</f>
        <v>#NAME?</v>
      </c>
      <c r="AU710" s="150" t="e">
        <f aca="false">_xlfn.xlookup(AN710,A:A,AF:AF)</f>
        <v>#NAME?</v>
      </c>
      <c r="AX710" s="146"/>
      <c r="AY710" s="150"/>
      <c r="AZ710" s="150"/>
      <c r="BA710" s="150"/>
      <c r="BB710" s="146"/>
      <c r="BC710" s="146"/>
      <c r="BD710" s="151"/>
      <c r="BE710" s="146"/>
      <c r="BF710" s="146"/>
      <c r="BH710" s="152" t="e">
        <f aca="false">_xlfn.xlookup(BG710,A:A,F:F)</f>
        <v>#NAME?</v>
      </c>
      <c r="BI710" s="153" t="e">
        <f aca="false">_xlfn.xlookup(BG710,A:A,J:J)</f>
        <v>#NAME?</v>
      </c>
      <c r="BJ710" s="153" t="e">
        <f aca="false">_xlfn.xlookup(BG710,A:A,N:N)+_xlfn.xlookup(BG710,A:A,O:O)</f>
        <v>#NAME?</v>
      </c>
      <c r="BK710" s="153" t="e">
        <f aca="false">_xlfn.xlookup(BG710,A659:A1653,AB659:AB1653)</f>
        <v>#NAME?</v>
      </c>
      <c r="BN710" s="146"/>
      <c r="BO710" s="150"/>
      <c r="BQ710" s="153" t="str">
        <f aca="false">IF(VALUE(MONTH(C710))&lt;10,YEAR(C710)&amp;"-0"&amp;MONTH(C710),YEAR(C710)&amp;"-"&amp;MONTH(C710))</f>
        <v>1900-01</v>
      </c>
      <c r="BR710" s="153" t="n">
        <f aca="false">J710</f>
        <v>0</v>
      </c>
      <c r="BS710" s="153" t="n">
        <f aca="false">IF(ISNUMBER(FIND("-", BR710)), LEFT(BR710, FIND("-", BR710) - 1), BR710)</f>
        <v>0</v>
      </c>
      <c r="BT710" s="189" t="n">
        <f aca="false">L710-M710+O710</f>
        <v>0</v>
      </c>
    </row>
    <row r="711" s="153" customFormat="true" ht="15" hidden="false" customHeight="false" outlineLevel="0" collapsed="false">
      <c r="AN711" s="153" t="e">
        <v>#NAME?</v>
      </c>
      <c r="AO711" s="153" t="e">
        <f aca="false">_xlfn.xlookup(AN711,A:A,F:F)</f>
        <v>#NAME?</v>
      </c>
      <c r="AP711" s="153" t="e">
        <f aca="false">_xlfn.xlookup(AN711,A:A,J:J)</f>
        <v>#NAME?</v>
      </c>
      <c r="AQ711" s="153" t="e">
        <f aca="false">_xlfn.xlookup(AN711,A:A,N:N)+_xlfn.xlookup(AN711,A:A,O:O)</f>
        <v>#NAME?</v>
      </c>
      <c r="AR711" s="150" t="e">
        <f aca="false">_xlfn.xlookup(AN711,A:A,AH:AH)</f>
        <v>#NAME?</v>
      </c>
      <c r="AS711" s="150" t="e">
        <f aca="false">_xlfn.xlookup(AN711,A:A,S:S)</f>
        <v>#NAME?</v>
      </c>
      <c r="AT711" s="150" t="e">
        <f aca="false">_xlfn.xlookup(AN711,A:A,AE:AE)</f>
        <v>#NAME?</v>
      </c>
      <c r="AU711" s="150" t="e">
        <f aca="false">_xlfn.xlookup(AN711,A:A,AF:AF)</f>
        <v>#NAME?</v>
      </c>
      <c r="AX711" s="146"/>
      <c r="AY711" s="150"/>
      <c r="AZ711" s="150"/>
      <c r="BA711" s="150"/>
      <c r="BB711" s="146"/>
      <c r="BC711" s="146"/>
      <c r="BD711" s="151"/>
      <c r="BE711" s="146"/>
      <c r="BF711" s="146"/>
      <c r="BH711" s="152" t="e">
        <f aca="false">_xlfn.xlookup(BG711,A:A,F:F)</f>
        <v>#NAME?</v>
      </c>
      <c r="BI711" s="153" t="e">
        <f aca="false">_xlfn.xlookup(BG711,A:A,J:J)</f>
        <v>#NAME?</v>
      </c>
      <c r="BJ711" s="153" t="e">
        <f aca="false">_xlfn.xlookup(BG711,A:A,N:N)+_xlfn.xlookup(BG711,A:A,O:O)</f>
        <v>#NAME?</v>
      </c>
      <c r="BK711" s="153" t="e">
        <f aca="false">_xlfn.xlookup(BG711,A660:A1654,AB660:AB1654)</f>
        <v>#NAME?</v>
      </c>
      <c r="BN711" s="146"/>
      <c r="BO711" s="150"/>
      <c r="BQ711" s="153" t="str">
        <f aca="false">IF(VALUE(MONTH(C711))&lt;10,YEAR(C711)&amp;"-0"&amp;MONTH(C711),YEAR(C711)&amp;"-"&amp;MONTH(C711))</f>
        <v>1900-01</v>
      </c>
      <c r="BR711" s="153" t="n">
        <f aca="false">J711</f>
        <v>0</v>
      </c>
      <c r="BS711" s="153" t="n">
        <f aca="false">IF(ISNUMBER(FIND("-", BR711)), LEFT(BR711, FIND("-", BR711) - 1), BR711)</f>
        <v>0</v>
      </c>
      <c r="BT711" s="189" t="n">
        <f aca="false">L711-M711+O711</f>
        <v>0</v>
      </c>
    </row>
    <row r="712" s="153" customFormat="true" ht="15" hidden="false" customHeight="false" outlineLevel="0" collapsed="false">
      <c r="AN712" s="153" t="e">
        <v>#NAME?</v>
      </c>
      <c r="AO712" s="153" t="e">
        <f aca="false">_xlfn.xlookup(AN712,A:A,F:F)</f>
        <v>#NAME?</v>
      </c>
      <c r="AP712" s="153" t="e">
        <f aca="false">_xlfn.xlookup(AN712,A:A,J:J)</f>
        <v>#NAME?</v>
      </c>
      <c r="AQ712" s="153" t="e">
        <f aca="false">_xlfn.xlookup(AN712,A:A,N:N)+_xlfn.xlookup(AN712,A:A,O:O)</f>
        <v>#NAME?</v>
      </c>
      <c r="AR712" s="150" t="e">
        <f aca="false">_xlfn.xlookup(AN712,A:A,AH:AH)</f>
        <v>#NAME?</v>
      </c>
      <c r="AS712" s="150" t="e">
        <f aca="false">_xlfn.xlookup(AN712,A:A,S:S)</f>
        <v>#NAME?</v>
      </c>
      <c r="AT712" s="150" t="e">
        <f aca="false">_xlfn.xlookup(AN712,A:A,AE:AE)</f>
        <v>#NAME?</v>
      </c>
      <c r="AU712" s="150" t="e">
        <f aca="false">_xlfn.xlookup(AN712,A:A,AF:AF)</f>
        <v>#NAME?</v>
      </c>
      <c r="AX712" s="146"/>
      <c r="AY712" s="150"/>
      <c r="AZ712" s="150"/>
      <c r="BA712" s="150"/>
      <c r="BB712" s="146"/>
      <c r="BC712" s="146"/>
      <c r="BD712" s="151"/>
      <c r="BE712" s="146"/>
      <c r="BF712" s="146"/>
      <c r="BH712" s="152" t="e">
        <f aca="false">_xlfn.xlookup(BG712,A:A,F:F)</f>
        <v>#NAME?</v>
      </c>
      <c r="BI712" s="153" t="e">
        <f aca="false">_xlfn.xlookup(BG712,A:A,J:J)</f>
        <v>#NAME?</v>
      </c>
      <c r="BJ712" s="153" t="e">
        <f aca="false">_xlfn.xlookup(BG712,A:A,N:N)+_xlfn.xlookup(BG712,A:A,O:O)</f>
        <v>#NAME?</v>
      </c>
      <c r="BK712" s="153" t="e">
        <f aca="false">_xlfn.xlookup(BG712,A661:A1655,AB661:AB1655)</f>
        <v>#NAME?</v>
      </c>
      <c r="BN712" s="146"/>
      <c r="BO712" s="150"/>
      <c r="BQ712" s="153" t="str">
        <f aca="false">IF(VALUE(MONTH(C712))&lt;10,YEAR(C712)&amp;"-0"&amp;MONTH(C712),YEAR(C712)&amp;"-"&amp;MONTH(C712))</f>
        <v>1900-01</v>
      </c>
      <c r="BR712" s="153" t="n">
        <f aca="false">J712</f>
        <v>0</v>
      </c>
      <c r="BS712" s="153" t="n">
        <f aca="false">IF(ISNUMBER(FIND("-", BR712)), LEFT(BR712, FIND("-", BR712) - 1), BR712)</f>
        <v>0</v>
      </c>
      <c r="BT712" s="189" t="n">
        <f aca="false">L712-M712+O712</f>
        <v>0</v>
      </c>
    </row>
    <row r="713" s="153" customFormat="true" ht="15" hidden="false" customHeight="false" outlineLevel="0" collapsed="false">
      <c r="AN713" s="153" t="e">
        <v>#NAME?</v>
      </c>
      <c r="AO713" s="153" t="e">
        <f aca="false">_xlfn.xlookup(AN713,A:A,F:F)</f>
        <v>#NAME?</v>
      </c>
      <c r="AP713" s="153" t="e">
        <f aca="false">_xlfn.xlookup(AN713,A:A,J:J)</f>
        <v>#NAME?</v>
      </c>
      <c r="AQ713" s="153" t="e">
        <f aca="false">_xlfn.xlookup(AN713,A:A,N:N)+_xlfn.xlookup(AN713,A:A,O:O)</f>
        <v>#NAME?</v>
      </c>
      <c r="AR713" s="150" t="e">
        <f aca="false">_xlfn.xlookup(AN713,A:A,AH:AH)</f>
        <v>#NAME?</v>
      </c>
      <c r="AS713" s="150" t="e">
        <f aca="false">_xlfn.xlookup(AN713,A:A,S:S)</f>
        <v>#NAME?</v>
      </c>
      <c r="AT713" s="150" t="e">
        <f aca="false">_xlfn.xlookup(AN713,A:A,AE:AE)</f>
        <v>#NAME?</v>
      </c>
      <c r="AU713" s="150" t="e">
        <f aca="false">_xlfn.xlookup(AN713,A:A,AF:AF)</f>
        <v>#NAME?</v>
      </c>
      <c r="AX713" s="146"/>
      <c r="AY713" s="150"/>
      <c r="AZ713" s="150"/>
      <c r="BA713" s="150"/>
      <c r="BB713" s="146"/>
      <c r="BC713" s="146"/>
      <c r="BD713" s="151"/>
      <c r="BE713" s="146"/>
      <c r="BF713" s="146"/>
      <c r="BH713" s="152" t="e">
        <f aca="false">_xlfn.xlookup(BG713,A:A,F:F)</f>
        <v>#NAME?</v>
      </c>
      <c r="BI713" s="153" t="e">
        <f aca="false">_xlfn.xlookup(BG713,A:A,J:J)</f>
        <v>#NAME?</v>
      </c>
      <c r="BJ713" s="153" t="e">
        <f aca="false">_xlfn.xlookup(BG713,A:A,N:N)+_xlfn.xlookup(BG713,A:A,O:O)</f>
        <v>#NAME?</v>
      </c>
      <c r="BK713" s="153" t="e">
        <f aca="false">_xlfn.xlookup(BG713,A662:A1656,AB662:AB1656)</f>
        <v>#NAME?</v>
      </c>
      <c r="BN713" s="146"/>
      <c r="BO713" s="150"/>
      <c r="BQ713" s="153" t="str">
        <f aca="false">IF(VALUE(MONTH(C713))&lt;10,YEAR(C713)&amp;"-0"&amp;MONTH(C713),YEAR(C713)&amp;"-"&amp;MONTH(C713))</f>
        <v>1900-01</v>
      </c>
      <c r="BR713" s="153" t="n">
        <f aca="false">J713</f>
        <v>0</v>
      </c>
      <c r="BS713" s="153" t="n">
        <f aca="false">IF(ISNUMBER(FIND("-", BR713)), LEFT(BR713, FIND("-", BR713) - 1), BR713)</f>
        <v>0</v>
      </c>
      <c r="BT713" s="189" t="n">
        <f aca="false">L713-M713+O713</f>
        <v>0</v>
      </c>
    </row>
    <row r="714" s="153" customFormat="true" ht="15" hidden="false" customHeight="false" outlineLevel="0" collapsed="false">
      <c r="AN714" s="153" t="e">
        <v>#NAME?</v>
      </c>
      <c r="AO714" s="153" t="e">
        <f aca="false">_xlfn.xlookup(AN714,A:A,F:F)</f>
        <v>#NAME?</v>
      </c>
      <c r="AP714" s="153" t="e">
        <f aca="false">_xlfn.xlookup(AN714,A:A,J:J)</f>
        <v>#NAME?</v>
      </c>
      <c r="AQ714" s="153" t="e">
        <f aca="false">_xlfn.xlookup(AN714,A:A,N:N)+_xlfn.xlookup(AN714,A:A,O:O)</f>
        <v>#NAME?</v>
      </c>
      <c r="AR714" s="150" t="e">
        <f aca="false">_xlfn.xlookup(AN714,A:A,AH:AH)</f>
        <v>#NAME?</v>
      </c>
      <c r="AS714" s="150" t="e">
        <f aca="false">_xlfn.xlookup(AN714,A:A,S:S)</f>
        <v>#NAME?</v>
      </c>
      <c r="AT714" s="150" t="e">
        <f aca="false">_xlfn.xlookup(AN714,A:A,AE:AE)</f>
        <v>#NAME?</v>
      </c>
      <c r="AU714" s="150" t="e">
        <f aca="false">_xlfn.xlookup(AN714,A:A,AF:AF)</f>
        <v>#NAME?</v>
      </c>
      <c r="AX714" s="146"/>
      <c r="AY714" s="150"/>
      <c r="AZ714" s="150"/>
      <c r="BA714" s="150"/>
      <c r="BB714" s="146"/>
      <c r="BC714" s="146"/>
      <c r="BD714" s="151"/>
      <c r="BE714" s="146"/>
      <c r="BF714" s="146"/>
      <c r="BH714" s="152" t="e">
        <f aca="false">_xlfn.xlookup(BG714,A:A,F:F)</f>
        <v>#NAME?</v>
      </c>
      <c r="BI714" s="153" t="e">
        <f aca="false">_xlfn.xlookup(BG714,A:A,J:J)</f>
        <v>#NAME?</v>
      </c>
      <c r="BJ714" s="153" t="e">
        <f aca="false">_xlfn.xlookup(BG714,A:A,N:N)+_xlfn.xlookup(BG714,A:A,O:O)</f>
        <v>#NAME?</v>
      </c>
      <c r="BK714" s="153" t="e">
        <f aca="false">_xlfn.xlookup(BG714,A663:A1657,AB663:AB1657)</f>
        <v>#NAME?</v>
      </c>
      <c r="BN714" s="146"/>
      <c r="BO714" s="150"/>
      <c r="BQ714" s="153" t="str">
        <f aca="false">IF(VALUE(MONTH(C714))&lt;10,YEAR(C714)&amp;"-0"&amp;MONTH(C714),YEAR(C714)&amp;"-"&amp;MONTH(C714))</f>
        <v>1900-01</v>
      </c>
      <c r="BR714" s="153" t="n">
        <f aca="false">J714</f>
        <v>0</v>
      </c>
      <c r="BS714" s="153" t="n">
        <f aca="false">IF(ISNUMBER(FIND("-", BR714)), LEFT(BR714, FIND("-", BR714) - 1), BR714)</f>
        <v>0</v>
      </c>
      <c r="BT714" s="189" t="n">
        <f aca="false">L714-M714+O714</f>
        <v>0</v>
      </c>
    </row>
    <row r="715" s="153" customFormat="true" ht="15" hidden="false" customHeight="false" outlineLevel="0" collapsed="false">
      <c r="AN715" s="153" t="e">
        <v>#NAME?</v>
      </c>
      <c r="AO715" s="153" t="e">
        <f aca="false">_xlfn.xlookup(AN715,A:A,F:F)</f>
        <v>#NAME?</v>
      </c>
      <c r="AP715" s="153" t="e">
        <f aca="false">_xlfn.xlookup(AN715,A:A,J:J)</f>
        <v>#NAME?</v>
      </c>
      <c r="AQ715" s="153" t="e">
        <f aca="false">_xlfn.xlookup(AN715,A:A,N:N)+_xlfn.xlookup(AN715,A:A,O:O)</f>
        <v>#NAME?</v>
      </c>
      <c r="AR715" s="150" t="e">
        <f aca="false">_xlfn.xlookup(AN715,A:A,AH:AH)</f>
        <v>#NAME?</v>
      </c>
      <c r="AS715" s="150" t="e">
        <f aca="false">_xlfn.xlookup(AN715,A:A,S:S)</f>
        <v>#NAME?</v>
      </c>
      <c r="AT715" s="150" t="e">
        <f aca="false">_xlfn.xlookup(AN715,A:A,AE:AE)</f>
        <v>#NAME?</v>
      </c>
      <c r="AU715" s="150" t="e">
        <f aca="false">_xlfn.xlookup(AN715,A:A,AF:AF)</f>
        <v>#NAME?</v>
      </c>
      <c r="AX715" s="146"/>
      <c r="AY715" s="150"/>
      <c r="AZ715" s="150"/>
      <c r="BA715" s="150"/>
      <c r="BB715" s="146"/>
      <c r="BC715" s="146"/>
      <c r="BD715" s="151"/>
      <c r="BE715" s="146"/>
      <c r="BF715" s="146"/>
      <c r="BH715" s="152" t="e">
        <f aca="false">_xlfn.xlookup(BG715,A:A,F:F)</f>
        <v>#NAME?</v>
      </c>
      <c r="BI715" s="153" t="e">
        <f aca="false">_xlfn.xlookup(BG715,A:A,J:J)</f>
        <v>#NAME?</v>
      </c>
      <c r="BJ715" s="153" t="e">
        <f aca="false">_xlfn.xlookup(BG715,A:A,N:N)+_xlfn.xlookup(BG715,A:A,O:O)</f>
        <v>#NAME?</v>
      </c>
      <c r="BK715" s="153" t="e">
        <f aca="false">_xlfn.xlookup(BG715,A664:A1658,AB664:AB1658)</f>
        <v>#NAME?</v>
      </c>
      <c r="BN715" s="146"/>
      <c r="BO715" s="150"/>
      <c r="BQ715" s="153" t="str">
        <f aca="false">IF(VALUE(MONTH(C715))&lt;10,YEAR(C715)&amp;"-0"&amp;MONTH(C715),YEAR(C715)&amp;"-"&amp;MONTH(C715))</f>
        <v>1900-01</v>
      </c>
      <c r="BR715" s="153" t="n">
        <f aca="false">J715</f>
        <v>0</v>
      </c>
      <c r="BS715" s="153" t="n">
        <f aca="false">IF(ISNUMBER(FIND("-", BR715)), LEFT(BR715, FIND("-", BR715) - 1), BR715)</f>
        <v>0</v>
      </c>
      <c r="BT715" s="189" t="n">
        <f aca="false">L715-M715+O715</f>
        <v>0</v>
      </c>
    </row>
    <row r="716" s="153" customFormat="true" ht="15" hidden="false" customHeight="false" outlineLevel="0" collapsed="false">
      <c r="AN716" s="153" t="e">
        <v>#NAME?</v>
      </c>
      <c r="AO716" s="153" t="e">
        <f aca="false">_xlfn.xlookup(AN716,A:A,F:F)</f>
        <v>#NAME?</v>
      </c>
      <c r="AP716" s="153" t="e">
        <f aca="false">_xlfn.xlookup(AN716,A:A,J:J)</f>
        <v>#NAME?</v>
      </c>
      <c r="AQ716" s="153" t="e">
        <f aca="false">_xlfn.xlookup(AN716,A:A,N:N)+_xlfn.xlookup(AN716,A:A,O:O)</f>
        <v>#NAME?</v>
      </c>
      <c r="AR716" s="150" t="e">
        <f aca="false">_xlfn.xlookup(AN716,A:A,AH:AH)</f>
        <v>#NAME?</v>
      </c>
      <c r="AS716" s="150" t="e">
        <f aca="false">_xlfn.xlookup(AN716,A:A,S:S)</f>
        <v>#NAME?</v>
      </c>
      <c r="AT716" s="150" t="e">
        <f aca="false">_xlfn.xlookup(AN716,A:A,AE:AE)</f>
        <v>#NAME?</v>
      </c>
      <c r="AU716" s="150" t="e">
        <f aca="false">_xlfn.xlookup(AN716,A:A,AF:AF)</f>
        <v>#NAME?</v>
      </c>
      <c r="AX716" s="146"/>
      <c r="AY716" s="150"/>
      <c r="AZ716" s="150"/>
      <c r="BA716" s="150"/>
      <c r="BB716" s="146"/>
      <c r="BC716" s="146"/>
      <c r="BD716" s="151"/>
      <c r="BE716" s="146"/>
      <c r="BF716" s="146"/>
      <c r="BH716" s="152" t="e">
        <f aca="false">_xlfn.xlookup(BG716,A:A,F:F)</f>
        <v>#NAME?</v>
      </c>
      <c r="BI716" s="153" t="e">
        <f aca="false">_xlfn.xlookup(BG716,A:A,J:J)</f>
        <v>#NAME?</v>
      </c>
      <c r="BJ716" s="153" t="e">
        <f aca="false">_xlfn.xlookup(BG716,A:A,N:N)+_xlfn.xlookup(BG716,A:A,O:O)</f>
        <v>#NAME?</v>
      </c>
      <c r="BK716" s="153" t="e">
        <f aca="false">_xlfn.xlookup(BG716,A665:A1659,AB665:AB1659)</f>
        <v>#NAME?</v>
      </c>
      <c r="BN716" s="146"/>
      <c r="BO716" s="150"/>
      <c r="BQ716" s="153" t="str">
        <f aca="false">IF(VALUE(MONTH(C716))&lt;10,YEAR(C716)&amp;"-0"&amp;MONTH(C716),YEAR(C716)&amp;"-"&amp;MONTH(C716))</f>
        <v>1900-01</v>
      </c>
      <c r="BR716" s="153" t="n">
        <f aca="false">J716</f>
        <v>0</v>
      </c>
      <c r="BS716" s="153" t="n">
        <f aca="false">IF(ISNUMBER(FIND("-", BR716)), LEFT(BR716, FIND("-", BR716) - 1), BR716)</f>
        <v>0</v>
      </c>
      <c r="BT716" s="189" t="n">
        <f aca="false">L716-M716+O716</f>
        <v>0</v>
      </c>
    </row>
    <row r="717" s="153" customFormat="true" ht="15" hidden="false" customHeight="false" outlineLevel="0" collapsed="false">
      <c r="AN717" s="153" t="e">
        <v>#NAME?</v>
      </c>
      <c r="AO717" s="153" t="e">
        <f aca="false">_xlfn.xlookup(AN717,A:A,F:F)</f>
        <v>#NAME?</v>
      </c>
      <c r="AP717" s="153" t="e">
        <f aca="false">_xlfn.xlookup(AN717,A:A,J:J)</f>
        <v>#NAME?</v>
      </c>
      <c r="AQ717" s="153" t="e">
        <f aca="false">_xlfn.xlookup(AN717,A:A,N:N)+_xlfn.xlookup(AN717,A:A,O:O)</f>
        <v>#NAME?</v>
      </c>
      <c r="AR717" s="150" t="e">
        <f aca="false">_xlfn.xlookup(AN717,A:A,AH:AH)</f>
        <v>#NAME?</v>
      </c>
      <c r="AS717" s="150" t="e">
        <f aca="false">_xlfn.xlookup(AN717,A:A,S:S)</f>
        <v>#NAME?</v>
      </c>
      <c r="AT717" s="150" t="e">
        <f aca="false">_xlfn.xlookup(AN717,A:A,AE:AE)</f>
        <v>#NAME?</v>
      </c>
      <c r="AU717" s="150" t="e">
        <f aca="false">_xlfn.xlookup(AN717,A:A,AF:AF)</f>
        <v>#NAME?</v>
      </c>
      <c r="AX717" s="146"/>
      <c r="AY717" s="150"/>
      <c r="AZ717" s="150"/>
      <c r="BA717" s="150"/>
      <c r="BB717" s="146"/>
      <c r="BC717" s="146"/>
      <c r="BD717" s="151"/>
      <c r="BE717" s="146"/>
      <c r="BF717" s="146"/>
      <c r="BH717" s="152" t="e">
        <f aca="false">_xlfn.xlookup(BG717,A:A,F:F)</f>
        <v>#NAME?</v>
      </c>
      <c r="BI717" s="153" t="e">
        <f aca="false">_xlfn.xlookup(BG717,A:A,J:J)</f>
        <v>#NAME?</v>
      </c>
      <c r="BJ717" s="153" t="e">
        <f aca="false">_xlfn.xlookup(BG717,A:A,N:N)+_xlfn.xlookup(BG717,A:A,O:O)</f>
        <v>#NAME?</v>
      </c>
      <c r="BK717" s="153" t="e">
        <f aca="false">_xlfn.xlookup(BG717,A666:A1660,AB666:AB1660)</f>
        <v>#NAME?</v>
      </c>
      <c r="BN717" s="146"/>
      <c r="BO717" s="150"/>
      <c r="BQ717" s="153" t="str">
        <f aca="false">IF(VALUE(MONTH(C717))&lt;10,YEAR(C717)&amp;"-0"&amp;MONTH(C717),YEAR(C717)&amp;"-"&amp;MONTH(C717))</f>
        <v>1900-01</v>
      </c>
      <c r="BR717" s="153" t="n">
        <f aca="false">J717</f>
        <v>0</v>
      </c>
      <c r="BS717" s="153" t="n">
        <f aca="false">IF(ISNUMBER(FIND("-", BR717)), LEFT(BR717, FIND("-", BR717) - 1), BR717)</f>
        <v>0</v>
      </c>
      <c r="BT717" s="189" t="n">
        <f aca="false">L717-M717+O717</f>
        <v>0</v>
      </c>
    </row>
    <row r="718" s="153" customFormat="true" ht="15" hidden="false" customHeight="false" outlineLevel="0" collapsed="false">
      <c r="AN718" s="153" t="e">
        <v>#NAME?</v>
      </c>
      <c r="AO718" s="153" t="e">
        <f aca="false">_xlfn.xlookup(AN718,A:A,F:F)</f>
        <v>#NAME?</v>
      </c>
      <c r="AP718" s="153" t="e">
        <f aca="false">_xlfn.xlookup(AN718,A:A,J:J)</f>
        <v>#NAME?</v>
      </c>
      <c r="AQ718" s="153" t="e">
        <f aca="false">_xlfn.xlookup(AN718,A:A,N:N)+_xlfn.xlookup(AN718,A:A,O:O)</f>
        <v>#NAME?</v>
      </c>
      <c r="AR718" s="150" t="e">
        <f aca="false">_xlfn.xlookup(AN718,A:A,AH:AH)</f>
        <v>#NAME?</v>
      </c>
      <c r="AS718" s="150" t="e">
        <f aca="false">_xlfn.xlookup(AN718,A:A,S:S)</f>
        <v>#NAME?</v>
      </c>
      <c r="AT718" s="150" t="e">
        <f aca="false">_xlfn.xlookup(AN718,A:A,AE:AE)</f>
        <v>#NAME?</v>
      </c>
      <c r="AU718" s="150" t="e">
        <f aca="false">_xlfn.xlookup(AN718,A:A,AF:AF)</f>
        <v>#NAME?</v>
      </c>
      <c r="AX718" s="146"/>
      <c r="AY718" s="150"/>
      <c r="AZ718" s="150"/>
      <c r="BA718" s="150"/>
      <c r="BB718" s="146"/>
      <c r="BC718" s="146"/>
      <c r="BD718" s="151"/>
      <c r="BE718" s="146"/>
      <c r="BF718" s="146"/>
      <c r="BH718" s="152" t="e">
        <f aca="false">_xlfn.xlookup(BG718,A:A,F:F)</f>
        <v>#NAME?</v>
      </c>
      <c r="BI718" s="153" t="e">
        <f aca="false">_xlfn.xlookup(BG718,A:A,J:J)</f>
        <v>#NAME?</v>
      </c>
      <c r="BJ718" s="153" t="e">
        <f aca="false">_xlfn.xlookup(BG718,A:A,N:N)+_xlfn.xlookup(BG718,A:A,O:O)</f>
        <v>#NAME?</v>
      </c>
      <c r="BK718" s="153" t="e">
        <f aca="false">_xlfn.xlookup(BG718,A667:A1661,AB667:AB1661)</f>
        <v>#NAME?</v>
      </c>
      <c r="BN718" s="146"/>
      <c r="BO718" s="150"/>
      <c r="BQ718" s="153" t="str">
        <f aca="false">IF(VALUE(MONTH(C718))&lt;10,YEAR(C718)&amp;"-0"&amp;MONTH(C718),YEAR(C718)&amp;"-"&amp;MONTH(C718))</f>
        <v>1900-01</v>
      </c>
      <c r="BR718" s="153" t="n">
        <f aca="false">J718</f>
        <v>0</v>
      </c>
      <c r="BS718" s="153" t="n">
        <f aca="false">IF(ISNUMBER(FIND("-", BR718)), LEFT(BR718, FIND("-", BR718) - 1), BR718)</f>
        <v>0</v>
      </c>
      <c r="BT718" s="189" t="n">
        <f aca="false">L718-M718+O718</f>
        <v>0</v>
      </c>
    </row>
    <row r="719" s="153" customFormat="true" ht="15" hidden="false" customHeight="false" outlineLevel="0" collapsed="false">
      <c r="AN719" s="153" t="e">
        <v>#NAME?</v>
      </c>
      <c r="AO719" s="153" t="e">
        <f aca="false">_xlfn.xlookup(AN719,A:A,F:F)</f>
        <v>#NAME?</v>
      </c>
      <c r="AP719" s="153" t="e">
        <f aca="false">_xlfn.xlookup(AN719,A:A,J:J)</f>
        <v>#NAME?</v>
      </c>
      <c r="AQ719" s="153" t="e">
        <f aca="false">_xlfn.xlookup(AN719,A:A,N:N)+_xlfn.xlookup(AN719,A:A,O:O)</f>
        <v>#NAME?</v>
      </c>
      <c r="AR719" s="150" t="e">
        <f aca="false">_xlfn.xlookup(AN719,A:A,AH:AH)</f>
        <v>#NAME?</v>
      </c>
      <c r="AS719" s="150" t="e">
        <f aca="false">_xlfn.xlookup(AN719,A:A,S:S)</f>
        <v>#NAME?</v>
      </c>
      <c r="AT719" s="150" t="e">
        <f aca="false">_xlfn.xlookup(AN719,A:A,AE:AE)</f>
        <v>#NAME?</v>
      </c>
      <c r="AU719" s="150" t="e">
        <f aca="false">_xlfn.xlookup(AN719,A:A,AF:AF)</f>
        <v>#NAME?</v>
      </c>
      <c r="AX719" s="146"/>
      <c r="AY719" s="150"/>
      <c r="AZ719" s="150"/>
      <c r="BA719" s="150"/>
      <c r="BB719" s="146"/>
      <c r="BC719" s="146"/>
      <c r="BD719" s="151"/>
      <c r="BE719" s="146"/>
      <c r="BF719" s="146"/>
      <c r="BH719" s="152" t="e">
        <f aca="false">_xlfn.xlookup(BG719,A:A,F:F)</f>
        <v>#NAME?</v>
      </c>
      <c r="BI719" s="153" t="e">
        <f aca="false">_xlfn.xlookup(BG719,A:A,J:J)</f>
        <v>#NAME?</v>
      </c>
      <c r="BJ719" s="153" t="e">
        <f aca="false">_xlfn.xlookup(BG719,A:A,N:N)+_xlfn.xlookup(BG719,A:A,O:O)</f>
        <v>#NAME?</v>
      </c>
      <c r="BK719" s="153" t="e">
        <f aca="false">_xlfn.xlookup(BG719,A668:A1662,AB668:AB1662)</f>
        <v>#NAME?</v>
      </c>
      <c r="BN719" s="146"/>
      <c r="BO719" s="150"/>
      <c r="BQ719" s="153" t="str">
        <f aca="false">IF(VALUE(MONTH(C719))&lt;10,YEAR(C719)&amp;"-0"&amp;MONTH(C719),YEAR(C719)&amp;"-"&amp;MONTH(C719))</f>
        <v>1900-01</v>
      </c>
      <c r="BR719" s="153" t="n">
        <f aca="false">J719</f>
        <v>0</v>
      </c>
      <c r="BS719" s="153" t="n">
        <f aca="false">IF(ISNUMBER(FIND("-", BR719)), LEFT(BR719, FIND("-", BR719) - 1), BR719)</f>
        <v>0</v>
      </c>
      <c r="BT719" s="189" t="n">
        <f aca="false">L719-M719+O719</f>
        <v>0</v>
      </c>
    </row>
    <row r="720" s="153" customFormat="true" ht="15" hidden="false" customHeight="false" outlineLevel="0" collapsed="false">
      <c r="AN720" s="153" t="e">
        <v>#NAME?</v>
      </c>
      <c r="AO720" s="153" t="e">
        <f aca="false">_xlfn.xlookup(AN720,A:A,F:F)</f>
        <v>#NAME?</v>
      </c>
      <c r="AP720" s="153" t="e">
        <f aca="false">_xlfn.xlookup(AN720,A:A,J:J)</f>
        <v>#NAME?</v>
      </c>
      <c r="AQ720" s="153" t="e">
        <f aca="false">_xlfn.xlookup(AN720,A:A,N:N)+_xlfn.xlookup(AN720,A:A,O:O)</f>
        <v>#NAME?</v>
      </c>
      <c r="AR720" s="150" t="e">
        <f aca="false">_xlfn.xlookup(AN720,A:A,AH:AH)</f>
        <v>#NAME?</v>
      </c>
      <c r="AS720" s="150" t="e">
        <f aca="false">_xlfn.xlookup(AN720,A:A,S:S)</f>
        <v>#NAME?</v>
      </c>
      <c r="AT720" s="150" t="e">
        <f aca="false">_xlfn.xlookup(AN720,A:A,AE:AE)</f>
        <v>#NAME?</v>
      </c>
      <c r="AU720" s="150" t="e">
        <f aca="false">_xlfn.xlookup(AN720,A:A,AF:AF)</f>
        <v>#NAME?</v>
      </c>
      <c r="AX720" s="146"/>
      <c r="AY720" s="150"/>
      <c r="AZ720" s="150"/>
      <c r="BA720" s="150"/>
      <c r="BB720" s="146"/>
      <c r="BC720" s="146"/>
      <c r="BD720" s="151"/>
      <c r="BE720" s="146"/>
      <c r="BF720" s="146"/>
      <c r="BH720" s="152" t="e">
        <f aca="false">_xlfn.xlookup(BG720,A:A,F:F)</f>
        <v>#NAME?</v>
      </c>
      <c r="BI720" s="153" t="e">
        <f aca="false">_xlfn.xlookup(BG720,A:A,J:J)</f>
        <v>#NAME?</v>
      </c>
      <c r="BJ720" s="153" t="e">
        <f aca="false">_xlfn.xlookup(BG720,A:A,N:N)+_xlfn.xlookup(BG720,A:A,O:O)</f>
        <v>#NAME?</v>
      </c>
      <c r="BK720" s="153" t="e">
        <f aca="false">_xlfn.xlookup(BG720,A669:A1663,AB669:AB1663)</f>
        <v>#NAME?</v>
      </c>
      <c r="BN720" s="146"/>
      <c r="BO720" s="150"/>
      <c r="BQ720" s="153" t="str">
        <f aca="false">IF(VALUE(MONTH(C720))&lt;10,YEAR(C720)&amp;"-0"&amp;MONTH(C720),YEAR(C720)&amp;"-"&amp;MONTH(C720))</f>
        <v>1900-01</v>
      </c>
      <c r="BR720" s="153" t="n">
        <f aca="false">J720</f>
        <v>0</v>
      </c>
      <c r="BS720" s="153" t="n">
        <f aca="false">IF(ISNUMBER(FIND("-", BR720)), LEFT(BR720, FIND("-", BR720) - 1), BR720)</f>
        <v>0</v>
      </c>
      <c r="BT720" s="189" t="n">
        <f aca="false">L720-M720+O720</f>
        <v>0</v>
      </c>
    </row>
    <row r="721" s="153" customFormat="true" ht="15" hidden="false" customHeight="false" outlineLevel="0" collapsed="false">
      <c r="AN721" s="153" t="e">
        <v>#NAME?</v>
      </c>
      <c r="AO721" s="153" t="e">
        <f aca="false">_xlfn.xlookup(AN721,A:A,F:F)</f>
        <v>#NAME?</v>
      </c>
      <c r="AP721" s="153" t="e">
        <f aca="false">_xlfn.xlookup(AN721,A:A,J:J)</f>
        <v>#NAME?</v>
      </c>
      <c r="AQ721" s="153" t="e">
        <f aca="false">_xlfn.xlookup(AN721,A:A,N:N)+_xlfn.xlookup(AN721,A:A,O:O)</f>
        <v>#NAME?</v>
      </c>
      <c r="AR721" s="150" t="e">
        <f aca="false">_xlfn.xlookup(AN721,A:A,AH:AH)</f>
        <v>#NAME?</v>
      </c>
      <c r="AS721" s="150" t="e">
        <f aca="false">_xlfn.xlookup(AN721,A:A,S:S)</f>
        <v>#NAME?</v>
      </c>
      <c r="AT721" s="150" t="e">
        <f aca="false">_xlfn.xlookup(AN721,A:A,AE:AE)</f>
        <v>#NAME?</v>
      </c>
      <c r="AU721" s="150" t="e">
        <f aca="false">_xlfn.xlookup(AN721,A:A,AF:AF)</f>
        <v>#NAME?</v>
      </c>
      <c r="AX721" s="146"/>
      <c r="AY721" s="150"/>
      <c r="AZ721" s="150"/>
      <c r="BA721" s="150"/>
      <c r="BB721" s="146"/>
      <c r="BC721" s="146"/>
      <c r="BD721" s="151"/>
      <c r="BE721" s="146"/>
      <c r="BF721" s="146"/>
      <c r="BH721" s="152" t="e">
        <f aca="false">_xlfn.xlookup(BG721,A:A,F:F)</f>
        <v>#NAME?</v>
      </c>
      <c r="BI721" s="153" t="e">
        <f aca="false">_xlfn.xlookup(BG721,A:A,J:J)</f>
        <v>#NAME?</v>
      </c>
      <c r="BJ721" s="153" t="e">
        <f aca="false">_xlfn.xlookup(BG721,A:A,N:N)+_xlfn.xlookup(BG721,A:A,O:O)</f>
        <v>#NAME?</v>
      </c>
      <c r="BK721" s="153" t="e">
        <f aca="false">_xlfn.xlookup(BG721,A670:A1664,AB670:AB1664)</f>
        <v>#NAME?</v>
      </c>
      <c r="BN721" s="146"/>
      <c r="BO721" s="150"/>
      <c r="BQ721" s="153" t="str">
        <f aca="false">IF(VALUE(MONTH(C721))&lt;10,YEAR(C721)&amp;"-0"&amp;MONTH(C721),YEAR(C721)&amp;"-"&amp;MONTH(C721))</f>
        <v>1900-01</v>
      </c>
      <c r="BR721" s="153" t="n">
        <f aca="false">J721</f>
        <v>0</v>
      </c>
      <c r="BS721" s="153" t="n">
        <f aca="false">IF(ISNUMBER(FIND("-", BR721)), LEFT(BR721, FIND("-", BR721) - 1), BR721)</f>
        <v>0</v>
      </c>
      <c r="BT721" s="189" t="n">
        <f aca="false">L721-M721+O721</f>
        <v>0</v>
      </c>
    </row>
    <row r="722" s="153" customFormat="true" ht="15" hidden="false" customHeight="false" outlineLevel="0" collapsed="false">
      <c r="AN722" s="153" t="e">
        <v>#NAME?</v>
      </c>
      <c r="AO722" s="153" t="e">
        <f aca="false">_xlfn.xlookup(AN722,A:A,F:F)</f>
        <v>#NAME?</v>
      </c>
      <c r="AP722" s="153" t="e">
        <f aca="false">_xlfn.xlookup(AN722,A:A,J:J)</f>
        <v>#NAME?</v>
      </c>
      <c r="AQ722" s="153" t="e">
        <f aca="false">_xlfn.xlookup(AN722,A:A,N:N)+_xlfn.xlookup(AN722,A:A,O:O)</f>
        <v>#NAME?</v>
      </c>
      <c r="AR722" s="150" t="e">
        <f aca="false">_xlfn.xlookup(AN722,A:A,AH:AH)</f>
        <v>#NAME?</v>
      </c>
      <c r="AS722" s="150" t="e">
        <f aca="false">_xlfn.xlookup(AN722,A:A,S:S)</f>
        <v>#NAME?</v>
      </c>
      <c r="AT722" s="150" t="e">
        <f aca="false">_xlfn.xlookup(AN722,A:A,AE:AE)</f>
        <v>#NAME?</v>
      </c>
      <c r="AU722" s="150" t="e">
        <f aca="false">_xlfn.xlookup(AN722,A:A,AF:AF)</f>
        <v>#NAME?</v>
      </c>
      <c r="AX722" s="146"/>
      <c r="AY722" s="150"/>
      <c r="AZ722" s="150"/>
      <c r="BA722" s="150"/>
      <c r="BB722" s="146"/>
      <c r="BC722" s="146"/>
      <c r="BD722" s="151"/>
      <c r="BE722" s="146"/>
      <c r="BF722" s="146"/>
      <c r="BH722" s="152" t="e">
        <f aca="false">_xlfn.xlookup(BG722,A:A,F:F)</f>
        <v>#NAME?</v>
      </c>
      <c r="BI722" s="153" t="e">
        <f aca="false">_xlfn.xlookup(BG722,A:A,J:J)</f>
        <v>#NAME?</v>
      </c>
      <c r="BJ722" s="153" t="e">
        <f aca="false">_xlfn.xlookup(BG722,A:A,N:N)+_xlfn.xlookup(BG722,A:A,O:O)</f>
        <v>#NAME?</v>
      </c>
      <c r="BK722" s="153" t="e">
        <f aca="false">_xlfn.xlookup(BG722,A671:A1665,AB671:AB1665)</f>
        <v>#NAME?</v>
      </c>
      <c r="BN722" s="146"/>
      <c r="BO722" s="150"/>
      <c r="BQ722" s="153" t="str">
        <f aca="false">IF(VALUE(MONTH(C722))&lt;10,YEAR(C722)&amp;"-0"&amp;MONTH(C722),YEAR(C722)&amp;"-"&amp;MONTH(C722))</f>
        <v>1900-01</v>
      </c>
      <c r="BR722" s="153" t="n">
        <f aca="false">J722</f>
        <v>0</v>
      </c>
      <c r="BS722" s="153" t="n">
        <f aca="false">IF(ISNUMBER(FIND("-", BR722)), LEFT(BR722, FIND("-", BR722) - 1), BR722)</f>
        <v>0</v>
      </c>
      <c r="BT722" s="189" t="n">
        <f aca="false">L722-M722+O722</f>
        <v>0</v>
      </c>
    </row>
    <row r="723" s="153" customFormat="true" ht="15" hidden="false" customHeight="false" outlineLevel="0" collapsed="false">
      <c r="AN723" s="153" t="e">
        <v>#NAME?</v>
      </c>
      <c r="AO723" s="153" t="e">
        <f aca="false">_xlfn.xlookup(AN723,A:A,F:F)</f>
        <v>#NAME?</v>
      </c>
      <c r="AP723" s="153" t="e">
        <f aca="false">_xlfn.xlookup(AN723,A:A,J:J)</f>
        <v>#NAME?</v>
      </c>
      <c r="AQ723" s="153" t="e">
        <f aca="false">_xlfn.xlookup(AN723,A:A,N:N)+_xlfn.xlookup(AN723,A:A,O:O)</f>
        <v>#NAME?</v>
      </c>
      <c r="AR723" s="150" t="e">
        <f aca="false">_xlfn.xlookup(AN723,A:A,AH:AH)</f>
        <v>#NAME?</v>
      </c>
      <c r="AS723" s="150" t="e">
        <f aca="false">_xlfn.xlookup(AN723,A:A,S:S)</f>
        <v>#NAME?</v>
      </c>
      <c r="AT723" s="150" t="e">
        <f aca="false">_xlfn.xlookup(AN723,A:A,AE:AE)</f>
        <v>#NAME?</v>
      </c>
      <c r="AU723" s="150" t="e">
        <f aca="false">_xlfn.xlookup(AN723,A:A,AF:AF)</f>
        <v>#NAME?</v>
      </c>
      <c r="AX723" s="146"/>
      <c r="AY723" s="150"/>
      <c r="AZ723" s="150"/>
      <c r="BA723" s="150"/>
      <c r="BB723" s="146"/>
      <c r="BC723" s="146"/>
      <c r="BD723" s="151"/>
      <c r="BE723" s="146"/>
      <c r="BF723" s="146"/>
      <c r="BH723" s="152" t="e">
        <f aca="false">_xlfn.xlookup(BG723,A:A,F:F)</f>
        <v>#NAME?</v>
      </c>
      <c r="BI723" s="153" t="e">
        <f aca="false">_xlfn.xlookup(BG723,A:A,J:J)</f>
        <v>#NAME?</v>
      </c>
      <c r="BJ723" s="153" t="e">
        <f aca="false">_xlfn.xlookup(BG723,A:A,N:N)+_xlfn.xlookup(BG723,A:A,O:O)</f>
        <v>#NAME?</v>
      </c>
      <c r="BK723" s="153" t="e">
        <f aca="false">_xlfn.xlookup(BG723,A672:A1666,AB672:AB1666)</f>
        <v>#NAME?</v>
      </c>
      <c r="BN723" s="146"/>
      <c r="BO723" s="150"/>
      <c r="BQ723" s="153" t="str">
        <f aca="false">IF(VALUE(MONTH(C723))&lt;10,YEAR(C723)&amp;"-0"&amp;MONTH(C723),YEAR(C723)&amp;"-"&amp;MONTH(C723))</f>
        <v>1900-01</v>
      </c>
      <c r="BR723" s="153" t="n">
        <f aca="false">J723</f>
        <v>0</v>
      </c>
      <c r="BS723" s="153" t="n">
        <f aca="false">IF(ISNUMBER(FIND("-", BR723)), LEFT(BR723, FIND("-", BR723) - 1), BR723)</f>
        <v>0</v>
      </c>
      <c r="BT723" s="189" t="n">
        <f aca="false">L723-M723+O723</f>
        <v>0</v>
      </c>
    </row>
    <row r="724" s="153" customFormat="true" ht="15" hidden="false" customHeight="false" outlineLevel="0" collapsed="false">
      <c r="AN724" s="153" t="e">
        <v>#NAME?</v>
      </c>
      <c r="AO724" s="153" t="e">
        <f aca="false">_xlfn.xlookup(AN724,A:A,F:F)</f>
        <v>#NAME?</v>
      </c>
      <c r="AP724" s="153" t="e">
        <f aca="false">_xlfn.xlookup(AN724,A:A,J:J)</f>
        <v>#NAME?</v>
      </c>
      <c r="AQ724" s="153" t="e">
        <f aca="false">_xlfn.xlookup(AN724,A:A,N:N)+_xlfn.xlookup(AN724,A:A,O:O)</f>
        <v>#NAME?</v>
      </c>
      <c r="AR724" s="150" t="e">
        <f aca="false">_xlfn.xlookup(AN724,A:A,AH:AH)</f>
        <v>#NAME?</v>
      </c>
      <c r="AS724" s="150" t="e">
        <f aca="false">_xlfn.xlookup(AN724,A:A,S:S)</f>
        <v>#NAME?</v>
      </c>
      <c r="AT724" s="150" t="e">
        <f aca="false">_xlfn.xlookup(AN724,A:A,AE:AE)</f>
        <v>#NAME?</v>
      </c>
      <c r="AU724" s="150" t="e">
        <f aca="false">_xlfn.xlookup(AN724,A:A,AF:AF)</f>
        <v>#NAME?</v>
      </c>
      <c r="AX724" s="146"/>
      <c r="AY724" s="150"/>
      <c r="AZ724" s="150"/>
      <c r="BA724" s="150"/>
      <c r="BB724" s="146"/>
      <c r="BC724" s="146"/>
      <c r="BD724" s="151"/>
      <c r="BE724" s="146"/>
      <c r="BF724" s="146"/>
      <c r="BH724" s="152" t="e">
        <f aca="false">_xlfn.xlookup(BG724,A:A,F:F)</f>
        <v>#NAME?</v>
      </c>
      <c r="BI724" s="153" t="e">
        <f aca="false">_xlfn.xlookup(BG724,A:A,J:J)</f>
        <v>#NAME?</v>
      </c>
      <c r="BJ724" s="153" t="e">
        <f aca="false">_xlfn.xlookup(BG724,A:A,N:N)+_xlfn.xlookup(BG724,A:A,O:O)</f>
        <v>#NAME?</v>
      </c>
      <c r="BK724" s="153" t="e">
        <f aca="false">_xlfn.xlookup(BG724,A673:A1667,AB673:AB1667)</f>
        <v>#NAME?</v>
      </c>
      <c r="BN724" s="146"/>
      <c r="BO724" s="150"/>
      <c r="BQ724" s="153" t="str">
        <f aca="false">IF(VALUE(MONTH(C724))&lt;10,YEAR(C724)&amp;"-0"&amp;MONTH(C724),YEAR(C724)&amp;"-"&amp;MONTH(C724))</f>
        <v>1900-01</v>
      </c>
      <c r="BR724" s="153" t="n">
        <f aca="false">J724</f>
        <v>0</v>
      </c>
      <c r="BS724" s="153" t="n">
        <f aca="false">IF(ISNUMBER(FIND("-", BR724)), LEFT(BR724, FIND("-", BR724) - 1), BR724)</f>
        <v>0</v>
      </c>
      <c r="BT724" s="189" t="n">
        <f aca="false">L724-M724+O724</f>
        <v>0</v>
      </c>
    </row>
    <row r="725" s="153" customFormat="true" ht="15" hidden="false" customHeight="false" outlineLevel="0" collapsed="false">
      <c r="AN725" s="153" t="e">
        <v>#NAME?</v>
      </c>
      <c r="AO725" s="153" t="e">
        <f aca="false">_xlfn.xlookup(AN725,A:A,F:F)</f>
        <v>#NAME?</v>
      </c>
      <c r="AP725" s="153" t="e">
        <f aca="false">_xlfn.xlookup(AN725,A:A,J:J)</f>
        <v>#NAME?</v>
      </c>
      <c r="AQ725" s="153" t="e">
        <f aca="false">_xlfn.xlookup(AN725,A:A,N:N)+_xlfn.xlookup(AN725,A:A,O:O)</f>
        <v>#NAME?</v>
      </c>
      <c r="AR725" s="150" t="e">
        <f aca="false">_xlfn.xlookup(AN725,A:A,AH:AH)</f>
        <v>#NAME?</v>
      </c>
      <c r="AS725" s="150" t="e">
        <f aca="false">_xlfn.xlookup(AN725,A:A,S:S)</f>
        <v>#NAME?</v>
      </c>
      <c r="AT725" s="150" t="e">
        <f aca="false">_xlfn.xlookup(AN725,A:A,AE:AE)</f>
        <v>#NAME?</v>
      </c>
      <c r="AU725" s="150" t="e">
        <f aca="false">_xlfn.xlookup(AN725,A:A,AF:AF)</f>
        <v>#NAME?</v>
      </c>
      <c r="AX725" s="146"/>
      <c r="AY725" s="150"/>
      <c r="AZ725" s="150"/>
      <c r="BA725" s="150"/>
      <c r="BB725" s="146"/>
      <c r="BC725" s="146"/>
      <c r="BD725" s="151"/>
      <c r="BE725" s="146"/>
      <c r="BF725" s="146"/>
      <c r="BH725" s="152" t="e">
        <f aca="false">_xlfn.xlookup(BG725,A:A,F:F)</f>
        <v>#NAME?</v>
      </c>
      <c r="BI725" s="153" t="e">
        <f aca="false">_xlfn.xlookup(BG725,A:A,J:J)</f>
        <v>#NAME?</v>
      </c>
      <c r="BJ725" s="153" t="e">
        <f aca="false">_xlfn.xlookup(BG725,A:A,N:N)+_xlfn.xlookup(BG725,A:A,O:O)</f>
        <v>#NAME?</v>
      </c>
      <c r="BK725" s="153" t="e">
        <f aca="false">_xlfn.xlookup(BG725,A674:A1668,AB674:AB1668)</f>
        <v>#NAME?</v>
      </c>
      <c r="BN725" s="146"/>
      <c r="BO725" s="150"/>
      <c r="BQ725" s="153" t="str">
        <f aca="false">IF(VALUE(MONTH(C725))&lt;10,YEAR(C725)&amp;"-0"&amp;MONTH(C725),YEAR(C725)&amp;"-"&amp;MONTH(C725))</f>
        <v>1900-01</v>
      </c>
      <c r="BR725" s="153" t="n">
        <f aca="false">J725</f>
        <v>0</v>
      </c>
      <c r="BS725" s="153" t="n">
        <f aca="false">IF(ISNUMBER(FIND("-", BR725)), LEFT(BR725, FIND("-", BR725) - 1), BR725)</f>
        <v>0</v>
      </c>
      <c r="BT725" s="189" t="n">
        <f aca="false">L725-M725+O725</f>
        <v>0</v>
      </c>
    </row>
    <row r="726" s="153" customFormat="true" ht="15" hidden="false" customHeight="false" outlineLevel="0" collapsed="false">
      <c r="AN726" s="153" t="e">
        <v>#NAME?</v>
      </c>
      <c r="AO726" s="153" t="e">
        <f aca="false">_xlfn.xlookup(AN726,A:A,F:F)</f>
        <v>#NAME?</v>
      </c>
      <c r="AP726" s="153" t="e">
        <f aca="false">_xlfn.xlookup(AN726,A:A,J:J)</f>
        <v>#NAME?</v>
      </c>
      <c r="AQ726" s="153" t="e">
        <f aca="false">_xlfn.xlookup(AN726,A:A,N:N)+_xlfn.xlookup(AN726,A:A,O:O)</f>
        <v>#NAME?</v>
      </c>
      <c r="AR726" s="150" t="e">
        <f aca="false">_xlfn.xlookup(AN726,A:A,AH:AH)</f>
        <v>#NAME?</v>
      </c>
      <c r="AS726" s="150" t="e">
        <f aca="false">_xlfn.xlookup(AN726,A:A,S:S)</f>
        <v>#NAME?</v>
      </c>
      <c r="AT726" s="150" t="e">
        <f aca="false">_xlfn.xlookup(AN726,A:A,AE:AE)</f>
        <v>#NAME?</v>
      </c>
      <c r="AU726" s="150" t="e">
        <f aca="false">_xlfn.xlookup(AN726,A:A,AF:AF)</f>
        <v>#NAME?</v>
      </c>
      <c r="AX726" s="146"/>
      <c r="AY726" s="150"/>
      <c r="AZ726" s="150"/>
      <c r="BA726" s="150"/>
      <c r="BB726" s="146"/>
      <c r="BC726" s="146"/>
      <c r="BD726" s="151"/>
      <c r="BE726" s="146"/>
      <c r="BF726" s="146"/>
      <c r="BH726" s="152" t="e">
        <f aca="false">_xlfn.xlookup(BG726,A:A,F:F)</f>
        <v>#NAME?</v>
      </c>
      <c r="BI726" s="153" t="e">
        <f aca="false">_xlfn.xlookup(BG726,A:A,J:J)</f>
        <v>#NAME?</v>
      </c>
      <c r="BJ726" s="153" t="e">
        <f aca="false">_xlfn.xlookup(BG726,A:A,N:N)+_xlfn.xlookup(BG726,A:A,O:O)</f>
        <v>#NAME?</v>
      </c>
      <c r="BK726" s="153" t="e">
        <f aca="false">_xlfn.xlookup(BG726,A675:A1669,AB675:AB1669)</f>
        <v>#NAME?</v>
      </c>
      <c r="BN726" s="146"/>
      <c r="BO726" s="150"/>
      <c r="BQ726" s="153" t="str">
        <f aca="false">IF(VALUE(MONTH(C726))&lt;10,YEAR(C726)&amp;"-0"&amp;MONTH(C726),YEAR(C726)&amp;"-"&amp;MONTH(C726))</f>
        <v>1900-01</v>
      </c>
      <c r="BR726" s="153" t="n">
        <f aca="false">J726</f>
        <v>0</v>
      </c>
      <c r="BS726" s="153" t="n">
        <f aca="false">IF(ISNUMBER(FIND("-", BR726)), LEFT(BR726, FIND("-", BR726) - 1), BR726)</f>
        <v>0</v>
      </c>
      <c r="BT726" s="189" t="n">
        <f aca="false">L726-M726+O726</f>
        <v>0</v>
      </c>
    </row>
    <row r="727" s="153" customFormat="true" ht="15" hidden="false" customHeight="false" outlineLevel="0" collapsed="false">
      <c r="AN727" s="153" t="e">
        <v>#NAME?</v>
      </c>
      <c r="AO727" s="153" t="e">
        <f aca="false">_xlfn.xlookup(AN727,A:A,F:F)</f>
        <v>#NAME?</v>
      </c>
      <c r="AP727" s="153" t="e">
        <f aca="false">_xlfn.xlookup(AN727,A:A,J:J)</f>
        <v>#NAME?</v>
      </c>
      <c r="AQ727" s="153" t="e">
        <f aca="false">_xlfn.xlookup(AN727,A:A,N:N)+_xlfn.xlookup(AN727,A:A,O:O)</f>
        <v>#NAME?</v>
      </c>
      <c r="AR727" s="150" t="e">
        <f aca="false">_xlfn.xlookup(AN727,A:A,AH:AH)</f>
        <v>#NAME?</v>
      </c>
      <c r="AS727" s="150" t="e">
        <f aca="false">_xlfn.xlookup(AN727,A:A,S:S)</f>
        <v>#NAME?</v>
      </c>
      <c r="AT727" s="150" t="e">
        <f aca="false">_xlfn.xlookup(AN727,A:A,AE:AE)</f>
        <v>#NAME?</v>
      </c>
      <c r="AU727" s="150" t="e">
        <f aca="false">_xlfn.xlookup(AN727,A:A,AF:AF)</f>
        <v>#NAME?</v>
      </c>
      <c r="AX727" s="146"/>
      <c r="AY727" s="150"/>
      <c r="AZ727" s="150"/>
      <c r="BA727" s="150"/>
      <c r="BB727" s="146"/>
      <c r="BC727" s="146"/>
      <c r="BD727" s="151"/>
      <c r="BE727" s="146"/>
      <c r="BF727" s="146"/>
      <c r="BH727" s="152" t="e">
        <f aca="false">_xlfn.xlookup(BG727,A:A,F:F)</f>
        <v>#NAME?</v>
      </c>
      <c r="BI727" s="153" t="e">
        <f aca="false">_xlfn.xlookup(BG727,A:A,J:J)</f>
        <v>#NAME?</v>
      </c>
      <c r="BJ727" s="153" t="e">
        <f aca="false">_xlfn.xlookup(BG727,A:A,N:N)+_xlfn.xlookup(BG727,A:A,O:O)</f>
        <v>#NAME?</v>
      </c>
      <c r="BK727" s="153" t="e">
        <f aca="false">_xlfn.xlookup(BG727,A676:A1670,AB676:AB1670)</f>
        <v>#NAME?</v>
      </c>
      <c r="BN727" s="146"/>
      <c r="BO727" s="150"/>
      <c r="BQ727" s="153" t="str">
        <f aca="false">IF(VALUE(MONTH(C727))&lt;10,YEAR(C727)&amp;"-0"&amp;MONTH(C727),YEAR(C727)&amp;"-"&amp;MONTH(C727))</f>
        <v>1900-01</v>
      </c>
      <c r="BR727" s="153" t="n">
        <f aca="false">J727</f>
        <v>0</v>
      </c>
      <c r="BS727" s="153" t="n">
        <f aca="false">IF(ISNUMBER(FIND("-", BR727)), LEFT(BR727, FIND("-", BR727) - 1), BR727)</f>
        <v>0</v>
      </c>
      <c r="BT727" s="189" t="n">
        <f aca="false">L727-M727+O727</f>
        <v>0</v>
      </c>
    </row>
    <row r="728" s="153" customFormat="true" ht="15" hidden="false" customHeight="false" outlineLevel="0" collapsed="false">
      <c r="AN728" s="153" t="e">
        <v>#NAME?</v>
      </c>
      <c r="AO728" s="153" t="e">
        <f aca="false">_xlfn.xlookup(AN728,A:A,F:F)</f>
        <v>#NAME?</v>
      </c>
      <c r="AP728" s="153" t="e">
        <f aca="false">_xlfn.xlookup(AN728,A:A,J:J)</f>
        <v>#NAME?</v>
      </c>
      <c r="AQ728" s="153" t="e">
        <f aca="false">_xlfn.xlookup(AN728,A:A,N:N)+_xlfn.xlookup(AN728,A:A,O:O)</f>
        <v>#NAME?</v>
      </c>
      <c r="AR728" s="150" t="e">
        <f aca="false">_xlfn.xlookup(AN728,A:A,AH:AH)</f>
        <v>#NAME?</v>
      </c>
      <c r="AS728" s="150" t="e">
        <f aca="false">_xlfn.xlookup(AN728,A:A,S:S)</f>
        <v>#NAME?</v>
      </c>
      <c r="AT728" s="150" t="e">
        <f aca="false">_xlfn.xlookup(AN728,A:A,AE:AE)</f>
        <v>#NAME?</v>
      </c>
      <c r="AU728" s="150" t="e">
        <f aca="false">_xlfn.xlookup(AN728,A:A,AF:AF)</f>
        <v>#NAME?</v>
      </c>
      <c r="AX728" s="146"/>
      <c r="AY728" s="150"/>
      <c r="AZ728" s="150"/>
      <c r="BA728" s="150"/>
      <c r="BB728" s="146"/>
      <c r="BC728" s="146"/>
      <c r="BD728" s="151"/>
      <c r="BE728" s="146"/>
      <c r="BF728" s="146"/>
      <c r="BH728" s="152" t="e">
        <f aca="false">_xlfn.xlookup(BG728,A:A,F:F)</f>
        <v>#NAME?</v>
      </c>
      <c r="BI728" s="153" t="e">
        <f aca="false">_xlfn.xlookup(BG728,A:A,J:J)</f>
        <v>#NAME?</v>
      </c>
      <c r="BJ728" s="153" t="e">
        <f aca="false">_xlfn.xlookup(BG728,A:A,N:N)+_xlfn.xlookup(BG728,A:A,O:O)</f>
        <v>#NAME?</v>
      </c>
      <c r="BK728" s="153" t="e">
        <f aca="false">_xlfn.xlookup(BG728,A677:A1671,AB677:AB1671)</f>
        <v>#NAME?</v>
      </c>
      <c r="BN728" s="146"/>
      <c r="BO728" s="150"/>
      <c r="BQ728" s="153" t="str">
        <f aca="false">IF(VALUE(MONTH(C728))&lt;10,YEAR(C728)&amp;"-0"&amp;MONTH(C728),YEAR(C728)&amp;"-"&amp;MONTH(C728))</f>
        <v>1900-01</v>
      </c>
      <c r="BR728" s="153" t="n">
        <f aca="false">J728</f>
        <v>0</v>
      </c>
      <c r="BS728" s="153" t="n">
        <f aca="false">IF(ISNUMBER(FIND("-", BR728)), LEFT(BR728, FIND("-", BR728) - 1), BR728)</f>
        <v>0</v>
      </c>
      <c r="BT728" s="189" t="n">
        <f aca="false">L728-M728+O728</f>
        <v>0</v>
      </c>
    </row>
    <row r="729" s="153" customFormat="true" ht="15" hidden="false" customHeight="false" outlineLevel="0" collapsed="false">
      <c r="AN729" s="153" t="e">
        <v>#NAME?</v>
      </c>
      <c r="AO729" s="153" t="e">
        <f aca="false">_xlfn.xlookup(AN729,A:A,F:F)</f>
        <v>#NAME?</v>
      </c>
      <c r="AP729" s="153" t="e">
        <f aca="false">_xlfn.xlookup(AN729,A:A,J:J)</f>
        <v>#NAME?</v>
      </c>
      <c r="AQ729" s="153" t="e">
        <f aca="false">_xlfn.xlookup(AN729,A:A,N:N)+_xlfn.xlookup(AN729,A:A,O:O)</f>
        <v>#NAME?</v>
      </c>
      <c r="AR729" s="150" t="e">
        <f aca="false">_xlfn.xlookup(AN729,A:A,AH:AH)</f>
        <v>#NAME?</v>
      </c>
      <c r="AS729" s="150" t="e">
        <f aca="false">_xlfn.xlookup(AN729,A:A,S:S)</f>
        <v>#NAME?</v>
      </c>
      <c r="AT729" s="150" t="e">
        <f aca="false">_xlfn.xlookup(AN729,A:A,AE:AE)</f>
        <v>#NAME?</v>
      </c>
      <c r="AU729" s="150" t="e">
        <f aca="false">_xlfn.xlookup(AN729,A:A,AF:AF)</f>
        <v>#NAME?</v>
      </c>
      <c r="AX729" s="146"/>
      <c r="AY729" s="150"/>
      <c r="AZ729" s="150"/>
      <c r="BA729" s="150"/>
      <c r="BB729" s="146"/>
      <c r="BC729" s="146"/>
      <c r="BD729" s="151"/>
      <c r="BE729" s="146"/>
      <c r="BF729" s="146"/>
      <c r="BH729" s="152" t="e">
        <f aca="false">_xlfn.xlookup(BG729,A:A,F:F)</f>
        <v>#NAME?</v>
      </c>
      <c r="BI729" s="153" t="e">
        <f aca="false">_xlfn.xlookup(BG729,A:A,J:J)</f>
        <v>#NAME?</v>
      </c>
      <c r="BJ729" s="153" t="e">
        <f aca="false">_xlfn.xlookup(BG729,A:A,N:N)+_xlfn.xlookup(BG729,A:A,O:O)</f>
        <v>#NAME?</v>
      </c>
      <c r="BK729" s="153" t="e">
        <f aca="false">_xlfn.xlookup(BG729,A678:A1672,AB678:AB1672)</f>
        <v>#NAME?</v>
      </c>
      <c r="BN729" s="146"/>
      <c r="BO729" s="150"/>
      <c r="BQ729" s="153" t="str">
        <f aca="false">IF(VALUE(MONTH(C729))&lt;10,YEAR(C729)&amp;"-0"&amp;MONTH(C729),YEAR(C729)&amp;"-"&amp;MONTH(C729))</f>
        <v>1900-01</v>
      </c>
      <c r="BR729" s="153" t="n">
        <f aca="false">J729</f>
        <v>0</v>
      </c>
      <c r="BS729" s="153" t="n">
        <f aca="false">IF(ISNUMBER(FIND("-", BR729)), LEFT(BR729, FIND("-", BR729) - 1), BR729)</f>
        <v>0</v>
      </c>
      <c r="BT729" s="189" t="n">
        <f aca="false">L729-M729+O729</f>
        <v>0</v>
      </c>
    </row>
    <row r="730" s="153" customFormat="true" ht="15" hidden="false" customHeight="false" outlineLevel="0" collapsed="false">
      <c r="AN730" s="153" t="e">
        <v>#NAME?</v>
      </c>
      <c r="AO730" s="153" t="e">
        <f aca="false">_xlfn.xlookup(AN730,A:A,F:F)</f>
        <v>#NAME?</v>
      </c>
      <c r="AP730" s="153" t="e">
        <f aca="false">_xlfn.xlookup(AN730,A:A,J:J)</f>
        <v>#NAME?</v>
      </c>
      <c r="AQ730" s="153" t="e">
        <f aca="false">_xlfn.xlookup(AN730,A:A,N:N)+_xlfn.xlookup(AN730,A:A,O:O)</f>
        <v>#NAME?</v>
      </c>
      <c r="AR730" s="150" t="e">
        <f aca="false">_xlfn.xlookup(AN730,A:A,AH:AH)</f>
        <v>#NAME?</v>
      </c>
      <c r="AS730" s="150" t="e">
        <f aca="false">_xlfn.xlookup(AN730,A:A,S:S)</f>
        <v>#NAME?</v>
      </c>
      <c r="AT730" s="150" t="e">
        <f aca="false">_xlfn.xlookup(AN730,A:A,AE:AE)</f>
        <v>#NAME?</v>
      </c>
      <c r="AU730" s="150" t="e">
        <f aca="false">_xlfn.xlookup(AN730,A:A,AF:AF)</f>
        <v>#NAME?</v>
      </c>
      <c r="AX730" s="146"/>
      <c r="AY730" s="150"/>
      <c r="AZ730" s="150"/>
      <c r="BA730" s="150"/>
      <c r="BB730" s="146"/>
      <c r="BC730" s="146"/>
      <c r="BD730" s="151"/>
      <c r="BE730" s="146"/>
      <c r="BF730" s="146"/>
      <c r="BH730" s="152" t="e">
        <f aca="false">_xlfn.xlookup(BG730,A:A,F:F)</f>
        <v>#NAME?</v>
      </c>
      <c r="BI730" s="153" t="e">
        <f aca="false">_xlfn.xlookup(BG730,A:A,J:J)</f>
        <v>#NAME?</v>
      </c>
      <c r="BJ730" s="153" t="e">
        <f aca="false">_xlfn.xlookup(BG730,A:A,N:N)+_xlfn.xlookup(BG730,A:A,O:O)</f>
        <v>#NAME?</v>
      </c>
      <c r="BK730" s="153" t="e">
        <f aca="false">_xlfn.xlookup(BG730,A679:A1673,AB679:AB1673)</f>
        <v>#NAME?</v>
      </c>
      <c r="BN730" s="146"/>
      <c r="BO730" s="150"/>
      <c r="BQ730" s="153" t="str">
        <f aca="false">IF(VALUE(MONTH(C730))&lt;10,YEAR(C730)&amp;"-0"&amp;MONTH(C730),YEAR(C730)&amp;"-"&amp;MONTH(C730))</f>
        <v>1900-01</v>
      </c>
      <c r="BR730" s="153" t="n">
        <f aca="false">J730</f>
        <v>0</v>
      </c>
      <c r="BS730" s="153" t="n">
        <f aca="false">IF(ISNUMBER(FIND("-", BR730)), LEFT(BR730, FIND("-", BR730) - 1), BR730)</f>
        <v>0</v>
      </c>
      <c r="BT730" s="189" t="n">
        <f aca="false">L730-M730+O730</f>
        <v>0</v>
      </c>
    </row>
    <row r="731" s="153" customFormat="true" ht="15" hidden="false" customHeight="false" outlineLevel="0" collapsed="false">
      <c r="AN731" s="153" t="e">
        <v>#NAME?</v>
      </c>
      <c r="AO731" s="153" t="e">
        <f aca="false">_xlfn.xlookup(AN731,A:A,F:F)</f>
        <v>#NAME?</v>
      </c>
      <c r="AP731" s="153" t="e">
        <f aca="false">_xlfn.xlookup(AN731,A:A,J:J)</f>
        <v>#NAME?</v>
      </c>
      <c r="AQ731" s="153" t="e">
        <f aca="false">_xlfn.xlookup(AN731,A:A,N:N)+_xlfn.xlookup(AN731,A:A,O:O)</f>
        <v>#NAME?</v>
      </c>
      <c r="AR731" s="150" t="e">
        <f aca="false">_xlfn.xlookup(AN731,A:A,AH:AH)</f>
        <v>#NAME?</v>
      </c>
      <c r="AS731" s="150" t="e">
        <f aca="false">_xlfn.xlookup(AN731,A:A,S:S)</f>
        <v>#NAME?</v>
      </c>
      <c r="AT731" s="150" t="e">
        <f aca="false">_xlfn.xlookup(AN731,A:A,AE:AE)</f>
        <v>#NAME?</v>
      </c>
      <c r="AU731" s="150" t="e">
        <f aca="false">_xlfn.xlookup(AN731,A:A,AF:AF)</f>
        <v>#NAME?</v>
      </c>
      <c r="AX731" s="146"/>
      <c r="AY731" s="150"/>
      <c r="AZ731" s="150"/>
      <c r="BA731" s="150"/>
      <c r="BB731" s="146"/>
      <c r="BC731" s="146"/>
      <c r="BD731" s="151"/>
      <c r="BE731" s="146"/>
      <c r="BF731" s="146"/>
      <c r="BH731" s="152" t="e">
        <f aca="false">_xlfn.xlookup(BG731,A:A,F:F)</f>
        <v>#NAME?</v>
      </c>
      <c r="BI731" s="153" t="e">
        <f aca="false">_xlfn.xlookup(BG731,A:A,J:J)</f>
        <v>#NAME?</v>
      </c>
      <c r="BJ731" s="153" t="e">
        <f aca="false">_xlfn.xlookup(BG731,A:A,N:N)+_xlfn.xlookup(BG731,A:A,O:O)</f>
        <v>#NAME?</v>
      </c>
      <c r="BK731" s="153" t="e">
        <f aca="false">_xlfn.xlookup(BG731,A680:A1674,AB680:AB1674)</f>
        <v>#NAME?</v>
      </c>
      <c r="BN731" s="146"/>
      <c r="BO731" s="150"/>
      <c r="BQ731" s="153" t="str">
        <f aca="false">IF(VALUE(MONTH(C731))&lt;10,YEAR(C731)&amp;"-0"&amp;MONTH(C731),YEAR(C731)&amp;"-"&amp;MONTH(C731))</f>
        <v>1900-01</v>
      </c>
      <c r="BR731" s="153" t="n">
        <f aca="false">J731</f>
        <v>0</v>
      </c>
      <c r="BS731" s="153" t="n">
        <f aca="false">IF(ISNUMBER(FIND("-", BR731)), LEFT(BR731, FIND("-", BR731) - 1), BR731)</f>
        <v>0</v>
      </c>
      <c r="BT731" s="189" t="n">
        <f aca="false">L731-M731+O731</f>
        <v>0</v>
      </c>
    </row>
    <row r="732" s="153" customFormat="true" ht="15" hidden="false" customHeight="false" outlineLevel="0" collapsed="false">
      <c r="AN732" s="153" t="e">
        <v>#NAME?</v>
      </c>
      <c r="AO732" s="153" t="e">
        <f aca="false">_xlfn.xlookup(AN732,A:A,F:F)</f>
        <v>#NAME?</v>
      </c>
      <c r="AP732" s="153" t="e">
        <f aca="false">_xlfn.xlookup(AN732,A:A,J:J)</f>
        <v>#NAME?</v>
      </c>
      <c r="AQ732" s="153" t="e">
        <f aca="false">_xlfn.xlookup(AN732,A:A,N:N)+_xlfn.xlookup(AN732,A:A,O:O)</f>
        <v>#NAME?</v>
      </c>
      <c r="AR732" s="150" t="e">
        <f aca="false">_xlfn.xlookup(AN732,A:A,AH:AH)</f>
        <v>#NAME?</v>
      </c>
      <c r="AS732" s="150" t="e">
        <f aca="false">_xlfn.xlookup(AN732,A:A,S:S)</f>
        <v>#NAME?</v>
      </c>
      <c r="AT732" s="150" t="e">
        <f aca="false">_xlfn.xlookup(AN732,A:A,AE:AE)</f>
        <v>#NAME?</v>
      </c>
      <c r="AU732" s="150" t="e">
        <f aca="false">_xlfn.xlookup(AN732,A:A,AF:AF)</f>
        <v>#NAME?</v>
      </c>
      <c r="AX732" s="146"/>
      <c r="AY732" s="150"/>
      <c r="AZ732" s="150"/>
      <c r="BA732" s="150"/>
      <c r="BB732" s="146"/>
      <c r="BC732" s="146"/>
      <c r="BD732" s="151"/>
      <c r="BE732" s="146"/>
      <c r="BF732" s="146"/>
      <c r="BH732" s="152" t="e">
        <f aca="false">_xlfn.xlookup(BG732,A:A,F:F)</f>
        <v>#NAME?</v>
      </c>
      <c r="BI732" s="153" t="e">
        <f aca="false">_xlfn.xlookup(BG732,A:A,J:J)</f>
        <v>#NAME?</v>
      </c>
      <c r="BJ732" s="153" t="e">
        <f aca="false">_xlfn.xlookup(BG732,A:A,N:N)+_xlfn.xlookup(BG732,A:A,O:O)</f>
        <v>#NAME?</v>
      </c>
      <c r="BK732" s="153" t="e">
        <f aca="false">_xlfn.xlookup(BG732,A681:A1675,AB681:AB1675)</f>
        <v>#NAME?</v>
      </c>
      <c r="BN732" s="146"/>
      <c r="BO732" s="150"/>
      <c r="BQ732" s="153" t="str">
        <f aca="false">IF(VALUE(MONTH(C732))&lt;10,YEAR(C732)&amp;"-0"&amp;MONTH(C732),YEAR(C732)&amp;"-"&amp;MONTH(C732))</f>
        <v>1900-01</v>
      </c>
      <c r="BR732" s="153" t="n">
        <f aca="false">J732</f>
        <v>0</v>
      </c>
      <c r="BS732" s="153" t="n">
        <f aca="false">IF(ISNUMBER(FIND("-", BR732)), LEFT(BR732, FIND("-", BR732) - 1), BR732)</f>
        <v>0</v>
      </c>
      <c r="BT732" s="189" t="n">
        <f aca="false">L732-M732+O732</f>
        <v>0</v>
      </c>
    </row>
    <row r="733" s="153" customFormat="true" ht="15" hidden="false" customHeight="false" outlineLevel="0" collapsed="false">
      <c r="AN733" s="153" t="e">
        <v>#NAME?</v>
      </c>
      <c r="AO733" s="153" t="e">
        <f aca="false">_xlfn.xlookup(AN733,A:A,F:F)</f>
        <v>#NAME?</v>
      </c>
      <c r="AP733" s="153" t="e">
        <f aca="false">_xlfn.xlookup(AN733,A:A,J:J)</f>
        <v>#NAME?</v>
      </c>
      <c r="AQ733" s="153" t="e">
        <f aca="false">_xlfn.xlookup(AN733,A:A,N:N)+_xlfn.xlookup(AN733,A:A,O:O)</f>
        <v>#NAME?</v>
      </c>
      <c r="AR733" s="150" t="e">
        <f aca="false">_xlfn.xlookup(AN733,A:A,AH:AH)</f>
        <v>#NAME?</v>
      </c>
      <c r="AS733" s="150" t="e">
        <f aca="false">_xlfn.xlookup(AN733,A:A,S:S)</f>
        <v>#NAME?</v>
      </c>
      <c r="AT733" s="150" t="e">
        <f aca="false">_xlfn.xlookup(AN733,A:A,AE:AE)</f>
        <v>#NAME?</v>
      </c>
      <c r="AU733" s="150" t="e">
        <f aca="false">_xlfn.xlookup(AN733,A:A,AF:AF)</f>
        <v>#NAME?</v>
      </c>
      <c r="AX733" s="146"/>
      <c r="AY733" s="150"/>
      <c r="AZ733" s="150"/>
      <c r="BA733" s="150"/>
      <c r="BB733" s="146"/>
      <c r="BC733" s="146"/>
      <c r="BD733" s="151"/>
      <c r="BE733" s="146"/>
      <c r="BF733" s="146"/>
      <c r="BH733" s="152" t="e">
        <f aca="false">_xlfn.xlookup(BG733,A:A,F:F)</f>
        <v>#NAME?</v>
      </c>
      <c r="BI733" s="153" t="e">
        <f aca="false">_xlfn.xlookup(BG733,A:A,J:J)</f>
        <v>#NAME?</v>
      </c>
      <c r="BJ733" s="153" t="e">
        <f aca="false">_xlfn.xlookup(BG733,A:A,N:N)+_xlfn.xlookup(BG733,A:A,O:O)</f>
        <v>#NAME?</v>
      </c>
      <c r="BK733" s="153" t="e">
        <f aca="false">_xlfn.xlookup(BG733,A682:A1676,AB682:AB1676)</f>
        <v>#NAME?</v>
      </c>
      <c r="BN733" s="146"/>
      <c r="BO733" s="150"/>
      <c r="BQ733" s="153" t="str">
        <f aca="false">IF(VALUE(MONTH(C733))&lt;10,YEAR(C733)&amp;"-0"&amp;MONTH(C733),YEAR(C733)&amp;"-"&amp;MONTH(C733))</f>
        <v>1900-01</v>
      </c>
      <c r="BR733" s="153" t="n">
        <f aca="false">J733</f>
        <v>0</v>
      </c>
      <c r="BS733" s="153" t="n">
        <f aca="false">IF(ISNUMBER(FIND("-", BR733)), LEFT(BR733, FIND("-", BR733) - 1), BR733)</f>
        <v>0</v>
      </c>
      <c r="BT733" s="189" t="n">
        <f aca="false">L733-M733+O733</f>
        <v>0</v>
      </c>
    </row>
    <row r="734" s="153" customFormat="true" ht="15" hidden="false" customHeight="false" outlineLevel="0" collapsed="false">
      <c r="AN734" s="153" t="e">
        <v>#NAME?</v>
      </c>
      <c r="AO734" s="153" t="e">
        <f aca="false">_xlfn.xlookup(AN734,A:A,F:F)</f>
        <v>#NAME?</v>
      </c>
      <c r="AP734" s="153" t="e">
        <f aca="false">_xlfn.xlookup(AN734,A:A,J:J)</f>
        <v>#NAME?</v>
      </c>
      <c r="AQ734" s="153" t="e">
        <f aca="false">_xlfn.xlookup(AN734,A:A,N:N)+_xlfn.xlookup(AN734,A:A,O:O)</f>
        <v>#NAME?</v>
      </c>
      <c r="AR734" s="150" t="e">
        <f aca="false">_xlfn.xlookup(AN734,A:A,AH:AH)</f>
        <v>#NAME?</v>
      </c>
      <c r="AS734" s="150" t="e">
        <f aca="false">_xlfn.xlookup(AN734,A:A,S:S)</f>
        <v>#NAME?</v>
      </c>
      <c r="AT734" s="150" t="e">
        <f aca="false">_xlfn.xlookup(AN734,A:A,AE:AE)</f>
        <v>#NAME?</v>
      </c>
      <c r="AU734" s="150" t="e">
        <f aca="false">_xlfn.xlookup(AN734,A:A,AF:AF)</f>
        <v>#NAME?</v>
      </c>
      <c r="AX734" s="146"/>
      <c r="AY734" s="150"/>
      <c r="AZ734" s="150"/>
      <c r="BA734" s="150"/>
      <c r="BB734" s="146"/>
      <c r="BC734" s="146"/>
      <c r="BD734" s="151"/>
      <c r="BE734" s="146"/>
      <c r="BF734" s="146"/>
      <c r="BH734" s="152" t="e">
        <f aca="false">_xlfn.xlookup(BG734,A:A,F:F)</f>
        <v>#NAME?</v>
      </c>
      <c r="BI734" s="153" t="e">
        <f aca="false">_xlfn.xlookup(BG734,A:A,J:J)</f>
        <v>#NAME?</v>
      </c>
      <c r="BJ734" s="153" t="e">
        <f aca="false">_xlfn.xlookup(BG734,A:A,N:N)+_xlfn.xlookup(BG734,A:A,O:O)</f>
        <v>#NAME?</v>
      </c>
      <c r="BK734" s="153" t="e">
        <f aca="false">_xlfn.xlookup(BG734,A683:A1677,AB683:AB1677)</f>
        <v>#NAME?</v>
      </c>
      <c r="BN734" s="146"/>
      <c r="BO734" s="150"/>
      <c r="BQ734" s="153" t="str">
        <f aca="false">IF(VALUE(MONTH(C734))&lt;10,YEAR(C734)&amp;"-0"&amp;MONTH(C734),YEAR(C734)&amp;"-"&amp;MONTH(C734))</f>
        <v>1900-01</v>
      </c>
      <c r="BR734" s="153" t="n">
        <f aca="false">J734</f>
        <v>0</v>
      </c>
      <c r="BS734" s="153" t="n">
        <f aca="false">IF(ISNUMBER(FIND("-", BR734)), LEFT(BR734, FIND("-", BR734) - 1), BR734)</f>
        <v>0</v>
      </c>
      <c r="BT734" s="189" t="n">
        <f aca="false">L734-M734+O734</f>
        <v>0</v>
      </c>
    </row>
    <row r="735" s="153" customFormat="true" ht="15" hidden="false" customHeight="false" outlineLevel="0" collapsed="false">
      <c r="AN735" s="153" t="e">
        <v>#NAME?</v>
      </c>
      <c r="AO735" s="153" t="e">
        <f aca="false">_xlfn.xlookup(AN735,A:A,F:F)</f>
        <v>#NAME?</v>
      </c>
      <c r="AP735" s="153" t="e">
        <f aca="false">_xlfn.xlookup(AN735,A:A,J:J)</f>
        <v>#NAME?</v>
      </c>
      <c r="AQ735" s="153" t="e">
        <f aca="false">_xlfn.xlookup(AN735,A:A,N:N)+_xlfn.xlookup(AN735,A:A,O:O)</f>
        <v>#NAME?</v>
      </c>
      <c r="AR735" s="150" t="e">
        <f aca="false">_xlfn.xlookup(AN735,A:A,AH:AH)</f>
        <v>#NAME?</v>
      </c>
      <c r="AS735" s="150" t="e">
        <f aca="false">_xlfn.xlookup(AN735,A:A,S:S)</f>
        <v>#NAME?</v>
      </c>
      <c r="AT735" s="150" t="e">
        <f aca="false">_xlfn.xlookup(AN735,A:A,AE:AE)</f>
        <v>#NAME?</v>
      </c>
      <c r="AU735" s="150" t="e">
        <f aca="false">_xlfn.xlookup(AN735,A:A,AF:AF)</f>
        <v>#NAME?</v>
      </c>
      <c r="AX735" s="146"/>
      <c r="AY735" s="150"/>
      <c r="AZ735" s="150"/>
      <c r="BA735" s="150"/>
      <c r="BB735" s="146"/>
      <c r="BC735" s="146"/>
      <c r="BD735" s="151"/>
      <c r="BE735" s="146"/>
      <c r="BF735" s="146"/>
      <c r="BH735" s="152" t="e">
        <f aca="false">_xlfn.xlookup(BG735,A:A,F:F)</f>
        <v>#NAME?</v>
      </c>
      <c r="BI735" s="153" t="e">
        <f aca="false">_xlfn.xlookup(BG735,A:A,J:J)</f>
        <v>#NAME?</v>
      </c>
      <c r="BJ735" s="153" t="e">
        <f aca="false">_xlfn.xlookup(BG735,A:A,N:N)+_xlfn.xlookup(BG735,A:A,O:O)</f>
        <v>#NAME?</v>
      </c>
      <c r="BK735" s="153" t="e">
        <f aca="false">_xlfn.xlookup(BG735,A684:A1678,AB684:AB1678)</f>
        <v>#NAME?</v>
      </c>
      <c r="BN735" s="146"/>
      <c r="BO735" s="150"/>
      <c r="BQ735" s="153" t="str">
        <f aca="false">IF(VALUE(MONTH(C735))&lt;10,YEAR(C735)&amp;"-0"&amp;MONTH(C735),YEAR(C735)&amp;"-"&amp;MONTH(C735))</f>
        <v>1900-01</v>
      </c>
      <c r="BR735" s="153" t="n">
        <f aca="false">J735</f>
        <v>0</v>
      </c>
      <c r="BS735" s="153" t="n">
        <f aca="false">IF(ISNUMBER(FIND("-", BR735)), LEFT(BR735, FIND("-", BR735) - 1), BR735)</f>
        <v>0</v>
      </c>
      <c r="BT735" s="189" t="n">
        <f aca="false">L735-M735+O735</f>
        <v>0</v>
      </c>
    </row>
    <row r="736" s="153" customFormat="true" ht="15" hidden="false" customHeight="false" outlineLevel="0" collapsed="false">
      <c r="AN736" s="153" t="e">
        <v>#NAME?</v>
      </c>
      <c r="AO736" s="153" t="e">
        <f aca="false">_xlfn.xlookup(AN736,A:A,F:F)</f>
        <v>#NAME?</v>
      </c>
      <c r="AP736" s="153" t="e">
        <f aca="false">_xlfn.xlookup(AN736,A:A,J:J)</f>
        <v>#NAME?</v>
      </c>
      <c r="AQ736" s="153" t="e">
        <f aca="false">_xlfn.xlookup(AN736,A:A,N:N)+_xlfn.xlookup(AN736,A:A,O:O)</f>
        <v>#NAME?</v>
      </c>
      <c r="AR736" s="150" t="e">
        <f aca="false">_xlfn.xlookup(AN736,A:A,AH:AH)</f>
        <v>#NAME?</v>
      </c>
      <c r="AS736" s="150" t="e">
        <f aca="false">_xlfn.xlookup(AN736,A:A,S:S)</f>
        <v>#NAME?</v>
      </c>
      <c r="AT736" s="150" t="e">
        <f aca="false">_xlfn.xlookup(AN736,A:A,AE:AE)</f>
        <v>#NAME?</v>
      </c>
      <c r="AU736" s="150" t="e">
        <f aca="false">_xlfn.xlookup(AN736,A:A,AF:AF)</f>
        <v>#NAME?</v>
      </c>
      <c r="AX736" s="146"/>
      <c r="AY736" s="150"/>
      <c r="AZ736" s="150"/>
      <c r="BA736" s="150"/>
      <c r="BB736" s="146"/>
      <c r="BC736" s="146"/>
      <c r="BD736" s="151"/>
      <c r="BE736" s="146"/>
      <c r="BF736" s="146"/>
      <c r="BH736" s="152" t="e">
        <f aca="false">_xlfn.xlookup(BG736,A:A,F:F)</f>
        <v>#NAME?</v>
      </c>
      <c r="BI736" s="153" t="e">
        <f aca="false">_xlfn.xlookup(BG736,A:A,J:J)</f>
        <v>#NAME?</v>
      </c>
      <c r="BJ736" s="153" t="e">
        <f aca="false">_xlfn.xlookup(BG736,A:A,N:N)+_xlfn.xlookup(BG736,A:A,O:O)</f>
        <v>#NAME?</v>
      </c>
      <c r="BK736" s="153" t="e">
        <f aca="false">_xlfn.xlookup(BG736,A685:A1679,AB685:AB1679)</f>
        <v>#NAME?</v>
      </c>
      <c r="BN736" s="146"/>
      <c r="BO736" s="150"/>
      <c r="BQ736" s="153" t="str">
        <f aca="false">IF(VALUE(MONTH(C736))&lt;10,YEAR(C736)&amp;"-0"&amp;MONTH(C736),YEAR(C736)&amp;"-"&amp;MONTH(C736))</f>
        <v>1900-01</v>
      </c>
      <c r="BR736" s="153" t="n">
        <f aca="false">J736</f>
        <v>0</v>
      </c>
      <c r="BS736" s="153" t="n">
        <f aca="false">IF(ISNUMBER(FIND("-", BR736)), LEFT(BR736, FIND("-", BR736) - 1), BR736)</f>
        <v>0</v>
      </c>
      <c r="BT736" s="189" t="n">
        <f aca="false">L736-M736+O736</f>
        <v>0</v>
      </c>
    </row>
    <row r="737" s="153" customFormat="true" ht="15" hidden="false" customHeight="false" outlineLevel="0" collapsed="false">
      <c r="AN737" s="153" t="e">
        <v>#NAME?</v>
      </c>
      <c r="AO737" s="153" t="e">
        <f aca="false">_xlfn.xlookup(AN737,A:A,F:F)</f>
        <v>#NAME?</v>
      </c>
      <c r="AP737" s="153" t="e">
        <f aca="false">_xlfn.xlookup(AN737,A:A,J:J)</f>
        <v>#NAME?</v>
      </c>
      <c r="AQ737" s="153" t="e">
        <f aca="false">_xlfn.xlookup(AN737,A:A,N:N)+_xlfn.xlookup(AN737,A:A,O:O)</f>
        <v>#NAME?</v>
      </c>
      <c r="AR737" s="150" t="e">
        <f aca="false">_xlfn.xlookup(AN737,A:A,AH:AH)</f>
        <v>#NAME?</v>
      </c>
      <c r="AS737" s="150" t="e">
        <f aca="false">_xlfn.xlookup(AN737,A:A,S:S)</f>
        <v>#NAME?</v>
      </c>
      <c r="AT737" s="150" t="e">
        <f aca="false">_xlfn.xlookup(AN737,A:A,AE:AE)</f>
        <v>#NAME?</v>
      </c>
      <c r="AU737" s="150" t="e">
        <f aca="false">_xlfn.xlookup(AN737,A:A,AF:AF)</f>
        <v>#NAME?</v>
      </c>
      <c r="AX737" s="146"/>
      <c r="AY737" s="150"/>
      <c r="AZ737" s="150"/>
      <c r="BA737" s="150"/>
      <c r="BB737" s="146"/>
      <c r="BC737" s="146"/>
      <c r="BD737" s="151"/>
      <c r="BE737" s="146"/>
      <c r="BF737" s="146"/>
      <c r="BH737" s="152" t="e">
        <f aca="false">_xlfn.xlookup(BG737,A:A,F:F)</f>
        <v>#NAME?</v>
      </c>
      <c r="BI737" s="153" t="e">
        <f aca="false">_xlfn.xlookup(BG737,A:A,J:J)</f>
        <v>#NAME?</v>
      </c>
      <c r="BJ737" s="153" t="e">
        <f aca="false">_xlfn.xlookup(BG737,A:A,N:N)+_xlfn.xlookup(BG737,A:A,O:O)</f>
        <v>#NAME?</v>
      </c>
      <c r="BK737" s="153" t="e">
        <f aca="false">_xlfn.xlookup(BG737,A686:A1680,AB686:AB1680)</f>
        <v>#NAME?</v>
      </c>
      <c r="BN737" s="146"/>
      <c r="BO737" s="150"/>
      <c r="BQ737" s="153" t="str">
        <f aca="false">IF(VALUE(MONTH(C737))&lt;10,YEAR(C737)&amp;"-0"&amp;MONTH(C737),YEAR(C737)&amp;"-"&amp;MONTH(C737))</f>
        <v>1900-01</v>
      </c>
      <c r="BR737" s="153" t="n">
        <f aca="false">J737</f>
        <v>0</v>
      </c>
      <c r="BS737" s="153" t="n">
        <f aca="false">IF(ISNUMBER(FIND("-", BR737)), LEFT(BR737, FIND("-", BR737) - 1), BR737)</f>
        <v>0</v>
      </c>
      <c r="BT737" s="189" t="n">
        <f aca="false">L737-M737+O737</f>
        <v>0</v>
      </c>
    </row>
    <row r="738" s="153" customFormat="true" ht="15" hidden="false" customHeight="false" outlineLevel="0" collapsed="false">
      <c r="AN738" s="153" t="e">
        <v>#NAME?</v>
      </c>
      <c r="AO738" s="153" t="e">
        <f aca="false">_xlfn.xlookup(AN738,A:A,F:F)</f>
        <v>#NAME?</v>
      </c>
      <c r="AP738" s="153" t="e">
        <f aca="false">_xlfn.xlookup(AN738,A:A,J:J)</f>
        <v>#NAME?</v>
      </c>
      <c r="AQ738" s="153" t="e">
        <f aca="false">_xlfn.xlookup(AN738,A:A,N:N)+_xlfn.xlookup(AN738,A:A,O:O)</f>
        <v>#NAME?</v>
      </c>
      <c r="AR738" s="150" t="e">
        <f aca="false">_xlfn.xlookup(AN738,A:A,AH:AH)</f>
        <v>#NAME?</v>
      </c>
      <c r="AS738" s="150" t="e">
        <f aca="false">_xlfn.xlookup(AN738,A:A,S:S)</f>
        <v>#NAME?</v>
      </c>
      <c r="AT738" s="150" t="e">
        <f aca="false">_xlfn.xlookup(AN738,A:A,AE:AE)</f>
        <v>#NAME?</v>
      </c>
      <c r="AU738" s="150" t="e">
        <f aca="false">_xlfn.xlookup(AN738,A:A,AF:AF)</f>
        <v>#NAME?</v>
      </c>
      <c r="AX738" s="146"/>
      <c r="AY738" s="150"/>
      <c r="AZ738" s="150"/>
      <c r="BA738" s="150"/>
      <c r="BB738" s="146"/>
      <c r="BC738" s="146"/>
      <c r="BD738" s="151"/>
      <c r="BE738" s="146"/>
      <c r="BF738" s="146"/>
      <c r="BH738" s="152" t="e">
        <f aca="false">_xlfn.xlookup(BG738,A:A,F:F)</f>
        <v>#NAME?</v>
      </c>
      <c r="BI738" s="153" t="e">
        <f aca="false">_xlfn.xlookup(BG738,A:A,J:J)</f>
        <v>#NAME?</v>
      </c>
      <c r="BJ738" s="153" t="e">
        <f aca="false">_xlfn.xlookup(BG738,A:A,N:N)+_xlfn.xlookup(BG738,A:A,O:O)</f>
        <v>#NAME?</v>
      </c>
      <c r="BK738" s="153" t="e">
        <f aca="false">_xlfn.xlookup(BG738,A687:A1681,AB687:AB1681)</f>
        <v>#NAME?</v>
      </c>
      <c r="BN738" s="146"/>
      <c r="BO738" s="150"/>
      <c r="BQ738" s="153" t="str">
        <f aca="false">IF(VALUE(MONTH(C738))&lt;10,YEAR(C738)&amp;"-0"&amp;MONTH(C738),YEAR(C738)&amp;"-"&amp;MONTH(C738))</f>
        <v>1900-01</v>
      </c>
      <c r="BR738" s="153" t="n">
        <f aca="false">J738</f>
        <v>0</v>
      </c>
      <c r="BS738" s="153" t="n">
        <f aca="false">IF(ISNUMBER(FIND("-", BR738)), LEFT(BR738, FIND("-", BR738) - 1), BR738)</f>
        <v>0</v>
      </c>
      <c r="BT738" s="189" t="n">
        <f aca="false">L738-M738+O738</f>
        <v>0</v>
      </c>
    </row>
    <row r="739" s="153" customFormat="true" ht="15" hidden="false" customHeight="false" outlineLevel="0" collapsed="false">
      <c r="AN739" s="153" t="e">
        <v>#NAME?</v>
      </c>
      <c r="AO739" s="153" t="e">
        <f aca="false">_xlfn.xlookup(AN739,A:A,F:F)</f>
        <v>#NAME?</v>
      </c>
      <c r="AP739" s="153" t="e">
        <f aca="false">_xlfn.xlookup(AN739,A:A,J:J)</f>
        <v>#NAME?</v>
      </c>
      <c r="AQ739" s="153" t="e">
        <f aca="false">_xlfn.xlookup(AN739,A:A,N:N)+_xlfn.xlookup(AN739,A:A,O:O)</f>
        <v>#NAME?</v>
      </c>
      <c r="AR739" s="150" t="e">
        <f aca="false">_xlfn.xlookup(AN739,A:A,AH:AH)</f>
        <v>#NAME?</v>
      </c>
      <c r="AS739" s="150" t="e">
        <f aca="false">_xlfn.xlookup(AN739,A:A,S:S)</f>
        <v>#NAME?</v>
      </c>
      <c r="AT739" s="150" t="e">
        <f aca="false">_xlfn.xlookup(AN739,A:A,AE:AE)</f>
        <v>#NAME?</v>
      </c>
      <c r="AU739" s="150" t="e">
        <f aca="false">_xlfn.xlookup(AN739,A:A,AF:AF)</f>
        <v>#NAME?</v>
      </c>
      <c r="AX739" s="146"/>
      <c r="AY739" s="150"/>
      <c r="AZ739" s="150"/>
      <c r="BA739" s="150"/>
      <c r="BB739" s="146"/>
      <c r="BC739" s="146"/>
      <c r="BD739" s="151"/>
      <c r="BE739" s="146"/>
      <c r="BF739" s="146"/>
      <c r="BH739" s="152" t="e">
        <f aca="false">_xlfn.xlookup(BG739,A:A,F:F)</f>
        <v>#NAME?</v>
      </c>
      <c r="BI739" s="153" t="e">
        <f aca="false">_xlfn.xlookup(BG739,A:A,J:J)</f>
        <v>#NAME?</v>
      </c>
      <c r="BJ739" s="153" t="e">
        <f aca="false">_xlfn.xlookup(BG739,A:A,N:N)+_xlfn.xlookup(BG739,A:A,O:O)</f>
        <v>#NAME?</v>
      </c>
      <c r="BK739" s="153" t="e">
        <f aca="false">_xlfn.xlookup(BG739,A688:A1682,AB688:AB1682)</f>
        <v>#NAME?</v>
      </c>
      <c r="BN739" s="146"/>
      <c r="BO739" s="150"/>
      <c r="BQ739" s="153" t="str">
        <f aca="false">IF(VALUE(MONTH(C739))&lt;10,YEAR(C739)&amp;"-0"&amp;MONTH(C739),YEAR(C739)&amp;"-"&amp;MONTH(C739))</f>
        <v>1900-01</v>
      </c>
      <c r="BR739" s="153" t="n">
        <f aca="false">J739</f>
        <v>0</v>
      </c>
      <c r="BS739" s="153" t="n">
        <f aca="false">IF(ISNUMBER(FIND("-", BR739)), LEFT(BR739, FIND("-", BR739) - 1), BR739)</f>
        <v>0</v>
      </c>
      <c r="BT739" s="189" t="n">
        <f aca="false">L739-M739+O739</f>
        <v>0</v>
      </c>
    </row>
    <row r="740" s="153" customFormat="true" ht="15" hidden="false" customHeight="false" outlineLevel="0" collapsed="false">
      <c r="AN740" s="153" t="e">
        <v>#NAME?</v>
      </c>
      <c r="AO740" s="153" t="e">
        <f aca="false">_xlfn.xlookup(AN740,A:A,F:F)</f>
        <v>#NAME?</v>
      </c>
      <c r="AP740" s="153" t="e">
        <f aca="false">_xlfn.xlookup(AN740,A:A,J:J)</f>
        <v>#NAME?</v>
      </c>
      <c r="AQ740" s="153" t="e">
        <f aca="false">_xlfn.xlookup(AN740,A:A,N:N)+_xlfn.xlookup(AN740,A:A,O:O)</f>
        <v>#NAME?</v>
      </c>
      <c r="AR740" s="150" t="e">
        <f aca="false">_xlfn.xlookup(AN740,A:A,AH:AH)</f>
        <v>#NAME?</v>
      </c>
      <c r="AS740" s="150" t="e">
        <f aca="false">_xlfn.xlookup(AN740,A:A,S:S)</f>
        <v>#NAME?</v>
      </c>
      <c r="AT740" s="150" t="e">
        <f aca="false">_xlfn.xlookup(AN740,A:A,AE:AE)</f>
        <v>#NAME?</v>
      </c>
      <c r="AU740" s="150" t="e">
        <f aca="false">_xlfn.xlookup(AN740,A:A,AF:AF)</f>
        <v>#NAME?</v>
      </c>
      <c r="AX740" s="146"/>
      <c r="AY740" s="150"/>
      <c r="AZ740" s="150"/>
      <c r="BA740" s="150"/>
      <c r="BB740" s="146"/>
      <c r="BC740" s="146"/>
      <c r="BD740" s="151"/>
      <c r="BE740" s="146"/>
      <c r="BF740" s="146"/>
      <c r="BH740" s="152" t="e">
        <f aca="false">_xlfn.xlookup(BG740,A:A,F:F)</f>
        <v>#NAME?</v>
      </c>
      <c r="BI740" s="153" t="e">
        <f aca="false">_xlfn.xlookup(BG740,A:A,J:J)</f>
        <v>#NAME?</v>
      </c>
      <c r="BJ740" s="153" t="e">
        <f aca="false">_xlfn.xlookup(BG740,A:A,N:N)+_xlfn.xlookup(BG740,A:A,O:O)</f>
        <v>#NAME?</v>
      </c>
      <c r="BK740" s="153" t="e">
        <f aca="false">_xlfn.xlookup(BG740,A689:A1683,AB689:AB1683)</f>
        <v>#NAME?</v>
      </c>
      <c r="BN740" s="146"/>
      <c r="BO740" s="150"/>
      <c r="BQ740" s="153" t="str">
        <f aca="false">IF(VALUE(MONTH(C740))&lt;10,YEAR(C740)&amp;"-0"&amp;MONTH(C740),YEAR(C740)&amp;"-"&amp;MONTH(C740))</f>
        <v>1900-01</v>
      </c>
      <c r="BR740" s="153" t="n">
        <f aca="false">J740</f>
        <v>0</v>
      </c>
      <c r="BS740" s="153" t="n">
        <f aca="false">IF(ISNUMBER(FIND("-", BR740)), LEFT(BR740, FIND("-", BR740) - 1), BR740)</f>
        <v>0</v>
      </c>
      <c r="BT740" s="189" t="n">
        <f aca="false">L740-M740+O740</f>
        <v>0</v>
      </c>
    </row>
    <row r="741" s="153" customFormat="true" ht="15" hidden="false" customHeight="false" outlineLevel="0" collapsed="false">
      <c r="AN741" s="153" t="e">
        <v>#NAME?</v>
      </c>
      <c r="AO741" s="153" t="e">
        <f aca="false">_xlfn.xlookup(AN741,A:A,F:F)</f>
        <v>#NAME?</v>
      </c>
      <c r="AP741" s="153" t="e">
        <f aca="false">_xlfn.xlookup(AN741,A:A,J:J)</f>
        <v>#NAME?</v>
      </c>
      <c r="AQ741" s="153" t="e">
        <f aca="false">_xlfn.xlookup(AN741,A:A,N:N)+_xlfn.xlookup(AN741,A:A,O:O)</f>
        <v>#NAME?</v>
      </c>
      <c r="AR741" s="150" t="e">
        <f aca="false">_xlfn.xlookup(AN741,A:A,AH:AH)</f>
        <v>#NAME?</v>
      </c>
      <c r="AS741" s="150" t="e">
        <f aca="false">_xlfn.xlookup(AN741,A:A,S:S)</f>
        <v>#NAME?</v>
      </c>
      <c r="AT741" s="150" t="e">
        <f aca="false">_xlfn.xlookup(AN741,A:A,AE:AE)</f>
        <v>#NAME?</v>
      </c>
      <c r="AU741" s="150" t="e">
        <f aca="false">_xlfn.xlookup(AN741,A:A,AF:AF)</f>
        <v>#NAME?</v>
      </c>
      <c r="AX741" s="146"/>
      <c r="AY741" s="150"/>
      <c r="AZ741" s="150"/>
      <c r="BA741" s="150"/>
      <c r="BB741" s="146"/>
      <c r="BC741" s="146"/>
      <c r="BD741" s="151"/>
      <c r="BE741" s="146"/>
      <c r="BF741" s="146"/>
      <c r="BH741" s="152" t="e">
        <f aca="false">_xlfn.xlookup(BG741,A:A,F:F)</f>
        <v>#NAME?</v>
      </c>
      <c r="BI741" s="153" t="e">
        <f aca="false">_xlfn.xlookup(BG741,A:A,J:J)</f>
        <v>#NAME?</v>
      </c>
      <c r="BJ741" s="153" t="e">
        <f aca="false">_xlfn.xlookup(BG741,A:A,N:N)+_xlfn.xlookup(BG741,A:A,O:O)</f>
        <v>#NAME?</v>
      </c>
      <c r="BK741" s="153" t="e">
        <f aca="false">_xlfn.xlookup(BG741,A690:A1684,AB690:AB1684)</f>
        <v>#NAME?</v>
      </c>
      <c r="BN741" s="146"/>
      <c r="BO741" s="150"/>
      <c r="BQ741" s="153" t="str">
        <f aca="false">IF(VALUE(MONTH(C741))&lt;10,YEAR(C741)&amp;"-0"&amp;MONTH(C741),YEAR(C741)&amp;"-"&amp;MONTH(C741))</f>
        <v>1900-01</v>
      </c>
      <c r="BR741" s="153" t="n">
        <f aca="false">J741</f>
        <v>0</v>
      </c>
      <c r="BS741" s="153" t="n">
        <f aca="false">IF(ISNUMBER(FIND("-", BR741)), LEFT(BR741, FIND("-", BR741) - 1), BR741)</f>
        <v>0</v>
      </c>
      <c r="BT741" s="189" t="n">
        <f aca="false">L741-M741+O741</f>
        <v>0</v>
      </c>
    </row>
    <row r="742" s="153" customFormat="true" ht="15" hidden="false" customHeight="false" outlineLevel="0" collapsed="false">
      <c r="AN742" s="153" t="e">
        <v>#NAME?</v>
      </c>
      <c r="AO742" s="153" t="e">
        <f aca="false">_xlfn.xlookup(AN742,A:A,F:F)</f>
        <v>#NAME?</v>
      </c>
      <c r="AP742" s="153" t="e">
        <f aca="false">_xlfn.xlookup(AN742,A:A,J:J)</f>
        <v>#NAME?</v>
      </c>
      <c r="AQ742" s="153" t="e">
        <f aca="false">_xlfn.xlookup(AN742,A:A,N:N)+_xlfn.xlookup(AN742,A:A,O:O)</f>
        <v>#NAME?</v>
      </c>
      <c r="AR742" s="150" t="e">
        <f aca="false">_xlfn.xlookup(AN742,A:A,AH:AH)</f>
        <v>#NAME?</v>
      </c>
      <c r="AS742" s="150" t="e">
        <f aca="false">_xlfn.xlookup(AN742,A:A,S:S)</f>
        <v>#NAME?</v>
      </c>
      <c r="AT742" s="150" t="e">
        <f aca="false">_xlfn.xlookup(AN742,A:A,AE:AE)</f>
        <v>#NAME?</v>
      </c>
      <c r="AU742" s="150" t="e">
        <f aca="false">_xlfn.xlookup(AN742,A:A,AF:AF)</f>
        <v>#NAME?</v>
      </c>
      <c r="AX742" s="146"/>
      <c r="AY742" s="150"/>
      <c r="AZ742" s="150"/>
      <c r="BA742" s="150"/>
      <c r="BB742" s="146"/>
      <c r="BC742" s="146"/>
      <c r="BD742" s="151"/>
      <c r="BE742" s="146"/>
      <c r="BF742" s="146"/>
      <c r="BH742" s="152" t="e">
        <f aca="false">_xlfn.xlookup(BG742,A:A,F:F)</f>
        <v>#NAME?</v>
      </c>
      <c r="BI742" s="153" t="e">
        <f aca="false">_xlfn.xlookup(BG742,A:A,J:J)</f>
        <v>#NAME?</v>
      </c>
      <c r="BJ742" s="153" t="e">
        <f aca="false">_xlfn.xlookup(BG742,A:A,N:N)+_xlfn.xlookup(BG742,A:A,O:O)</f>
        <v>#NAME?</v>
      </c>
      <c r="BK742" s="153" t="e">
        <f aca="false">_xlfn.xlookup(BG742,A691:A1685,AB691:AB1685)</f>
        <v>#NAME?</v>
      </c>
      <c r="BN742" s="146"/>
      <c r="BO742" s="150"/>
      <c r="BQ742" s="153" t="str">
        <f aca="false">IF(VALUE(MONTH(C742))&lt;10,YEAR(C742)&amp;"-0"&amp;MONTH(C742),YEAR(C742)&amp;"-"&amp;MONTH(C742))</f>
        <v>1900-01</v>
      </c>
      <c r="BR742" s="153" t="n">
        <f aca="false">J742</f>
        <v>0</v>
      </c>
      <c r="BS742" s="153" t="n">
        <f aca="false">IF(ISNUMBER(FIND("-", BR742)), LEFT(BR742, FIND("-", BR742) - 1), BR742)</f>
        <v>0</v>
      </c>
      <c r="BT742" s="189" t="n">
        <f aca="false">L742-M742+O742</f>
        <v>0</v>
      </c>
    </row>
    <row r="743" s="153" customFormat="true" ht="15" hidden="false" customHeight="false" outlineLevel="0" collapsed="false">
      <c r="AN743" s="153" t="e">
        <v>#NAME?</v>
      </c>
      <c r="AO743" s="153" t="e">
        <f aca="false">_xlfn.xlookup(AN743,A:A,F:F)</f>
        <v>#NAME?</v>
      </c>
      <c r="AP743" s="153" t="e">
        <f aca="false">_xlfn.xlookup(AN743,A:A,J:J)</f>
        <v>#NAME?</v>
      </c>
      <c r="AQ743" s="153" t="e">
        <f aca="false">_xlfn.xlookup(AN743,A:A,N:N)+_xlfn.xlookup(AN743,A:A,O:O)</f>
        <v>#NAME?</v>
      </c>
      <c r="AR743" s="150" t="e">
        <f aca="false">_xlfn.xlookup(AN743,A:A,AH:AH)</f>
        <v>#NAME?</v>
      </c>
      <c r="AS743" s="150" t="e">
        <f aca="false">_xlfn.xlookup(AN743,A:A,S:S)</f>
        <v>#NAME?</v>
      </c>
      <c r="AT743" s="150" t="e">
        <f aca="false">_xlfn.xlookup(AN743,A:A,AE:AE)</f>
        <v>#NAME?</v>
      </c>
      <c r="AU743" s="150" t="e">
        <f aca="false">_xlfn.xlookup(AN743,A:A,AF:AF)</f>
        <v>#NAME?</v>
      </c>
      <c r="AX743" s="146"/>
      <c r="AY743" s="150"/>
      <c r="AZ743" s="150"/>
      <c r="BA743" s="150"/>
      <c r="BB743" s="146"/>
      <c r="BC743" s="146"/>
      <c r="BD743" s="151"/>
      <c r="BE743" s="146"/>
      <c r="BF743" s="146"/>
      <c r="BH743" s="152" t="e">
        <f aca="false">_xlfn.xlookup(BG743,A:A,F:F)</f>
        <v>#NAME?</v>
      </c>
      <c r="BI743" s="153" t="e">
        <f aca="false">_xlfn.xlookup(BG743,A:A,J:J)</f>
        <v>#NAME?</v>
      </c>
      <c r="BJ743" s="153" t="e">
        <f aca="false">_xlfn.xlookup(BG743,A:A,N:N)+_xlfn.xlookup(BG743,A:A,O:O)</f>
        <v>#NAME?</v>
      </c>
      <c r="BK743" s="153" t="e">
        <f aca="false">_xlfn.xlookup(BG743,A692:A1686,AB692:AB1686)</f>
        <v>#NAME?</v>
      </c>
      <c r="BN743" s="146"/>
      <c r="BO743" s="150"/>
      <c r="BQ743" s="153" t="str">
        <f aca="false">IF(VALUE(MONTH(C743))&lt;10,YEAR(C743)&amp;"-0"&amp;MONTH(C743),YEAR(C743)&amp;"-"&amp;MONTH(C743))</f>
        <v>1900-01</v>
      </c>
      <c r="BR743" s="153" t="n">
        <f aca="false">J743</f>
        <v>0</v>
      </c>
      <c r="BS743" s="153" t="n">
        <f aca="false">IF(ISNUMBER(FIND("-", BR743)), LEFT(BR743, FIND("-", BR743) - 1), BR743)</f>
        <v>0</v>
      </c>
      <c r="BT743" s="189" t="n">
        <f aca="false">L743-M743+O743</f>
        <v>0</v>
      </c>
    </row>
    <row r="744" s="153" customFormat="true" ht="15" hidden="false" customHeight="false" outlineLevel="0" collapsed="false">
      <c r="AN744" s="153" t="e">
        <v>#NAME?</v>
      </c>
      <c r="AO744" s="153" t="e">
        <f aca="false">_xlfn.xlookup(AN744,A:A,F:F)</f>
        <v>#NAME?</v>
      </c>
      <c r="AP744" s="153" t="e">
        <f aca="false">_xlfn.xlookup(AN744,A:A,J:J)</f>
        <v>#NAME?</v>
      </c>
      <c r="AQ744" s="153" t="e">
        <f aca="false">_xlfn.xlookup(AN744,A:A,N:N)+_xlfn.xlookup(AN744,A:A,O:O)</f>
        <v>#NAME?</v>
      </c>
      <c r="AR744" s="150" t="e">
        <f aca="false">_xlfn.xlookup(AN744,A:A,AH:AH)</f>
        <v>#NAME?</v>
      </c>
      <c r="AS744" s="150" t="e">
        <f aca="false">_xlfn.xlookup(AN744,A:A,S:S)</f>
        <v>#NAME?</v>
      </c>
      <c r="AT744" s="150" t="e">
        <f aca="false">_xlfn.xlookup(AN744,A:A,AE:AE)</f>
        <v>#NAME?</v>
      </c>
      <c r="AU744" s="150" t="e">
        <f aca="false">_xlfn.xlookup(AN744,A:A,AF:AF)</f>
        <v>#NAME?</v>
      </c>
      <c r="AX744" s="146"/>
      <c r="AY744" s="150"/>
      <c r="AZ744" s="150"/>
      <c r="BA744" s="150"/>
      <c r="BB744" s="146"/>
      <c r="BC744" s="146"/>
      <c r="BD744" s="151"/>
      <c r="BE744" s="146"/>
      <c r="BF744" s="146"/>
      <c r="BH744" s="152" t="e">
        <f aca="false">_xlfn.xlookup(BG744,A:A,F:F)</f>
        <v>#NAME?</v>
      </c>
      <c r="BI744" s="153" t="e">
        <f aca="false">_xlfn.xlookup(BG744,A:A,J:J)</f>
        <v>#NAME?</v>
      </c>
      <c r="BJ744" s="153" t="e">
        <f aca="false">_xlfn.xlookup(BG744,A:A,N:N)+_xlfn.xlookup(BG744,A:A,O:O)</f>
        <v>#NAME?</v>
      </c>
      <c r="BK744" s="153" t="e">
        <f aca="false">_xlfn.xlookup(BG744,A693:A1687,AB693:AB1687)</f>
        <v>#NAME?</v>
      </c>
      <c r="BN744" s="146"/>
      <c r="BO744" s="150"/>
      <c r="BQ744" s="153" t="str">
        <f aca="false">IF(VALUE(MONTH(C744))&lt;10,YEAR(C744)&amp;"-0"&amp;MONTH(C744),YEAR(C744)&amp;"-"&amp;MONTH(C744))</f>
        <v>1900-01</v>
      </c>
      <c r="BR744" s="153" t="n">
        <f aca="false">J744</f>
        <v>0</v>
      </c>
      <c r="BS744" s="153" t="n">
        <f aca="false">IF(ISNUMBER(FIND("-", BR744)), LEFT(BR744, FIND("-", BR744) - 1), BR744)</f>
        <v>0</v>
      </c>
      <c r="BT744" s="189" t="n">
        <f aca="false">L744-M744+O744</f>
        <v>0</v>
      </c>
    </row>
    <row r="745" s="153" customFormat="true" ht="15" hidden="false" customHeight="false" outlineLevel="0" collapsed="false">
      <c r="AN745" s="153" t="e">
        <v>#NAME?</v>
      </c>
      <c r="AO745" s="153" t="e">
        <f aca="false">_xlfn.xlookup(AN745,A:A,F:F)</f>
        <v>#NAME?</v>
      </c>
      <c r="AP745" s="153" t="e">
        <f aca="false">_xlfn.xlookup(AN745,A:A,J:J)</f>
        <v>#NAME?</v>
      </c>
      <c r="AQ745" s="153" t="e">
        <f aca="false">_xlfn.xlookup(AN745,A:A,N:N)+_xlfn.xlookup(AN745,A:A,O:O)</f>
        <v>#NAME?</v>
      </c>
      <c r="AR745" s="150" t="e">
        <f aca="false">_xlfn.xlookup(AN745,A:A,AH:AH)</f>
        <v>#NAME?</v>
      </c>
      <c r="AS745" s="150" t="e">
        <f aca="false">_xlfn.xlookup(AN745,A:A,S:S)</f>
        <v>#NAME?</v>
      </c>
      <c r="AT745" s="150" t="e">
        <f aca="false">_xlfn.xlookup(AN745,A:A,AE:AE)</f>
        <v>#NAME?</v>
      </c>
      <c r="AU745" s="150" t="e">
        <f aca="false">_xlfn.xlookup(AN745,A:A,AF:AF)</f>
        <v>#NAME?</v>
      </c>
      <c r="AX745" s="146"/>
      <c r="AY745" s="150"/>
      <c r="AZ745" s="150"/>
      <c r="BA745" s="150"/>
      <c r="BB745" s="146"/>
      <c r="BC745" s="146"/>
      <c r="BD745" s="151"/>
      <c r="BE745" s="146"/>
      <c r="BF745" s="146"/>
      <c r="BH745" s="152" t="e">
        <f aca="false">_xlfn.xlookup(BG745,A:A,F:F)</f>
        <v>#NAME?</v>
      </c>
      <c r="BI745" s="153" t="e">
        <f aca="false">_xlfn.xlookup(BG745,A:A,J:J)</f>
        <v>#NAME?</v>
      </c>
      <c r="BJ745" s="153" t="e">
        <f aca="false">_xlfn.xlookup(BG745,A:A,N:N)+_xlfn.xlookup(BG745,A:A,O:O)</f>
        <v>#NAME?</v>
      </c>
      <c r="BK745" s="153" t="e">
        <f aca="false">_xlfn.xlookup(BG745,A694:A1688,AB694:AB1688)</f>
        <v>#NAME?</v>
      </c>
      <c r="BN745" s="146"/>
      <c r="BO745" s="150"/>
      <c r="BQ745" s="153" t="str">
        <f aca="false">IF(VALUE(MONTH(C745))&lt;10,YEAR(C745)&amp;"-0"&amp;MONTH(C745),YEAR(C745)&amp;"-"&amp;MONTH(C745))</f>
        <v>1900-01</v>
      </c>
      <c r="BR745" s="153" t="n">
        <f aca="false">J745</f>
        <v>0</v>
      </c>
      <c r="BS745" s="153" t="n">
        <f aca="false">IF(ISNUMBER(FIND("-", BR745)), LEFT(BR745, FIND("-", BR745) - 1), BR745)</f>
        <v>0</v>
      </c>
      <c r="BT745" s="189" t="n">
        <f aca="false">L745-M745+O745</f>
        <v>0</v>
      </c>
    </row>
    <row r="746" s="153" customFormat="true" ht="15" hidden="false" customHeight="false" outlineLevel="0" collapsed="false">
      <c r="AN746" s="153" t="e">
        <v>#NAME?</v>
      </c>
      <c r="AO746" s="153" t="e">
        <f aca="false">_xlfn.xlookup(AN746,A:A,F:F)</f>
        <v>#NAME?</v>
      </c>
      <c r="AP746" s="153" t="e">
        <f aca="false">_xlfn.xlookup(AN746,A:A,J:J)</f>
        <v>#NAME?</v>
      </c>
      <c r="AQ746" s="153" t="e">
        <f aca="false">_xlfn.xlookup(AN746,A:A,N:N)+_xlfn.xlookup(AN746,A:A,O:O)</f>
        <v>#NAME?</v>
      </c>
      <c r="AR746" s="150" t="e">
        <f aca="false">_xlfn.xlookup(AN746,A:A,AH:AH)</f>
        <v>#NAME?</v>
      </c>
      <c r="AS746" s="150" t="e">
        <f aca="false">_xlfn.xlookup(AN746,A:A,S:S)</f>
        <v>#NAME?</v>
      </c>
      <c r="AT746" s="150" t="e">
        <f aca="false">_xlfn.xlookup(AN746,A:A,AE:AE)</f>
        <v>#NAME?</v>
      </c>
      <c r="AU746" s="150" t="e">
        <f aca="false">_xlfn.xlookup(AN746,A:A,AF:AF)</f>
        <v>#NAME?</v>
      </c>
      <c r="AX746" s="146"/>
      <c r="AY746" s="150"/>
      <c r="AZ746" s="150"/>
      <c r="BA746" s="150"/>
      <c r="BB746" s="146"/>
      <c r="BC746" s="146"/>
      <c r="BD746" s="151"/>
      <c r="BE746" s="146"/>
      <c r="BF746" s="146"/>
      <c r="BH746" s="152" t="e">
        <f aca="false">_xlfn.xlookup(BG746,A:A,F:F)</f>
        <v>#NAME?</v>
      </c>
      <c r="BI746" s="153" t="e">
        <f aca="false">_xlfn.xlookup(BG746,A:A,J:J)</f>
        <v>#NAME?</v>
      </c>
      <c r="BJ746" s="153" t="e">
        <f aca="false">_xlfn.xlookup(BG746,A:A,N:N)+_xlfn.xlookup(BG746,A:A,O:O)</f>
        <v>#NAME?</v>
      </c>
      <c r="BK746" s="153" t="e">
        <f aca="false">_xlfn.xlookup(BG746,A695:A1689,AB695:AB1689)</f>
        <v>#NAME?</v>
      </c>
      <c r="BN746" s="146"/>
      <c r="BO746" s="150"/>
      <c r="BQ746" s="153" t="str">
        <f aca="false">IF(VALUE(MONTH(C746))&lt;10,YEAR(C746)&amp;"-0"&amp;MONTH(C746),YEAR(C746)&amp;"-"&amp;MONTH(C746))</f>
        <v>1900-01</v>
      </c>
      <c r="BR746" s="153" t="n">
        <f aca="false">J746</f>
        <v>0</v>
      </c>
      <c r="BS746" s="153" t="n">
        <f aca="false">IF(ISNUMBER(FIND("-", BR746)), LEFT(BR746, FIND("-", BR746) - 1), BR746)</f>
        <v>0</v>
      </c>
      <c r="BT746" s="189" t="n">
        <f aca="false">L746-M746+O746</f>
        <v>0</v>
      </c>
    </row>
    <row r="747" s="153" customFormat="true" ht="15" hidden="false" customHeight="false" outlineLevel="0" collapsed="false">
      <c r="AN747" s="153" t="e">
        <v>#NAME?</v>
      </c>
      <c r="AO747" s="153" t="e">
        <f aca="false">_xlfn.xlookup(AN747,A:A,F:F)</f>
        <v>#NAME?</v>
      </c>
      <c r="AP747" s="153" t="e">
        <f aca="false">_xlfn.xlookup(AN747,A:A,J:J)</f>
        <v>#NAME?</v>
      </c>
      <c r="AQ747" s="153" t="e">
        <f aca="false">_xlfn.xlookup(AN747,A:A,N:N)+_xlfn.xlookup(AN747,A:A,O:O)</f>
        <v>#NAME?</v>
      </c>
      <c r="AR747" s="150" t="e">
        <f aca="false">_xlfn.xlookup(AN747,A:A,AH:AH)</f>
        <v>#NAME?</v>
      </c>
      <c r="AS747" s="150" t="e">
        <f aca="false">_xlfn.xlookup(AN747,A:A,S:S)</f>
        <v>#NAME?</v>
      </c>
      <c r="AT747" s="150" t="e">
        <f aca="false">_xlfn.xlookup(AN747,A:A,AE:AE)</f>
        <v>#NAME?</v>
      </c>
      <c r="AU747" s="150" t="e">
        <f aca="false">_xlfn.xlookup(AN747,A:A,AF:AF)</f>
        <v>#NAME?</v>
      </c>
      <c r="AX747" s="146"/>
      <c r="AY747" s="150"/>
      <c r="AZ747" s="150"/>
      <c r="BA747" s="150"/>
      <c r="BB747" s="146"/>
      <c r="BC747" s="146"/>
      <c r="BD747" s="151"/>
      <c r="BE747" s="146"/>
      <c r="BF747" s="146"/>
      <c r="BH747" s="152" t="e">
        <f aca="false">_xlfn.xlookup(BG747,A:A,F:F)</f>
        <v>#NAME?</v>
      </c>
      <c r="BI747" s="153" t="e">
        <f aca="false">_xlfn.xlookup(BG747,A:A,J:J)</f>
        <v>#NAME?</v>
      </c>
      <c r="BJ747" s="153" t="e">
        <f aca="false">_xlfn.xlookup(BG747,A:A,N:N)+_xlfn.xlookup(BG747,A:A,O:O)</f>
        <v>#NAME?</v>
      </c>
      <c r="BK747" s="153" t="e">
        <f aca="false">_xlfn.xlookup(BG747,A696:A1690,AB696:AB1690)</f>
        <v>#NAME?</v>
      </c>
      <c r="BN747" s="146"/>
      <c r="BO747" s="150"/>
      <c r="BQ747" s="153" t="str">
        <f aca="false">IF(VALUE(MONTH(C747))&lt;10,YEAR(C747)&amp;"-0"&amp;MONTH(C747),YEAR(C747)&amp;"-"&amp;MONTH(C747))</f>
        <v>1900-01</v>
      </c>
      <c r="BR747" s="153" t="n">
        <f aca="false">J747</f>
        <v>0</v>
      </c>
      <c r="BS747" s="153" t="n">
        <f aca="false">IF(ISNUMBER(FIND("-", BR747)), LEFT(BR747, FIND("-", BR747) - 1), BR747)</f>
        <v>0</v>
      </c>
      <c r="BT747" s="189" t="n">
        <f aca="false">L747-M747+O747</f>
        <v>0</v>
      </c>
    </row>
    <row r="748" s="153" customFormat="true" ht="15" hidden="false" customHeight="false" outlineLevel="0" collapsed="false">
      <c r="AN748" s="153" t="e">
        <v>#NAME?</v>
      </c>
      <c r="AO748" s="153" t="e">
        <f aca="false">_xlfn.xlookup(AN748,A:A,F:F)</f>
        <v>#NAME?</v>
      </c>
      <c r="AP748" s="153" t="e">
        <f aca="false">_xlfn.xlookup(AN748,A:A,J:J)</f>
        <v>#NAME?</v>
      </c>
      <c r="AQ748" s="153" t="e">
        <f aca="false">_xlfn.xlookup(AN748,A:A,N:N)+_xlfn.xlookup(AN748,A:A,O:O)</f>
        <v>#NAME?</v>
      </c>
      <c r="AR748" s="150" t="e">
        <f aca="false">_xlfn.xlookup(AN748,A:A,AH:AH)</f>
        <v>#NAME?</v>
      </c>
      <c r="AS748" s="150" t="e">
        <f aca="false">_xlfn.xlookup(AN748,A:A,S:S)</f>
        <v>#NAME?</v>
      </c>
      <c r="AT748" s="150" t="e">
        <f aca="false">_xlfn.xlookup(AN748,A:A,AE:AE)</f>
        <v>#NAME?</v>
      </c>
      <c r="AU748" s="150" t="e">
        <f aca="false">_xlfn.xlookup(AN748,A:A,AF:AF)</f>
        <v>#NAME?</v>
      </c>
      <c r="AX748" s="146"/>
      <c r="AY748" s="150"/>
      <c r="AZ748" s="150"/>
      <c r="BA748" s="150"/>
      <c r="BB748" s="146"/>
      <c r="BC748" s="146"/>
      <c r="BD748" s="151"/>
      <c r="BE748" s="146"/>
      <c r="BF748" s="146"/>
      <c r="BH748" s="152" t="e">
        <f aca="false">_xlfn.xlookup(BG748,A:A,F:F)</f>
        <v>#NAME?</v>
      </c>
      <c r="BI748" s="153" t="e">
        <f aca="false">_xlfn.xlookup(BG748,A:A,J:J)</f>
        <v>#NAME?</v>
      </c>
      <c r="BJ748" s="153" t="e">
        <f aca="false">_xlfn.xlookup(BG748,A:A,N:N)+_xlfn.xlookup(BG748,A:A,O:O)</f>
        <v>#NAME?</v>
      </c>
      <c r="BK748" s="153" t="e">
        <f aca="false">_xlfn.xlookup(BG748,A697:A1691,AB697:AB1691)</f>
        <v>#NAME?</v>
      </c>
      <c r="BN748" s="146"/>
      <c r="BO748" s="150"/>
      <c r="BQ748" s="153" t="str">
        <f aca="false">IF(VALUE(MONTH(C748))&lt;10,YEAR(C748)&amp;"-0"&amp;MONTH(C748),YEAR(C748)&amp;"-"&amp;MONTH(C748))</f>
        <v>1900-01</v>
      </c>
      <c r="BR748" s="153" t="n">
        <f aca="false">J748</f>
        <v>0</v>
      </c>
      <c r="BS748" s="153" t="n">
        <f aca="false">IF(ISNUMBER(FIND("-", BR748)), LEFT(BR748, FIND("-", BR748) - 1), BR748)</f>
        <v>0</v>
      </c>
      <c r="BT748" s="189" t="n">
        <f aca="false">L748-M748+O748</f>
        <v>0</v>
      </c>
    </row>
    <row r="749" s="153" customFormat="true" ht="15" hidden="false" customHeight="false" outlineLevel="0" collapsed="false">
      <c r="AN749" s="153" t="e">
        <v>#NAME?</v>
      </c>
      <c r="AO749" s="153" t="e">
        <f aca="false">_xlfn.xlookup(AN749,A:A,F:F)</f>
        <v>#NAME?</v>
      </c>
      <c r="AP749" s="153" t="e">
        <f aca="false">_xlfn.xlookup(AN749,A:A,J:J)</f>
        <v>#NAME?</v>
      </c>
      <c r="AQ749" s="153" t="e">
        <f aca="false">_xlfn.xlookup(AN749,A:A,N:N)+_xlfn.xlookup(AN749,A:A,O:O)</f>
        <v>#NAME?</v>
      </c>
      <c r="AR749" s="150" t="e">
        <f aca="false">_xlfn.xlookup(AN749,A:A,AH:AH)</f>
        <v>#NAME?</v>
      </c>
      <c r="AS749" s="150" t="e">
        <f aca="false">_xlfn.xlookup(AN749,A:A,S:S)</f>
        <v>#NAME?</v>
      </c>
      <c r="AT749" s="150" t="e">
        <f aca="false">_xlfn.xlookup(AN749,A:A,AE:AE)</f>
        <v>#NAME?</v>
      </c>
      <c r="AU749" s="150" t="e">
        <f aca="false">_xlfn.xlookup(AN749,A:A,AF:AF)</f>
        <v>#NAME?</v>
      </c>
      <c r="AX749" s="146"/>
      <c r="AY749" s="150"/>
      <c r="AZ749" s="150"/>
      <c r="BA749" s="150"/>
      <c r="BB749" s="146"/>
      <c r="BC749" s="146"/>
      <c r="BD749" s="151"/>
      <c r="BE749" s="146"/>
      <c r="BF749" s="146"/>
      <c r="BH749" s="152" t="e">
        <f aca="false">_xlfn.xlookup(BG749,A:A,F:F)</f>
        <v>#NAME?</v>
      </c>
      <c r="BI749" s="153" t="e">
        <f aca="false">_xlfn.xlookup(BG749,A:A,J:J)</f>
        <v>#NAME?</v>
      </c>
      <c r="BJ749" s="153" t="e">
        <f aca="false">_xlfn.xlookup(BG749,A:A,N:N)+_xlfn.xlookup(BG749,A:A,O:O)</f>
        <v>#NAME?</v>
      </c>
      <c r="BK749" s="153" t="e">
        <f aca="false">_xlfn.xlookup(BG749,A698:A1692,AB698:AB1692)</f>
        <v>#NAME?</v>
      </c>
      <c r="BN749" s="146"/>
      <c r="BO749" s="150"/>
      <c r="BQ749" s="153" t="str">
        <f aca="false">IF(VALUE(MONTH(C749))&lt;10,YEAR(C749)&amp;"-0"&amp;MONTH(C749),YEAR(C749)&amp;"-"&amp;MONTH(C749))</f>
        <v>1900-01</v>
      </c>
      <c r="BR749" s="153" t="n">
        <f aca="false">J749</f>
        <v>0</v>
      </c>
      <c r="BS749" s="153" t="n">
        <f aca="false">IF(ISNUMBER(FIND("-", BR749)), LEFT(BR749, FIND("-", BR749) - 1), BR749)</f>
        <v>0</v>
      </c>
      <c r="BT749" s="189" t="n">
        <f aca="false">L749-M749+O749</f>
        <v>0</v>
      </c>
    </row>
    <row r="750" s="153" customFormat="true" ht="15" hidden="false" customHeight="false" outlineLevel="0" collapsed="false">
      <c r="AN750" s="153" t="e">
        <v>#NAME?</v>
      </c>
      <c r="AO750" s="153" t="e">
        <f aca="false">_xlfn.xlookup(AN750,A:A,F:F)</f>
        <v>#NAME?</v>
      </c>
      <c r="AP750" s="153" t="e">
        <f aca="false">_xlfn.xlookup(AN750,A:A,J:J)</f>
        <v>#NAME?</v>
      </c>
      <c r="AQ750" s="153" t="e">
        <f aca="false">_xlfn.xlookup(AN750,A:A,N:N)+_xlfn.xlookup(AN750,A:A,O:O)</f>
        <v>#NAME?</v>
      </c>
      <c r="AR750" s="150" t="e">
        <f aca="false">_xlfn.xlookup(AN750,A:A,AH:AH)</f>
        <v>#NAME?</v>
      </c>
      <c r="AS750" s="150" t="e">
        <f aca="false">_xlfn.xlookup(AN750,A:A,S:S)</f>
        <v>#NAME?</v>
      </c>
      <c r="AT750" s="150" t="e">
        <f aca="false">_xlfn.xlookup(AN750,A:A,AE:AE)</f>
        <v>#NAME?</v>
      </c>
      <c r="AU750" s="150" t="e">
        <f aca="false">_xlfn.xlookup(AN750,A:A,AF:AF)</f>
        <v>#NAME?</v>
      </c>
      <c r="AX750" s="146"/>
      <c r="AY750" s="150"/>
      <c r="AZ750" s="150"/>
      <c r="BA750" s="150"/>
      <c r="BB750" s="146"/>
      <c r="BC750" s="146"/>
      <c r="BD750" s="151"/>
      <c r="BE750" s="146"/>
      <c r="BF750" s="146"/>
      <c r="BH750" s="152" t="e">
        <f aca="false">_xlfn.xlookup(BG750,A:A,F:F)</f>
        <v>#NAME?</v>
      </c>
      <c r="BI750" s="153" t="e">
        <f aca="false">_xlfn.xlookup(BG750,A:A,J:J)</f>
        <v>#NAME?</v>
      </c>
      <c r="BJ750" s="153" t="e">
        <f aca="false">_xlfn.xlookup(BG750,A:A,N:N)+_xlfn.xlookup(BG750,A:A,O:O)</f>
        <v>#NAME?</v>
      </c>
      <c r="BK750" s="153" t="e">
        <f aca="false">_xlfn.xlookup(BG750,A699:A1693,AB699:AB1693)</f>
        <v>#NAME?</v>
      </c>
      <c r="BN750" s="146"/>
      <c r="BO750" s="150"/>
      <c r="BQ750" s="153" t="str">
        <f aca="false">IF(VALUE(MONTH(C750))&lt;10,YEAR(C750)&amp;"-0"&amp;MONTH(C750),YEAR(C750)&amp;"-"&amp;MONTH(C750))</f>
        <v>1900-01</v>
      </c>
      <c r="BR750" s="153" t="n">
        <f aca="false">J750</f>
        <v>0</v>
      </c>
      <c r="BS750" s="153" t="n">
        <f aca="false">IF(ISNUMBER(FIND("-", BR750)), LEFT(BR750, FIND("-", BR750) - 1), BR750)</f>
        <v>0</v>
      </c>
      <c r="BT750" s="189" t="n">
        <f aca="false">L750-M750+O750</f>
        <v>0</v>
      </c>
    </row>
    <row r="751" s="153" customFormat="true" ht="15" hidden="false" customHeight="false" outlineLevel="0" collapsed="false">
      <c r="AN751" s="153" t="e">
        <v>#NAME?</v>
      </c>
      <c r="AO751" s="153" t="e">
        <f aca="false">_xlfn.xlookup(AN751,A:A,F:F)</f>
        <v>#NAME?</v>
      </c>
      <c r="AP751" s="153" t="e">
        <f aca="false">_xlfn.xlookup(AN751,A:A,J:J)</f>
        <v>#NAME?</v>
      </c>
      <c r="AQ751" s="153" t="e">
        <f aca="false">_xlfn.xlookup(AN751,A:A,N:N)+_xlfn.xlookup(AN751,A:A,O:O)</f>
        <v>#NAME?</v>
      </c>
      <c r="AR751" s="150" t="e">
        <f aca="false">_xlfn.xlookup(AN751,A:A,AH:AH)</f>
        <v>#NAME?</v>
      </c>
      <c r="AS751" s="150" t="e">
        <f aca="false">_xlfn.xlookup(AN751,A:A,S:S)</f>
        <v>#NAME?</v>
      </c>
      <c r="AT751" s="150" t="e">
        <f aca="false">_xlfn.xlookup(AN751,A:A,AE:AE)</f>
        <v>#NAME?</v>
      </c>
      <c r="AU751" s="150" t="e">
        <f aca="false">_xlfn.xlookup(AN751,A:A,AF:AF)</f>
        <v>#NAME?</v>
      </c>
      <c r="AX751" s="146"/>
      <c r="AY751" s="150"/>
      <c r="AZ751" s="150"/>
      <c r="BA751" s="150"/>
      <c r="BB751" s="146"/>
      <c r="BC751" s="146"/>
      <c r="BD751" s="151"/>
      <c r="BE751" s="146"/>
      <c r="BF751" s="146"/>
      <c r="BH751" s="152" t="e">
        <f aca="false">_xlfn.xlookup(BG751,A:A,F:F)</f>
        <v>#NAME?</v>
      </c>
      <c r="BI751" s="153" t="e">
        <f aca="false">_xlfn.xlookup(BG751,A:A,J:J)</f>
        <v>#NAME?</v>
      </c>
      <c r="BJ751" s="153" t="e">
        <f aca="false">_xlfn.xlookup(BG751,A:A,N:N)+_xlfn.xlookup(BG751,A:A,O:O)</f>
        <v>#NAME?</v>
      </c>
      <c r="BK751" s="153" t="e">
        <f aca="false">_xlfn.xlookup(BG751,A700:A1694,AB700:AB1694)</f>
        <v>#NAME?</v>
      </c>
      <c r="BN751" s="146"/>
      <c r="BO751" s="150"/>
      <c r="BQ751" s="153" t="str">
        <f aca="false">IF(VALUE(MONTH(C751))&lt;10,YEAR(C751)&amp;"-0"&amp;MONTH(C751),YEAR(C751)&amp;"-"&amp;MONTH(C751))</f>
        <v>1900-01</v>
      </c>
      <c r="BR751" s="153" t="n">
        <f aca="false">J751</f>
        <v>0</v>
      </c>
      <c r="BS751" s="153" t="n">
        <f aca="false">IF(ISNUMBER(FIND("-", BR751)), LEFT(BR751, FIND("-", BR751) - 1), BR751)</f>
        <v>0</v>
      </c>
      <c r="BT751" s="189" t="n">
        <f aca="false">L751-M751+O751</f>
        <v>0</v>
      </c>
    </row>
    <row r="752" s="153" customFormat="true" ht="15" hidden="false" customHeight="false" outlineLevel="0" collapsed="false">
      <c r="AN752" s="153" t="e">
        <v>#NAME?</v>
      </c>
      <c r="AO752" s="153" t="e">
        <f aca="false">_xlfn.xlookup(AN752,A:A,F:F)</f>
        <v>#NAME?</v>
      </c>
      <c r="AP752" s="153" t="e">
        <f aca="false">_xlfn.xlookup(AN752,A:A,J:J)</f>
        <v>#NAME?</v>
      </c>
      <c r="AQ752" s="153" t="e">
        <f aca="false">_xlfn.xlookup(AN752,A:A,N:N)+_xlfn.xlookup(AN752,A:A,O:O)</f>
        <v>#NAME?</v>
      </c>
      <c r="AR752" s="150" t="e">
        <f aca="false">_xlfn.xlookup(AN752,A:A,AH:AH)</f>
        <v>#NAME?</v>
      </c>
      <c r="AS752" s="150" t="e">
        <f aca="false">_xlfn.xlookup(AN752,A:A,S:S)</f>
        <v>#NAME?</v>
      </c>
      <c r="AT752" s="150" t="e">
        <f aca="false">_xlfn.xlookup(AN752,A:A,AE:AE)</f>
        <v>#NAME?</v>
      </c>
      <c r="AU752" s="150" t="e">
        <f aca="false">_xlfn.xlookup(AN752,A:A,AF:AF)</f>
        <v>#NAME?</v>
      </c>
      <c r="AX752" s="146"/>
      <c r="AY752" s="150"/>
      <c r="AZ752" s="150"/>
      <c r="BA752" s="150"/>
      <c r="BB752" s="146"/>
      <c r="BC752" s="146"/>
      <c r="BD752" s="151"/>
      <c r="BE752" s="146"/>
      <c r="BF752" s="146"/>
      <c r="BH752" s="152" t="e">
        <f aca="false">_xlfn.xlookup(BG752,A:A,F:F)</f>
        <v>#NAME?</v>
      </c>
      <c r="BI752" s="153" t="e">
        <f aca="false">_xlfn.xlookup(BG752,A:A,J:J)</f>
        <v>#NAME?</v>
      </c>
      <c r="BJ752" s="153" t="e">
        <f aca="false">_xlfn.xlookup(BG752,A:A,N:N)+_xlfn.xlookup(BG752,A:A,O:O)</f>
        <v>#NAME?</v>
      </c>
      <c r="BK752" s="153" t="e">
        <f aca="false">_xlfn.xlookup(BG752,A701:A1695,AB701:AB1695)</f>
        <v>#NAME?</v>
      </c>
      <c r="BN752" s="146"/>
      <c r="BO752" s="150"/>
      <c r="BQ752" s="153" t="str">
        <f aca="false">IF(VALUE(MONTH(C752))&lt;10,YEAR(C752)&amp;"-0"&amp;MONTH(C752),YEAR(C752)&amp;"-"&amp;MONTH(C752))</f>
        <v>1900-01</v>
      </c>
      <c r="BR752" s="153" t="n">
        <f aca="false">J752</f>
        <v>0</v>
      </c>
      <c r="BS752" s="153" t="n">
        <f aca="false">IF(ISNUMBER(FIND("-", BR752)), LEFT(BR752, FIND("-", BR752) - 1), BR752)</f>
        <v>0</v>
      </c>
      <c r="BT752" s="189" t="n">
        <f aca="false">L752-M752+O752</f>
        <v>0</v>
      </c>
    </row>
    <row r="753" s="153" customFormat="true" ht="15" hidden="false" customHeight="false" outlineLevel="0" collapsed="false">
      <c r="AN753" s="153" t="e">
        <v>#NAME?</v>
      </c>
      <c r="AO753" s="153" t="e">
        <f aca="false">_xlfn.xlookup(AN753,A:A,F:F)</f>
        <v>#NAME?</v>
      </c>
      <c r="AP753" s="153" t="e">
        <f aca="false">_xlfn.xlookup(AN753,A:A,J:J)</f>
        <v>#NAME?</v>
      </c>
      <c r="AQ753" s="153" t="e">
        <f aca="false">_xlfn.xlookup(AN753,A:A,N:N)+_xlfn.xlookup(AN753,A:A,O:O)</f>
        <v>#NAME?</v>
      </c>
      <c r="AR753" s="150" t="e">
        <f aca="false">_xlfn.xlookup(AN753,A:A,AH:AH)</f>
        <v>#NAME?</v>
      </c>
      <c r="AS753" s="150" t="e">
        <f aca="false">_xlfn.xlookup(AN753,A:A,S:S)</f>
        <v>#NAME?</v>
      </c>
      <c r="AT753" s="150" t="e">
        <f aca="false">_xlfn.xlookup(AN753,A:A,AE:AE)</f>
        <v>#NAME?</v>
      </c>
      <c r="AU753" s="150" t="e">
        <f aca="false">_xlfn.xlookup(AN753,A:A,AF:AF)</f>
        <v>#NAME?</v>
      </c>
      <c r="AX753" s="146"/>
      <c r="AY753" s="150"/>
      <c r="AZ753" s="150"/>
      <c r="BA753" s="150"/>
      <c r="BB753" s="146"/>
      <c r="BC753" s="146"/>
      <c r="BD753" s="151"/>
      <c r="BE753" s="146"/>
      <c r="BF753" s="146"/>
      <c r="BH753" s="152" t="e">
        <f aca="false">_xlfn.xlookup(BG753,A:A,F:F)</f>
        <v>#NAME?</v>
      </c>
      <c r="BI753" s="153" t="e">
        <f aca="false">_xlfn.xlookup(BG753,A:A,J:J)</f>
        <v>#NAME?</v>
      </c>
      <c r="BJ753" s="153" t="e">
        <f aca="false">_xlfn.xlookup(BG753,A:A,N:N)+_xlfn.xlookup(BG753,A:A,O:O)</f>
        <v>#NAME?</v>
      </c>
      <c r="BK753" s="153" t="e">
        <f aca="false">_xlfn.xlookup(BG753,A702:A1696,AB702:AB1696)</f>
        <v>#NAME?</v>
      </c>
      <c r="BN753" s="146"/>
      <c r="BO753" s="150"/>
      <c r="BQ753" s="153" t="str">
        <f aca="false">IF(VALUE(MONTH(C753))&lt;10,YEAR(C753)&amp;"-0"&amp;MONTH(C753),YEAR(C753)&amp;"-"&amp;MONTH(C753))</f>
        <v>1900-01</v>
      </c>
      <c r="BR753" s="153" t="n">
        <f aca="false">J753</f>
        <v>0</v>
      </c>
      <c r="BS753" s="153" t="n">
        <f aca="false">IF(ISNUMBER(FIND("-", BR753)), LEFT(BR753, FIND("-", BR753) - 1), BR753)</f>
        <v>0</v>
      </c>
      <c r="BT753" s="189" t="n">
        <f aca="false">L753-M753+O753</f>
        <v>0</v>
      </c>
    </row>
    <row r="754" s="153" customFormat="true" ht="15" hidden="false" customHeight="false" outlineLevel="0" collapsed="false">
      <c r="AN754" s="153" t="e">
        <v>#NAME?</v>
      </c>
      <c r="AO754" s="153" t="e">
        <f aca="false">_xlfn.xlookup(AN754,A:A,F:F)</f>
        <v>#NAME?</v>
      </c>
      <c r="AP754" s="153" t="e">
        <f aca="false">_xlfn.xlookup(AN754,A:A,J:J)</f>
        <v>#NAME?</v>
      </c>
      <c r="AQ754" s="153" t="e">
        <f aca="false">_xlfn.xlookup(AN754,A:A,N:N)+_xlfn.xlookup(AN754,A:A,O:O)</f>
        <v>#NAME?</v>
      </c>
      <c r="AR754" s="150" t="e">
        <f aca="false">_xlfn.xlookup(AN754,A:A,AH:AH)</f>
        <v>#NAME?</v>
      </c>
      <c r="AS754" s="150" t="e">
        <f aca="false">_xlfn.xlookup(AN754,A:A,S:S)</f>
        <v>#NAME?</v>
      </c>
      <c r="AT754" s="150" t="e">
        <f aca="false">_xlfn.xlookup(AN754,A:A,AE:AE)</f>
        <v>#NAME?</v>
      </c>
      <c r="AU754" s="150" t="e">
        <f aca="false">_xlfn.xlookup(AN754,A:A,AF:AF)</f>
        <v>#NAME?</v>
      </c>
      <c r="AX754" s="146"/>
      <c r="AY754" s="150"/>
      <c r="AZ754" s="150"/>
      <c r="BA754" s="150"/>
      <c r="BB754" s="146"/>
      <c r="BC754" s="146"/>
      <c r="BD754" s="151"/>
      <c r="BE754" s="146"/>
      <c r="BF754" s="146"/>
      <c r="BH754" s="152" t="e">
        <f aca="false">_xlfn.xlookup(BG754,A:A,F:F)</f>
        <v>#NAME?</v>
      </c>
      <c r="BI754" s="153" t="e">
        <f aca="false">_xlfn.xlookup(BG754,A:A,J:J)</f>
        <v>#NAME?</v>
      </c>
      <c r="BJ754" s="153" t="e">
        <f aca="false">_xlfn.xlookup(BG754,A:A,N:N)+_xlfn.xlookup(BG754,A:A,O:O)</f>
        <v>#NAME?</v>
      </c>
      <c r="BK754" s="153" t="e">
        <f aca="false">_xlfn.xlookup(BG754,A703:A1697,AB703:AB1697)</f>
        <v>#NAME?</v>
      </c>
      <c r="BN754" s="146"/>
      <c r="BO754" s="150"/>
      <c r="BQ754" s="153" t="str">
        <f aca="false">IF(VALUE(MONTH(C754))&lt;10,YEAR(C754)&amp;"-0"&amp;MONTH(C754),YEAR(C754)&amp;"-"&amp;MONTH(C754))</f>
        <v>1900-01</v>
      </c>
      <c r="BR754" s="153" t="n">
        <f aca="false">J754</f>
        <v>0</v>
      </c>
      <c r="BS754" s="153" t="n">
        <f aca="false">IF(ISNUMBER(FIND("-", BR754)), LEFT(BR754, FIND("-", BR754) - 1), BR754)</f>
        <v>0</v>
      </c>
      <c r="BT754" s="189" t="n">
        <f aca="false">L754-M754+O754</f>
        <v>0</v>
      </c>
    </row>
    <row r="755" s="153" customFormat="true" ht="15" hidden="false" customHeight="false" outlineLevel="0" collapsed="false">
      <c r="AN755" s="153" t="e">
        <v>#NAME?</v>
      </c>
      <c r="AO755" s="153" t="e">
        <f aca="false">_xlfn.xlookup(AN755,A:A,F:F)</f>
        <v>#NAME?</v>
      </c>
      <c r="AP755" s="153" t="e">
        <f aca="false">_xlfn.xlookup(AN755,A:A,J:J)</f>
        <v>#NAME?</v>
      </c>
      <c r="AQ755" s="153" t="e">
        <f aca="false">_xlfn.xlookup(AN755,A:A,N:N)+_xlfn.xlookup(AN755,A:A,O:O)</f>
        <v>#NAME?</v>
      </c>
      <c r="AR755" s="150" t="e">
        <f aca="false">_xlfn.xlookup(AN755,A:A,AH:AH)</f>
        <v>#NAME?</v>
      </c>
      <c r="AS755" s="150" t="e">
        <f aca="false">_xlfn.xlookup(AN755,A:A,S:S)</f>
        <v>#NAME?</v>
      </c>
      <c r="AT755" s="150" t="e">
        <f aca="false">_xlfn.xlookup(AN755,A:A,AE:AE)</f>
        <v>#NAME?</v>
      </c>
      <c r="AU755" s="150" t="e">
        <f aca="false">_xlfn.xlookup(AN755,A:A,AF:AF)</f>
        <v>#NAME?</v>
      </c>
      <c r="AX755" s="146"/>
      <c r="AY755" s="150"/>
      <c r="AZ755" s="150"/>
      <c r="BA755" s="150"/>
      <c r="BB755" s="146"/>
      <c r="BC755" s="146"/>
      <c r="BD755" s="151"/>
      <c r="BE755" s="146"/>
      <c r="BF755" s="146"/>
      <c r="BH755" s="152" t="e">
        <f aca="false">_xlfn.xlookup(BG755,A:A,F:F)</f>
        <v>#NAME?</v>
      </c>
      <c r="BI755" s="153" t="e">
        <f aca="false">_xlfn.xlookup(BG755,A:A,J:J)</f>
        <v>#NAME?</v>
      </c>
      <c r="BJ755" s="153" t="e">
        <f aca="false">_xlfn.xlookup(BG755,A:A,N:N)+_xlfn.xlookup(BG755,A:A,O:O)</f>
        <v>#NAME?</v>
      </c>
      <c r="BK755" s="153" t="e">
        <f aca="false">_xlfn.xlookup(BG755,A704:A1698,AB704:AB1698)</f>
        <v>#NAME?</v>
      </c>
      <c r="BN755" s="146"/>
      <c r="BO755" s="150"/>
      <c r="BQ755" s="153" t="str">
        <f aca="false">IF(VALUE(MONTH(C755))&lt;10,YEAR(C755)&amp;"-0"&amp;MONTH(C755),YEAR(C755)&amp;"-"&amp;MONTH(C755))</f>
        <v>1900-01</v>
      </c>
      <c r="BR755" s="153" t="n">
        <f aca="false">J755</f>
        <v>0</v>
      </c>
      <c r="BS755" s="153" t="n">
        <f aca="false">IF(ISNUMBER(FIND("-", BR755)), LEFT(BR755, FIND("-", BR755) - 1), BR755)</f>
        <v>0</v>
      </c>
      <c r="BT755" s="189" t="n">
        <f aca="false">L755-M755+O755</f>
        <v>0</v>
      </c>
    </row>
    <row r="756" s="153" customFormat="true" ht="15" hidden="false" customHeight="false" outlineLevel="0" collapsed="false">
      <c r="AN756" s="153" t="e">
        <v>#NAME?</v>
      </c>
      <c r="AO756" s="153" t="e">
        <f aca="false">_xlfn.xlookup(AN756,A:A,F:F)</f>
        <v>#NAME?</v>
      </c>
      <c r="AP756" s="153" t="e">
        <f aca="false">_xlfn.xlookup(AN756,A:A,J:J)</f>
        <v>#NAME?</v>
      </c>
      <c r="AQ756" s="153" t="e">
        <f aca="false">_xlfn.xlookup(AN756,A:A,N:N)+_xlfn.xlookup(AN756,A:A,O:O)</f>
        <v>#NAME?</v>
      </c>
      <c r="AR756" s="150" t="e">
        <f aca="false">_xlfn.xlookup(AN756,A:A,AH:AH)</f>
        <v>#NAME?</v>
      </c>
      <c r="AS756" s="150" t="e">
        <f aca="false">_xlfn.xlookup(AN756,A:A,S:S)</f>
        <v>#NAME?</v>
      </c>
      <c r="AT756" s="150" t="e">
        <f aca="false">_xlfn.xlookup(AN756,A:A,AE:AE)</f>
        <v>#NAME?</v>
      </c>
      <c r="AU756" s="150" t="e">
        <f aca="false">_xlfn.xlookup(AN756,A:A,AF:AF)</f>
        <v>#NAME?</v>
      </c>
      <c r="AX756" s="146"/>
      <c r="AY756" s="150"/>
      <c r="AZ756" s="150"/>
      <c r="BA756" s="150"/>
      <c r="BB756" s="146"/>
      <c r="BC756" s="146"/>
      <c r="BD756" s="151"/>
      <c r="BE756" s="146"/>
      <c r="BF756" s="146"/>
      <c r="BH756" s="152" t="e">
        <f aca="false">_xlfn.xlookup(BG756,A:A,F:F)</f>
        <v>#NAME?</v>
      </c>
      <c r="BI756" s="153" t="e">
        <f aca="false">_xlfn.xlookup(BG756,A:A,J:J)</f>
        <v>#NAME?</v>
      </c>
      <c r="BJ756" s="153" t="e">
        <f aca="false">_xlfn.xlookup(BG756,A:A,N:N)+_xlfn.xlookup(BG756,A:A,O:O)</f>
        <v>#NAME?</v>
      </c>
      <c r="BK756" s="153" t="e">
        <f aca="false">_xlfn.xlookup(BG756,A705:A1699,AB705:AB1699)</f>
        <v>#NAME?</v>
      </c>
      <c r="BN756" s="146"/>
      <c r="BO756" s="150"/>
      <c r="BQ756" s="153" t="str">
        <f aca="false">IF(VALUE(MONTH(C756))&lt;10,YEAR(C756)&amp;"-0"&amp;MONTH(C756),YEAR(C756)&amp;"-"&amp;MONTH(C756))</f>
        <v>1900-01</v>
      </c>
      <c r="BR756" s="153" t="n">
        <f aca="false">J756</f>
        <v>0</v>
      </c>
      <c r="BS756" s="153" t="n">
        <f aca="false">IF(ISNUMBER(FIND("-", BR756)), LEFT(BR756, FIND("-", BR756) - 1), BR756)</f>
        <v>0</v>
      </c>
      <c r="BT756" s="189" t="n">
        <f aca="false">L756-M756+O756</f>
        <v>0</v>
      </c>
    </row>
    <row r="757" s="153" customFormat="true" ht="15" hidden="false" customHeight="false" outlineLevel="0" collapsed="false">
      <c r="AN757" s="153" t="e">
        <v>#NAME?</v>
      </c>
      <c r="AO757" s="153" t="e">
        <f aca="false">_xlfn.xlookup(AN757,A:A,F:F)</f>
        <v>#NAME?</v>
      </c>
      <c r="AP757" s="153" t="e">
        <f aca="false">_xlfn.xlookup(AN757,A:A,J:J)</f>
        <v>#NAME?</v>
      </c>
      <c r="AQ757" s="153" t="e">
        <f aca="false">_xlfn.xlookup(AN757,A:A,N:N)+_xlfn.xlookup(AN757,A:A,O:O)</f>
        <v>#NAME?</v>
      </c>
      <c r="AR757" s="150" t="e">
        <f aca="false">_xlfn.xlookup(AN757,A:A,AH:AH)</f>
        <v>#NAME?</v>
      </c>
      <c r="AS757" s="150" t="e">
        <f aca="false">_xlfn.xlookup(AN757,A:A,S:S)</f>
        <v>#NAME?</v>
      </c>
      <c r="AT757" s="150" t="e">
        <f aca="false">_xlfn.xlookup(AN757,A:A,AE:AE)</f>
        <v>#NAME?</v>
      </c>
      <c r="AU757" s="150" t="e">
        <f aca="false">_xlfn.xlookup(AN757,A:A,AF:AF)</f>
        <v>#NAME?</v>
      </c>
      <c r="AX757" s="146"/>
      <c r="AY757" s="150"/>
      <c r="AZ757" s="150"/>
      <c r="BA757" s="150"/>
      <c r="BB757" s="146"/>
      <c r="BC757" s="146"/>
      <c r="BD757" s="151"/>
      <c r="BE757" s="146"/>
      <c r="BF757" s="146"/>
      <c r="BH757" s="152" t="e">
        <f aca="false">_xlfn.xlookup(BG757,A:A,F:F)</f>
        <v>#NAME?</v>
      </c>
      <c r="BI757" s="153" t="e">
        <f aca="false">_xlfn.xlookup(BG757,A:A,J:J)</f>
        <v>#NAME?</v>
      </c>
      <c r="BJ757" s="153" t="e">
        <f aca="false">_xlfn.xlookup(BG757,A:A,N:N)+_xlfn.xlookup(BG757,A:A,O:O)</f>
        <v>#NAME?</v>
      </c>
      <c r="BK757" s="153" t="e">
        <f aca="false">_xlfn.xlookup(BG757,A706:A1700,AB706:AB1700)</f>
        <v>#NAME?</v>
      </c>
      <c r="BN757" s="146"/>
      <c r="BO757" s="150"/>
      <c r="BQ757" s="153" t="str">
        <f aca="false">IF(VALUE(MONTH(C757))&lt;10,YEAR(C757)&amp;"-0"&amp;MONTH(C757),YEAR(C757)&amp;"-"&amp;MONTH(C757))</f>
        <v>1900-01</v>
      </c>
      <c r="BR757" s="153" t="n">
        <f aca="false">J757</f>
        <v>0</v>
      </c>
      <c r="BS757" s="153" t="n">
        <f aca="false">IF(ISNUMBER(FIND("-", BR757)), LEFT(BR757, FIND("-", BR757) - 1), BR757)</f>
        <v>0</v>
      </c>
      <c r="BT757" s="189" t="n">
        <f aca="false">L757-M757+O757</f>
        <v>0</v>
      </c>
    </row>
    <row r="758" s="153" customFormat="true" ht="15" hidden="false" customHeight="false" outlineLevel="0" collapsed="false">
      <c r="AN758" s="153" t="e">
        <v>#NAME?</v>
      </c>
      <c r="AO758" s="153" t="e">
        <f aca="false">_xlfn.xlookup(AN758,A:A,F:F)</f>
        <v>#NAME?</v>
      </c>
      <c r="AP758" s="153" t="e">
        <f aca="false">_xlfn.xlookup(AN758,A:A,J:J)</f>
        <v>#NAME?</v>
      </c>
      <c r="AQ758" s="153" t="e">
        <f aca="false">_xlfn.xlookup(AN758,A:A,N:N)+_xlfn.xlookup(AN758,A:A,O:O)</f>
        <v>#NAME?</v>
      </c>
      <c r="AR758" s="150" t="e">
        <f aca="false">_xlfn.xlookup(AN758,A:A,AH:AH)</f>
        <v>#NAME?</v>
      </c>
      <c r="AS758" s="150" t="e">
        <f aca="false">_xlfn.xlookup(AN758,A:A,S:S)</f>
        <v>#NAME?</v>
      </c>
      <c r="AT758" s="150" t="e">
        <f aca="false">_xlfn.xlookup(AN758,A:A,AE:AE)</f>
        <v>#NAME?</v>
      </c>
      <c r="AU758" s="150" t="e">
        <f aca="false">_xlfn.xlookup(AN758,A:A,AF:AF)</f>
        <v>#NAME?</v>
      </c>
      <c r="AX758" s="146"/>
      <c r="AY758" s="150"/>
      <c r="AZ758" s="150"/>
      <c r="BA758" s="150"/>
      <c r="BB758" s="146"/>
      <c r="BC758" s="146"/>
      <c r="BD758" s="151"/>
      <c r="BE758" s="146"/>
      <c r="BF758" s="146"/>
      <c r="BH758" s="152" t="e">
        <f aca="false">_xlfn.xlookup(BG758,A:A,F:F)</f>
        <v>#NAME?</v>
      </c>
      <c r="BI758" s="153" t="e">
        <f aca="false">_xlfn.xlookup(BG758,A:A,J:J)</f>
        <v>#NAME?</v>
      </c>
      <c r="BJ758" s="153" t="e">
        <f aca="false">_xlfn.xlookup(BG758,A:A,N:N)+_xlfn.xlookup(BG758,A:A,O:O)</f>
        <v>#NAME?</v>
      </c>
      <c r="BK758" s="153" t="e">
        <f aca="false">_xlfn.xlookup(BG758,A707:A1701,AB707:AB1701)</f>
        <v>#NAME?</v>
      </c>
      <c r="BN758" s="146"/>
      <c r="BO758" s="150"/>
      <c r="BQ758" s="153" t="str">
        <f aca="false">IF(VALUE(MONTH(C758))&lt;10,YEAR(C758)&amp;"-0"&amp;MONTH(C758),YEAR(C758)&amp;"-"&amp;MONTH(C758))</f>
        <v>1900-01</v>
      </c>
      <c r="BR758" s="153" t="n">
        <f aca="false">J758</f>
        <v>0</v>
      </c>
      <c r="BS758" s="153" t="n">
        <f aca="false">IF(ISNUMBER(FIND("-", BR758)), LEFT(BR758, FIND("-", BR758) - 1), BR758)</f>
        <v>0</v>
      </c>
      <c r="BT758" s="189" t="n">
        <f aca="false">L758-M758+O758</f>
        <v>0</v>
      </c>
    </row>
    <row r="759" s="153" customFormat="true" ht="15" hidden="false" customHeight="false" outlineLevel="0" collapsed="false">
      <c r="AN759" s="153" t="e">
        <v>#NAME?</v>
      </c>
      <c r="AO759" s="153" t="e">
        <f aca="false">_xlfn.xlookup(AN759,A:A,F:F)</f>
        <v>#NAME?</v>
      </c>
      <c r="AP759" s="153" t="e">
        <f aca="false">_xlfn.xlookup(AN759,A:A,J:J)</f>
        <v>#NAME?</v>
      </c>
      <c r="AQ759" s="153" t="e">
        <f aca="false">_xlfn.xlookup(AN759,A:A,N:N)+_xlfn.xlookup(AN759,A:A,O:O)</f>
        <v>#NAME?</v>
      </c>
      <c r="AR759" s="150" t="e">
        <f aca="false">_xlfn.xlookup(AN759,A:A,AH:AH)</f>
        <v>#NAME?</v>
      </c>
      <c r="AS759" s="150" t="e">
        <f aca="false">_xlfn.xlookup(AN759,A:A,S:S)</f>
        <v>#NAME?</v>
      </c>
      <c r="AT759" s="150" t="e">
        <f aca="false">_xlfn.xlookup(AN759,A:A,AE:AE)</f>
        <v>#NAME?</v>
      </c>
      <c r="AU759" s="150" t="e">
        <f aca="false">_xlfn.xlookup(AN759,A:A,AF:AF)</f>
        <v>#NAME?</v>
      </c>
      <c r="AX759" s="146"/>
      <c r="AY759" s="150"/>
      <c r="AZ759" s="150"/>
      <c r="BA759" s="150"/>
      <c r="BB759" s="146"/>
      <c r="BC759" s="146"/>
      <c r="BD759" s="151"/>
      <c r="BE759" s="146"/>
      <c r="BF759" s="146"/>
      <c r="BH759" s="152" t="e">
        <f aca="false">_xlfn.xlookup(BG759,A:A,F:F)</f>
        <v>#NAME?</v>
      </c>
      <c r="BI759" s="153" t="e">
        <f aca="false">_xlfn.xlookup(BG759,A:A,J:J)</f>
        <v>#NAME?</v>
      </c>
      <c r="BJ759" s="153" t="e">
        <f aca="false">_xlfn.xlookup(BG759,A:A,N:N)+_xlfn.xlookup(BG759,A:A,O:O)</f>
        <v>#NAME?</v>
      </c>
      <c r="BK759" s="153" t="e">
        <f aca="false">_xlfn.xlookup(BG759,A708:A1702,AB708:AB1702)</f>
        <v>#NAME?</v>
      </c>
      <c r="BN759" s="146"/>
      <c r="BO759" s="150"/>
      <c r="BQ759" s="153" t="str">
        <f aca="false">IF(VALUE(MONTH(C759))&lt;10,YEAR(C759)&amp;"-0"&amp;MONTH(C759),YEAR(C759)&amp;"-"&amp;MONTH(C759))</f>
        <v>1900-01</v>
      </c>
      <c r="BR759" s="153" t="n">
        <f aca="false">J759</f>
        <v>0</v>
      </c>
      <c r="BS759" s="153" t="n">
        <f aca="false">IF(ISNUMBER(FIND("-", BR759)), LEFT(BR759, FIND("-", BR759) - 1), BR759)</f>
        <v>0</v>
      </c>
      <c r="BT759" s="189" t="n">
        <f aca="false">L759-M759+O759</f>
        <v>0</v>
      </c>
    </row>
    <row r="760" s="153" customFormat="true" ht="15" hidden="false" customHeight="false" outlineLevel="0" collapsed="false">
      <c r="AN760" s="153" t="e">
        <v>#NAME?</v>
      </c>
      <c r="AO760" s="153" t="e">
        <f aca="false">_xlfn.xlookup(AN760,A:A,F:F)</f>
        <v>#NAME?</v>
      </c>
      <c r="AP760" s="153" t="e">
        <f aca="false">_xlfn.xlookup(AN760,A:A,J:J)</f>
        <v>#NAME?</v>
      </c>
      <c r="AQ760" s="153" t="e">
        <f aca="false">_xlfn.xlookup(AN760,A:A,N:N)+_xlfn.xlookup(AN760,A:A,O:O)</f>
        <v>#NAME?</v>
      </c>
      <c r="AR760" s="150" t="e">
        <f aca="false">_xlfn.xlookup(AN760,A:A,AH:AH)</f>
        <v>#NAME?</v>
      </c>
      <c r="AS760" s="150" t="e">
        <f aca="false">_xlfn.xlookup(AN760,A:A,S:S)</f>
        <v>#NAME?</v>
      </c>
      <c r="AT760" s="150" t="e">
        <f aca="false">_xlfn.xlookup(AN760,A:A,AE:AE)</f>
        <v>#NAME?</v>
      </c>
      <c r="AU760" s="150" t="e">
        <f aca="false">_xlfn.xlookup(AN760,A:A,AF:AF)</f>
        <v>#NAME?</v>
      </c>
      <c r="AX760" s="146"/>
      <c r="AY760" s="150"/>
      <c r="AZ760" s="150"/>
      <c r="BA760" s="150"/>
      <c r="BB760" s="146"/>
      <c r="BC760" s="146"/>
      <c r="BD760" s="151"/>
      <c r="BE760" s="146"/>
      <c r="BF760" s="146"/>
      <c r="BH760" s="152" t="e">
        <f aca="false">_xlfn.xlookup(BG760,A:A,F:F)</f>
        <v>#NAME?</v>
      </c>
      <c r="BI760" s="153" t="e">
        <f aca="false">_xlfn.xlookup(BG760,A:A,J:J)</f>
        <v>#NAME?</v>
      </c>
      <c r="BJ760" s="153" t="e">
        <f aca="false">_xlfn.xlookup(BG760,A:A,N:N)+_xlfn.xlookup(BG760,A:A,O:O)</f>
        <v>#NAME?</v>
      </c>
      <c r="BK760" s="153" t="e">
        <f aca="false">_xlfn.xlookup(BG760,A709:A1703,AB709:AB1703)</f>
        <v>#NAME?</v>
      </c>
      <c r="BN760" s="146"/>
      <c r="BO760" s="150"/>
      <c r="BQ760" s="153" t="str">
        <f aca="false">IF(VALUE(MONTH(C760))&lt;10,YEAR(C760)&amp;"-0"&amp;MONTH(C760),YEAR(C760)&amp;"-"&amp;MONTH(C760))</f>
        <v>1900-01</v>
      </c>
      <c r="BR760" s="153" t="n">
        <f aca="false">J760</f>
        <v>0</v>
      </c>
      <c r="BS760" s="153" t="n">
        <f aca="false">IF(ISNUMBER(FIND("-", BR760)), LEFT(BR760, FIND("-", BR760) - 1), BR760)</f>
        <v>0</v>
      </c>
      <c r="BT760" s="189" t="n">
        <f aca="false">L760-M760+O760</f>
        <v>0</v>
      </c>
    </row>
    <row r="761" s="153" customFormat="true" ht="15" hidden="false" customHeight="false" outlineLevel="0" collapsed="false">
      <c r="AN761" s="153" t="e">
        <v>#NAME?</v>
      </c>
      <c r="AO761" s="153" t="e">
        <f aca="false">_xlfn.xlookup(AN761,A:A,F:F)</f>
        <v>#NAME?</v>
      </c>
      <c r="AP761" s="153" t="e">
        <f aca="false">_xlfn.xlookup(AN761,A:A,J:J)</f>
        <v>#NAME?</v>
      </c>
      <c r="AQ761" s="153" t="e">
        <f aca="false">_xlfn.xlookup(AN761,A:A,N:N)+_xlfn.xlookup(AN761,A:A,O:O)</f>
        <v>#NAME?</v>
      </c>
      <c r="AR761" s="150" t="e">
        <f aca="false">_xlfn.xlookup(AN761,A:A,AH:AH)</f>
        <v>#NAME?</v>
      </c>
      <c r="AS761" s="150" t="e">
        <f aca="false">_xlfn.xlookup(AN761,A:A,S:S)</f>
        <v>#NAME?</v>
      </c>
      <c r="AT761" s="150" t="e">
        <f aca="false">_xlfn.xlookup(AN761,A:A,AE:AE)</f>
        <v>#NAME?</v>
      </c>
      <c r="AU761" s="150" t="e">
        <f aca="false">_xlfn.xlookup(AN761,A:A,AF:AF)</f>
        <v>#NAME?</v>
      </c>
      <c r="AX761" s="146"/>
      <c r="AY761" s="150"/>
      <c r="AZ761" s="150"/>
      <c r="BA761" s="150"/>
      <c r="BB761" s="146"/>
      <c r="BC761" s="146"/>
      <c r="BD761" s="151"/>
      <c r="BE761" s="146"/>
      <c r="BF761" s="146"/>
      <c r="BH761" s="152" t="e">
        <f aca="false">_xlfn.xlookup(BG761,A:A,F:F)</f>
        <v>#NAME?</v>
      </c>
      <c r="BI761" s="153" t="e">
        <f aca="false">_xlfn.xlookup(BG761,A:A,J:J)</f>
        <v>#NAME?</v>
      </c>
      <c r="BJ761" s="153" t="e">
        <f aca="false">_xlfn.xlookup(BG761,A:A,N:N)+_xlfn.xlookup(BG761,A:A,O:O)</f>
        <v>#NAME?</v>
      </c>
      <c r="BK761" s="153" t="e">
        <f aca="false">_xlfn.xlookup(BG761,A710:A1704,AB710:AB1704)</f>
        <v>#NAME?</v>
      </c>
      <c r="BN761" s="146"/>
      <c r="BO761" s="150"/>
      <c r="BQ761" s="153" t="str">
        <f aca="false">IF(VALUE(MONTH(C761))&lt;10,YEAR(C761)&amp;"-0"&amp;MONTH(C761),YEAR(C761)&amp;"-"&amp;MONTH(C761))</f>
        <v>1900-01</v>
      </c>
      <c r="BR761" s="153" t="n">
        <f aca="false">J761</f>
        <v>0</v>
      </c>
      <c r="BS761" s="153" t="n">
        <f aca="false">IF(ISNUMBER(FIND("-", BR761)), LEFT(BR761, FIND("-", BR761) - 1), BR761)</f>
        <v>0</v>
      </c>
      <c r="BT761" s="189" t="n">
        <f aca="false">L761-M761+O761</f>
        <v>0</v>
      </c>
    </row>
    <row r="762" s="153" customFormat="true" ht="15" hidden="false" customHeight="false" outlineLevel="0" collapsed="false">
      <c r="AN762" s="153" t="e">
        <v>#NAME?</v>
      </c>
      <c r="AO762" s="153" t="e">
        <f aca="false">_xlfn.xlookup(AN762,A:A,F:F)</f>
        <v>#NAME?</v>
      </c>
      <c r="AP762" s="153" t="e">
        <f aca="false">_xlfn.xlookup(AN762,A:A,J:J)</f>
        <v>#NAME?</v>
      </c>
      <c r="AQ762" s="153" t="e">
        <f aca="false">_xlfn.xlookup(AN762,A:A,N:N)+_xlfn.xlookup(AN762,A:A,O:O)</f>
        <v>#NAME?</v>
      </c>
      <c r="AR762" s="150" t="e">
        <f aca="false">_xlfn.xlookup(AN762,A:A,AH:AH)</f>
        <v>#NAME?</v>
      </c>
      <c r="AS762" s="150" t="e">
        <f aca="false">_xlfn.xlookup(AN762,A:A,S:S)</f>
        <v>#NAME?</v>
      </c>
      <c r="AT762" s="150" t="e">
        <f aca="false">_xlfn.xlookup(AN762,A:A,AE:AE)</f>
        <v>#NAME?</v>
      </c>
      <c r="AU762" s="150" t="e">
        <f aca="false">_xlfn.xlookup(AN762,A:A,AF:AF)</f>
        <v>#NAME?</v>
      </c>
      <c r="AX762" s="146"/>
      <c r="AY762" s="150"/>
      <c r="AZ762" s="150"/>
      <c r="BA762" s="150"/>
      <c r="BB762" s="146"/>
      <c r="BC762" s="146"/>
      <c r="BD762" s="151"/>
      <c r="BE762" s="146"/>
      <c r="BF762" s="146"/>
      <c r="BH762" s="152" t="e">
        <f aca="false">_xlfn.xlookup(BG762,A:A,F:F)</f>
        <v>#NAME?</v>
      </c>
      <c r="BI762" s="153" t="e">
        <f aca="false">_xlfn.xlookup(BG762,A:A,J:J)</f>
        <v>#NAME?</v>
      </c>
      <c r="BJ762" s="153" t="e">
        <f aca="false">_xlfn.xlookup(BG762,A:A,N:N)+_xlfn.xlookup(BG762,A:A,O:O)</f>
        <v>#NAME?</v>
      </c>
      <c r="BK762" s="153" t="e">
        <f aca="false">_xlfn.xlookup(BG762,A711:A1705,AB711:AB1705)</f>
        <v>#NAME?</v>
      </c>
      <c r="BN762" s="146"/>
      <c r="BO762" s="150"/>
      <c r="BQ762" s="153" t="str">
        <f aca="false">IF(VALUE(MONTH(C762))&lt;10,YEAR(C762)&amp;"-0"&amp;MONTH(C762),YEAR(C762)&amp;"-"&amp;MONTH(C762))</f>
        <v>1900-01</v>
      </c>
      <c r="BR762" s="153" t="n">
        <f aca="false">J762</f>
        <v>0</v>
      </c>
      <c r="BS762" s="153" t="n">
        <f aca="false">IF(ISNUMBER(FIND("-", BR762)), LEFT(BR762, FIND("-", BR762) - 1), BR762)</f>
        <v>0</v>
      </c>
      <c r="BT762" s="189" t="n">
        <f aca="false">L762-M762+O762</f>
        <v>0</v>
      </c>
    </row>
    <row r="763" s="153" customFormat="true" ht="15" hidden="false" customHeight="false" outlineLevel="0" collapsed="false">
      <c r="AN763" s="153" t="e">
        <v>#NAME?</v>
      </c>
      <c r="AO763" s="153" t="e">
        <f aca="false">_xlfn.xlookup(AN763,A:A,F:F)</f>
        <v>#NAME?</v>
      </c>
      <c r="AP763" s="153" t="e">
        <f aca="false">_xlfn.xlookup(AN763,A:A,J:J)</f>
        <v>#NAME?</v>
      </c>
      <c r="AQ763" s="153" t="e">
        <f aca="false">_xlfn.xlookup(AN763,A:A,N:N)+_xlfn.xlookup(AN763,A:A,O:O)</f>
        <v>#NAME?</v>
      </c>
      <c r="AR763" s="150" t="e">
        <f aca="false">_xlfn.xlookup(AN763,A:A,AH:AH)</f>
        <v>#NAME?</v>
      </c>
      <c r="AS763" s="150" t="e">
        <f aca="false">_xlfn.xlookup(AN763,A:A,S:S)</f>
        <v>#NAME?</v>
      </c>
      <c r="AT763" s="150" t="e">
        <f aca="false">_xlfn.xlookup(AN763,A:A,AE:AE)</f>
        <v>#NAME?</v>
      </c>
      <c r="AU763" s="150" t="e">
        <f aca="false">_xlfn.xlookup(AN763,A:A,AF:AF)</f>
        <v>#NAME?</v>
      </c>
      <c r="AX763" s="146"/>
      <c r="AY763" s="150"/>
      <c r="AZ763" s="150"/>
      <c r="BA763" s="150"/>
      <c r="BB763" s="146"/>
      <c r="BC763" s="146"/>
      <c r="BD763" s="151"/>
      <c r="BE763" s="146"/>
      <c r="BF763" s="146"/>
      <c r="BH763" s="152" t="e">
        <f aca="false">_xlfn.xlookup(BG763,A:A,F:F)</f>
        <v>#NAME?</v>
      </c>
      <c r="BI763" s="153" t="e">
        <f aca="false">_xlfn.xlookup(BG763,A:A,J:J)</f>
        <v>#NAME?</v>
      </c>
      <c r="BJ763" s="153" t="e">
        <f aca="false">_xlfn.xlookup(BG763,A:A,N:N)+_xlfn.xlookup(BG763,A:A,O:O)</f>
        <v>#NAME?</v>
      </c>
      <c r="BK763" s="153" t="e">
        <f aca="false">_xlfn.xlookup(BG763,A712:A1706,AB712:AB1706)</f>
        <v>#NAME?</v>
      </c>
      <c r="BN763" s="146"/>
      <c r="BO763" s="150"/>
      <c r="BQ763" s="153" t="str">
        <f aca="false">IF(VALUE(MONTH(C763))&lt;10,YEAR(C763)&amp;"-0"&amp;MONTH(C763),YEAR(C763)&amp;"-"&amp;MONTH(C763))</f>
        <v>1900-01</v>
      </c>
      <c r="BR763" s="153" t="n">
        <f aca="false">J763</f>
        <v>0</v>
      </c>
      <c r="BS763" s="153" t="n">
        <f aca="false">IF(ISNUMBER(FIND("-", BR763)), LEFT(BR763, FIND("-", BR763) - 1), BR763)</f>
        <v>0</v>
      </c>
      <c r="BT763" s="189" t="n">
        <f aca="false">L763-M763+O763</f>
        <v>0</v>
      </c>
    </row>
    <row r="764" s="153" customFormat="true" ht="15" hidden="false" customHeight="false" outlineLevel="0" collapsed="false">
      <c r="AN764" s="153" t="e">
        <v>#NAME?</v>
      </c>
      <c r="AO764" s="153" t="e">
        <f aca="false">_xlfn.xlookup(AN764,A:A,F:F)</f>
        <v>#NAME?</v>
      </c>
      <c r="AP764" s="153" t="e">
        <f aca="false">_xlfn.xlookup(AN764,A:A,J:J)</f>
        <v>#NAME?</v>
      </c>
      <c r="AQ764" s="153" t="e">
        <f aca="false">_xlfn.xlookup(AN764,A:A,N:N)+_xlfn.xlookup(AN764,A:A,O:O)</f>
        <v>#NAME?</v>
      </c>
      <c r="AR764" s="150" t="e">
        <f aca="false">_xlfn.xlookup(AN764,A:A,AH:AH)</f>
        <v>#NAME?</v>
      </c>
      <c r="AS764" s="150" t="e">
        <f aca="false">_xlfn.xlookup(AN764,A:A,S:S)</f>
        <v>#NAME?</v>
      </c>
      <c r="AT764" s="150" t="e">
        <f aca="false">_xlfn.xlookup(AN764,A:A,AE:AE)</f>
        <v>#NAME?</v>
      </c>
      <c r="AU764" s="150" t="e">
        <f aca="false">_xlfn.xlookup(AN764,A:A,AF:AF)</f>
        <v>#NAME?</v>
      </c>
      <c r="AX764" s="146"/>
      <c r="AY764" s="150"/>
      <c r="AZ764" s="150"/>
      <c r="BA764" s="150"/>
      <c r="BB764" s="146"/>
      <c r="BC764" s="146"/>
      <c r="BD764" s="151"/>
      <c r="BE764" s="146"/>
      <c r="BF764" s="146"/>
      <c r="BH764" s="152" t="e">
        <f aca="false">_xlfn.xlookup(BG764,A:A,F:F)</f>
        <v>#NAME?</v>
      </c>
      <c r="BI764" s="153" t="e">
        <f aca="false">_xlfn.xlookup(BG764,A:A,J:J)</f>
        <v>#NAME?</v>
      </c>
      <c r="BJ764" s="153" t="e">
        <f aca="false">_xlfn.xlookup(BG764,A:A,N:N)+_xlfn.xlookup(BG764,A:A,O:O)</f>
        <v>#NAME?</v>
      </c>
      <c r="BK764" s="153" t="e">
        <f aca="false">_xlfn.xlookup(BG764,A713:A1707,AB713:AB1707)</f>
        <v>#NAME?</v>
      </c>
      <c r="BN764" s="146"/>
      <c r="BO764" s="150"/>
      <c r="BQ764" s="153" t="str">
        <f aca="false">IF(VALUE(MONTH(C764))&lt;10,YEAR(C764)&amp;"-0"&amp;MONTH(C764),YEAR(C764)&amp;"-"&amp;MONTH(C764))</f>
        <v>1900-01</v>
      </c>
      <c r="BR764" s="153" t="n">
        <f aca="false">J764</f>
        <v>0</v>
      </c>
      <c r="BS764" s="153" t="n">
        <f aca="false">IF(ISNUMBER(FIND("-", BR764)), LEFT(BR764, FIND("-", BR764) - 1), BR764)</f>
        <v>0</v>
      </c>
      <c r="BT764" s="189" t="n">
        <f aca="false">L764-M764+O764</f>
        <v>0</v>
      </c>
    </row>
    <row r="765" s="153" customFormat="true" ht="15" hidden="false" customHeight="false" outlineLevel="0" collapsed="false">
      <c r="AN765" s="153" t="e">
        <v>#NAME?</v>
      </c>
      <c r="AO765" s="153" t="e">
        <f aca="false">_xlfn.xlookup(AN765,A:A,F:F)</f>
        <v>#NAME?</v>
      </c>
      <c r="AP765" s="153" t="e">
        <f aca="false">_xlfn.xlookup(AN765,A:A,J:J)</f>
        <v>#NAME?</v>
      </c>
      <c r="AQ765" s="153" t="e">
        <f aca="false">_xlfn.xlookup(AN765,A:A,N:N)+_xlfn.xlookup(AN765,A:A,O:O)</f>
        <v>#NAME?</v>
      </c>
      <c r="AR765" s="150" t="e">
        <f aca="false">_xlfn.xlookup(AN765,A:A,AH:AH)</f>
        <v>#NAME?</v>
      </c>
      <c r="AS765" s="150" t="e">
        <f aca="false">_xlfn.xlookup(AN765,A:A,S:S)</f>
        <v>#NAME?</v>
      </c>
      <c r="AT765" s="150" t="e">
        <f aca="false">_xlfn.xlookup(AN765,A:A,AE:AE)</f>
        <v>#NAME?</v>
      </c>
      <c r="AU765" s="150" t="e">
        <f aca="false">_xlfn.xlookup(AN765,A:A,AF:AF)</f>
        <v>#NAME?</v>
      </c>
      <c r="AX765" s="146"/>
      <c r="AY765" s="150"/>
      <c r="AZ765" s="150"/>
      <c r="BA765" s="150"/>
      <c r="BB765" s="146"/>
      <c r="BC765" s="146"/>
      <c r="BD765" s="151"/>
      <c r="BE765" s="146"/>
      <c r="BF765" s="146"/>
      <c r="BH765" s="152" t="e">
        <f aca="false">_xlfn.xlookup(BG765,A:A,F:F)</f>
        <v>#NAME?</v>
      </c>
      <c r="BI765" s="153" t="e">
        <f aca="false">_xlfn.xlookup(BG765,A:A,J:J)</f>
        <v>#NAME?</v>
      </c>
      <c r="BJ765" s="153" t="e">
        <f aca="false">_xlfn.xlookup(BG765,A:A,N:N)+_xlfn.xlookup(BG765,A:A,O:O)</f>
        <v>#NAME?</v>
      </c>
      <c r="BK765" s="153" t="e">
        <f aca="false">_xlfn.xlookup(BG765,A714:A1708,AB714:AB1708)</f>
        <v>#NAME?</v>
      </c>
      <c r="BN765" s="146"/>
      <c r="BO765" s="150"/>
      <c r="BQ765" s="153" t="str">
        <f aca="false">IF(VALUE(MONTH(C765))&lt;10,YEAR(C765)&amp;"-0"&amp;MONTH(C765),YEAR(C765)&amp;"-"&amp;MONTH(C765))</f>
        <v>1900-01</v>
      </c>
      <c r="BR765" s="153" t="n">
        <f aca="false">J765</f>
        <v>0</v>
      </c>
      <c r="BS765" s="153" t="n">
        <f aca="false">IF(ISNUMBER(FIND("-", BR765)), LEFT(BR765, FIND("-", BR765) - 1), BR765)</f>
        <v>0</v>
      </c>
      <c r="BT765" s="189" t="n">
        <f aca="false">L765-M765+O765</f>
        <v>0</v>
      </c>
    </row>
    <row r="766" s="153" customFormat="true" ht="15" hidden="false" customHeight="false" outlineLevel="0" collapsed="false">
      <c r="AN766" s="153" t="e">
        <v>#NAME?</v>
      </c>
      <c r="AO766" s="153" t="e">
        <f aca="false">_xlfn.xlookup(AN766,A:A,F:F)</f>
        <v>#NAME?</v>
      </c>
      <c r="AP766" s="153" t="e">
        <f aca="false">_xlfn.xlookup(AN766,A:A,J:J)</f>
        <v>#NAME?</v>
      </c>
      <c r="AQ766" s="153" t="e">
        <f aca="false">_xlfn.xlookup(AN766,A:A,N:N)+_xlfn.xlookup(AN766,A:A,O:O)</f>
        <v>#NAME?</v>
      </c>
      <c r="AR766" s="150" t="e">
        <f aca="false">_xlfn.xlookup(AN766,A:A,AH:AH)</f>
        <v>#NAME?</v>
      </c>
      <c r="AS766" s="150" t="e">
        <f aca="false">_xlfn.xlookup(AN766,A:A,S:S)</f>
        <v>#NAME?</v>
      </c>
      <c r="AT766" s="150" t="e">
        <f aca="false">_xlfn.xlookup(AN766,A:A,AE:AE)</f>
        <v>#NAME?</v>
      </c>
      <c r="AU766" s="150" t="e">
        <f aca="false">_xlfn.xlookup(AN766,A:A,AF:AF)</f>
        <v>#NAME?</v>
      </c>
      <c r="AX766" s="146"/>
      <c r="AY766" s="150"/>
      <c r="AZ766" s="150"/>
      <c r="BA766" s="150"/>
      <c r="BB766" s="146"/>
      <c r="BC766" s="146"/>
      <c r="BD766" s="151"/>
      <c r="BE766" s="146"/>
      <c r="BF766" s="146"/>
      <c r="BH766" s="152" t="e">
        <f aca="false">_xlfn.xlookup(BG766,A:A,F:F)</f>
        <v>#NAME?</v>
      </c>
      <c r="BI766" s="153" t="e">
        <f aca="false">_xlfn.xlookup(BG766,A:A,J:J)</f>
        <v>#NAME?</v>
      </c>
      <c r="BJ766" s="153" t="e">
        <f aca="false">_xlfn.xlookup(BG766,A:A,N:N)+_xlfn.xlookup(BG766,A:A,O:O)</f>
        <v>#NAME?</v>
      </c>
      <c r="BK766" s="153" t="e">
        <f aca="false">_xlfn.xlookup(BG766,A715:A1709,AB715:AB1709)</f>
        <v>#NAME?</v>
      </c>
      <c r="BN766" s="146"/>
      <c r="BO766" s="150"/>
      <c r="BQ766" s="153" t="str">
        <f aca="false">IF(VALUE(MONTH(C766))&lt;10,YEAR(C766)&amp;"-0"&amp;MONTH(C766),YEAR(C766)&amp;"-"&amp;MONTH(C766))</f>
        <v>1900-01</v>
      </c>
      <c r="BR766" s="153" t="n">
        <f aca="false">J766</f>
        <v>0</v>
      </c>
      <c r="BS766" s="153" t="n">
        <f aca="false">IF(ISNUMBER(FIND("-", BR766)), LEFT(BR766, FIND("-", BR766) - 1), BR766)</f>
        <v>0</v>
      </c>
      <c r="BT766" s="189" t="n">
        <f aca="false">L766-M766+O766</f>
        <v>0</v>
      </c>
    </row>
    <row r="767" s="153" customFormat="true" ht="15" hidden="false" customHeight="false" outlineLevel="0" collapsed="false">
      <c r="AN767" s="153" t="e">
        <v>#NAME?</v>
      </c>
      <c r="AO767" s="153" t="e">
        <f aca="false">_xlfn.xlookup(AN767,A:A,F:F)</f>
        <v>#NAME?</v>
      </c>
      <c r="AP767" s="153" t="e">
        <f aca="false">_xlfn.xlookup(AN767,A:A,J:J)</f>
        <v>#NAME?</v>
      </c>
      <c r="AQ767" s="153" t="e">
        <f aca="false">_xlfn.xlookup(AN767,A:A,N:N)+_xlfn.xlookup(AN767,A:A,O:O)</f>
        <v>#NAME?</v>
      </c>
      <c r="AR767" s="150" t="e">
        <f aca="false">_xlfn.xlookup(AN767,A:A,AH:AH)</f>
        <v>#NAME?</v>
      </c>
      <c r="AS767" s="150" t="e">
        <f aca="false">_xlfn.xlookup(AN767,A:A,S:S)</f>
        <v>#NAME?</v>
      </c>
      <c r="AT767" s="150" t="e">
        <f aca="false">_xlfn.xlookup(AN767,A:A,AE:AE)</f>
        <v>#NAME?</v>
      </c>
      <c r="AU767" s="150" t="e">
        <f aca="false">_xlfn.xlookup(AN767,A:A,AF:AF)</f>
        <v>#NAME?</v>
      </c>
      <c r="AX767" s="146"/>
      <c r="AY767" s="150"/>
      <c r="AZ767" s="150"/>
      <c r="BA767" s="150"/>
      <c r="BB767" s="146"/>
      <c r="BC767" s="146"/>
      <c r="BD767" s="151"/>
      <c r="BE767" s="146"/>
      <c r="BF767" s="146"/>
      <c r="BH767" s="152" t="e">
        <f aca="false">_xlfn.xlookup(BG767,A:A,F:F)</f>
        <v>#NAME?</v>
      </c>
      <c r="BI767" s="153" t="e">
        <f aca="false">_xlfn.xlookup(BG767,A:A,J:J)</f>
        <v>#NAME?</v>
      </c>
      <c r="BJ767" s="153" t="e">
        <f aca="false">_xlfn.xlookup(BG767,A:A,N:N)+_xlfn.xlookup(BG767,A:A,O:O)</f>
        <v>#NAME?</v>
      </c>
      <c r="BK767" s="153" t="e">
        <f aca="false">_xlfn.xlookup(BG767,A716:A1710,AB716:AB1710)</f>
        <v>#NAME?</v>
      </c>
      <c r="BN767" s="146"/>
      <c r="BO767" s="150"/>
      <c r="BQ767" s="153" t="str">
        <f aca="false">IF(VALUE(MONTH(C767))&lt;10,YEAR(C767)&amp;"-0"&amp;MONTH(C767),YEAR(C767)&amp;"-"&amp;MONTH(C767))</f>
        <v>1900-01</v>
      </c>
      <c r="BR767" s="153" t="n">
        <f aca="false">J767</f>
        <v>0</v>
      </c>
      <c r="BS767" s="153" t="n">
        <f aca="false">IF(ISNUMBER(FIND("-", BR767)), LEFT(BR767, FIND("-", BR767) - 1), BR767)</f>
        <v>0</v>
      </c>
      <c r="BT767" s="189" t="n">
        <f aca="false">L767-M767+O767</f>
        <v>0</v>
      </c>
    </row>
    <row r="768" s="153" customFormat="true" ht="15" hidden="false" customHeight="false" outlineLevel="0" collapsed="false">
      <c r="AN768" s="153" t="e">
        <v>#NAME?</v>
      </c>
      <c r="AO768" s="153" t="e">
        <f aca="false">_xlfn.xlookup(AN768,A:A,F:F)</f>
        <v>#NAME?</v>
      </c>
      <c r="AP768" s="153" t="e">
        <f aca="false">_xlfn.xlookup(AN768,A:A,J:J)</f>
        <v>#NAME?</v>
      </c>
      <c r="AQ768" s="153" t="e">
        <f aca="false">_xlfn.xlookup(AN768,A:A,N:N)+_xlfn.xlookup(AN768,A:A,O:O)</f>
        <v>#NAME?</v>
      </c>
      <c r="AR768" s="150" t="e">
        <f aca="false">_xlfn.xlookup(AN768,A:A,AH:AH)</f>
        <v>#NAME?</v>
      </c>
      <c r="AS768" s="150" t="e">
        <f aca="false">_xlfn.xlookup(AN768,A:A,S:S)</f>
        <v>#NAME?</v>
      </c>
      <c r="AT768" s="150" t="e">
        <f aca="false">_xlfn.xlookup(AN768,A:A,AE:AE)</f>
        <v>#NAME?</v>
      </c>
      <c r="AU768" s="150" t="e">
        <f aca="false">_xlfn.xlookup(AN768,A:A,AF:AF)</f>
        <v>#NAME?</v>
      </c>
      <c r="AX768" s="146"/>
      <c r="AY768" s="150"/>
      <c r="AZ768" s="150"/>
      <c r="BA768" s="150"/>
      <c r="BB768" s="146"/>
      <c r="BC768" s="146"/>
      <c r="BD768" s="151"/>
      <c r="BE768" s="146"/>
      <c r="BF768" s="146"/>
      <c r="BH768" s="152" t="e">
        <f aca="false">_xlfn.xlookup(BG768,A:A,F:F)</f>
        <v>#NAME?</v>
      </c>
      <c r="BI768" s="153" t="e">
        <f aca="false">_xlfn.xlookup(BG768,A:A,J:J)</f>
        <v>#NAME?</v>
      </c>
      <c r="BJ768" s="153" t="e">
        <f aca="false">_xlfn.xlookup(BG768,A:A,N:N)+_xlfn.xlookup(BG768,A:A,O:O)</f>
        <v>#NAME?</v>
      </c>
      <c r="BK768" s="153" t="e">
        <f aca="false">_xlfn.xlookup(BG768,A717:A1711,AB717:AB1711)</f>
        <v>#NAME?</v>
      </c>
      <c r="BN768" s="146"/>
      <c r="BO768" s="150"/>
      <c r="BQ768" s="153" t="str">
        <f aca="false">IF(VALUE(MONTH(C768))&lt;10,YEAR(C768)&amp;"-0"&amp;MONTH(C768),YEAR(C768)&amp;"-"&amp;MONTH(C768))</f>
        <v>1900-01</v>
      </c>
      <c r="BR768" s="153" t="n">
        <f aca="false">J768</f>
        <v>0</v>
      </c>
      <c r="BS768" s="153" t="n">
        <f aca="false">IF(ISNUMBER(FIND("-", BR768)), LEFT(BR768, FIND("-", BR768) - 1), BR768)</f>
        <v>0</v>
      </c>
      <c r="BT768" s="189" t="n">
        <f aca="false">L768-M768+O768</f>
        <v>0</v>
      </c>
    </row>
    <row r="769" s="153" customFormat="true" ht="15" hidden="false" customHeight="false" outlineLevel="0" collapsed="false">
      <c r="AN769" s="153" t="e">
        <v>#NAME?</v>
      </c>
      <c r="AO769" s="153" t="e">
        <f aca="false">_xlfn.xlookup(AN769,A:A,F:F)</f>
        <v>#NAME?</v>
      </c>
      <c r="AP769" s="153" t="e">
        <f aca="false">_xlfn.xlookup(AN769,A:A,J:J)</f>
        <v>#NAME?</v>
      </c>
      <c r="AQ769" s="153" t="e">
        <f aca="false">_xlfn.xlookup(AN769,A:A,N:N)+_xlfn.xlookup(AN769,A:A,O:O)</f>
        <v>#NAME?</v>
      </c>
      <c r="AR769" s="150" t="e">
        <f aca="false">_xlfn.xlookup(AN769,A:A,AH:AH)</f>
        <v>#NAME?</v>
      </c>
      <c r="AS769" s="150" t="e">
        <f aca="false">_xlfn.xlookup(AN769,A:A,S:S)</f>
        <v>#NAME?</v>
      </c>
      <c r="AT769" s="150" t="e">
        <f aca="false">_xlfn.xlookup(AN769,A:A,AE:AE)</f>
        <v>#NAME?</v>
      </c>
      <c r="AU769" s="150" t="e">
        <f aca="false">_xlfn.xlookup(AN769,A:A,AF:AF)</f>
        <v>#NAME?</v>
      </c>
      <c r="AX769" s="146"/>
      <c r="AY769" s="150"/>
      <c r="AZ769" s="150"/>
      <c r="BA769" s="150"/>
      <c r="BB769" s="146"/>
      <c r="BC769" s="146"/>
      <c r="BD769" s="151"/>
      <c r="BE769" s="146"/>
      <c r="BF769" s="146"/>
      <c r="BH769" s="152" t="e">
        <f aca="false">_xlfn.xlookup(BG769,A:A,F:F)</f>
        <v>#NAME?</v>
      </c>
      <c r="BI769" s="153" t="e">
        <f aca="false">_xlfn.xlookup(BG769,A:A,J:J)</f>
        <v>#NAME?</v>
      </c>
      <c r="BJ769" s="153" t="e">
        <f aca="false">_xlfn.xlookup(BG769,A:A,N:N)+_xlfn.xlookup(BG769,A:A,O:O)</f>
        <v>#NAME?</v>
      </c>
      <c r="BK769" s="153" t="e">
        <f aca="false">_xlfn.xlookup(BG769,A718:A1712,AB718:AB1712)</f>
        <v>#NAME?</v>
      </c>
      <c r="BN769" s="146"/>
      <c r="BO769" s="150"/>
      <c r="BQ769" s="153" t="str">
        <f aca="false">IF(VALUE(MONTH(C769))&lt;10,YEAR(C769)&amp;"-0"&amp;MONTH(C769),YEAR(C769)&amp;"-"&amp;MONTH(C769))</f>
        <v>1900-01</v>
      </c>
      <c r="BR769" s="153" t="n">
        <f aca="false">J769</f>
        <v>0</v>
      </c>
      <c r="BS769" s="153" t="n">
        <f aca="false">IF(ISNUMBER(FIND("-", BR769)), LEFT(BR769, FIND("-", BR769) - 1), BR769)</f>
        <v>0</v>
      </c>
      <c r="BT769" s="189" t="n">
        <f aca="false">L769-M769+O769</f>
        <v>0</v>
      </c>
    </row>
    <row r="770" s="153" customFormat="true" ht="15" hidden="false" customHeight="false" outlineLevel="0" collapsed="false">
      <c r="AN770" s="153" t="e">
        <v>#NAME?</v>
      </c>
      <c r="AO770" s="153" t="e">
        <f aca="false">_xlfn.xlookup(AN770,A:A,F:F)</f>
        <v>#NAME?</v>
      </c>
      <c r="AP770" s="153" t="e">
        <f aca="false">_xlfn.xlookup(AN770,A:A,J:J)</f>
        <v>#NAME?</v>
      </c>
      <c r="AQ770" s="153" t="e">
        <f aca="false">_xlfn.xlookup(AN770,A:A,N:N)+_xlfn.xlookup(AN770,A:A,O:O)</f>
        <v>#NAME?</v>
      </c>
      <c r="AR770" s="150" t="e">
        <f aca="false">_xlfn.xlookup(AN770,A:A,AH:AH)</f>
        <v>#NAME?</v>
      </c>
      <c r="AS770" s="150" t="e">
        <f aca="false">_xlfn.xlookup(AN770,A:A,S:S)</f>
        <v>#NAME?</v>
      </c>
      <c r="AT770" s="150" t="e">
        <f aca="false">_xlfn.xlookup(AN770,A:A,AE:AE)</f>
        <v>#NAME?</v>
      </c>
      <c r="AU770" s="150" t="e">
        <f aca="false">_xlfn.xlookup(AN770,A:A,AF:AF)</f>
        <v>#NAME?</v>
      </c>
      <c r="AX770" s="146"/>
      <c r="AY770" s="150"/>
      <c r="AZ770" s="150"/>
      <c r="BA770" s="150"/>
      <c r="BB770" s="146"/>
      <c r="BC770" s="146"/>
      <c r="BD770" s="151"/>
      <c r="BE770" s="146"/>
      <c r="BF770" s="146"/>
      <c r="BH770" s="152" t="e">
        <f aca="false">_xlfn.xlookup(BG770,A:A,F:F)</f>
        <v>#NAME?</v>
      </c>
      <c r="BI770" s="153" t="e">
        <f aca="false">_xlfn.xlookup(BG770,A:A,J:J)</f>
        <v>#NAME?</v>
      </c>
      <c r="BJ770" s="153" t="e">
        <f aca="false">_xlfn.xlookup(BG770,A:A,N:N)+_xlfn.xlookup(BG770,A:A,O:O)</f>
        <v>#NAME?</v>
      </c>
      <c r="BK770" s="153" t="e">
        <f aca="false">_xlfn.xlookup(BG770,A719:A1713,AB719:AB1713)</f>
        <v>#NAME?</v>
      </c>
      <c r="BN770" s="146"/>
      <c r="BO770" s="150"/>
      <c r="BQ770" s="153" t="str">
        <f aca="false">IF(VALUE(MONTH(C770))&lt;10,YEAR(C770)&amp;"-0"&amp;MONTH(C770),YEAR(C770)&amp;"-"&amp;MONTH(C770))</f>
        <v>1900-01</v>
      </c>
      <c r="BR770" s="153" t="n">
        <f aca="false">J770</f>
        <v>0</v>
      </c>
      <c r="BS770" s="153" t="n">
        <f aca="false">IF(ISNUMBER(FIND("-", BR770)), LEFT(BR770, FIND("-", BR770) - 1), BR770)</f>
        <v>0</v>
      </c>
      <c r="BT770" s="189" t="n">
        <f aca="false">L770-M770+O770</f>
        <v>0</v>
      </c>
    </row>
    <row r="771" s="153" customFormat="true" ht="15" hidden="false" customHeight="false" outlineLevel="0" collapsed="false">
      <c r="AN771" s="153" t="e">
        <v>#NAME?</v>
      </c>
      <c r="AO771" s="153" t="e">
        <f aca="false">_xlfn.xlookup(AN771,A:A,F:F)</f>
        <v>#NAME?</v>
      </c>
      <c r="AP771" s="153" t="e">
        <f aca="false">_xlfn.xlookup(AN771,A:A,J:J)</f>
        <v>#NAME?</v>
      </c>
      <c r="AQ771" s="153" t="e">
        <f aca="false">_xlfn.xlookup(AN771,A:A,N:N)+_xlfn.xlookup(AN771,A:A,O:O)</f>
        <v>#NAME?</v>
      </c>
      <c r="AR771" s="150" t="e">
        <f aca="false">_xlfn.xlookup(AN771,A:A,AH:AH)</f>
        <v>#NAME?</v>
      </c>
      <c r="AS771" s="150" t="e">
        <f aca="false">_xlfn.xlookup(AN771,A:A,S:S)</f>
        <v>#NAME?</v>
      </c>
      <c r="AT771" s="150" t="e">
        <f aca="false">_xlfn.xlookup(AN771,A:A,AE:AE)</f>
        <v>#NAME?</v>
      </c>
      <c r="AU771" s="150" t="e">
        <f aca="false">_xlfn.xlookup(AN771,A:A,AF:AF)</f>
        <v>#NAME?</v>
      </c>
      <c r="AX771" s="146"/>
      <c r="AY771" s="150"/>
      <c r="AZ771" s="150"/>
      <c r="BA771" s="150"/>
      <c r="BB771" s="146"/>
      <c r="BC771" s="146"/>
      <c r="BD771" s="151"/>
      <c r="BE771" s="146"/>
      <c r="BF771" s="146"/>
      <c r="BH771" s="152" t="e">
        <f aca="false">_xlfn.xlookup(BG771,A:A,F:F)</f>
        <v>#NAME?</v>
      </c>
      <c r="BI771" s="153" t="e">
        <f aca="false">_xlfn.xlookup(BG771,A:A,J:J)</f>
        <v>#NAME?</v>
      </c>
      <c r="BJ771" s="153" t="e">
        <f aca="false">_xlfn.xlookup(BG771,A:A,N:N)+_xlfn.xlookup(BG771,A:A,O:O)</f>
        <v>#NAME?</v>
      </c>
      <c r="BK771" s="153" t="e">
        <f aca="false">_xlfn.xlookup(BG771,A720:A1714,AB720:AB1714)</f>
        <v>#NAME?</v>
      </c>
      <c r="BN771" s="146"/>
      <c r="BO771" s="150"/>
      <c r="BQ771" s="153" t="str">
        <f aca="false">IF(VALUE(MONTH(C771))&lt;10,YEAR(C771)&amp;"-0"&amp;MONTH(C771),YEAR(C771)&amp;"-"&amp;MONTH(C771))</f>
        <v>1900-01</v>
      </c>
      <c r="BR771" s="153" t="n">
        <f aca="false">J771</f>
        <v>0</v>
      </c>
      <c r="BS771" s="153" t="n">
        <f aca="false">IF(ISNUMBER(FIND("-", BR771)), LEFT(BR771, FIND("-", BR771) - 1), BR771)</f>
        <v>0</v>
      </c>
      <c r="BT771" s="189" t="n">
        <f aca="false">L771-M771+O771</f>
        <v>0</v>
      </c>
    </row>
    <row r="772" s="153" customFormat="true" ht="15" hidden="false" customHeight="false" outlineLevel="0" collapsed="false">
      <c r="AN772" s="153" t="e">
        <v>#NAME?</v>
      </c>
      <c r="AO772" s="153" t="e">
        <f aca="false">_xlfn.xlookup(AN772,A:A,F:F)</f>
        <v>#NAME?</v>
      </c>
      <c r="AP772" s="153" t="e">
        <f aca="false">_xlfn.xlookup(AN772,A:A,J:J)</f>
        <v>#NAME?</v>
      </c>
      <c r="AQ772" s="153" t="e">
        <f aca="false">_xlfn.xlookup(AN772,A:A,N:N)+_xlfn.xlookup(AN772,A:A,O:O)</f>
        <v>#NAME?</v>
      </c>
      <c r="AR772" s="150" t="e">
        <f aca="false">_xlfn.xlookup(AN772,A:A,AH:AH)</f>
        <v>#NAME?</v>
      </c>
      <c r="AS772" s="150" t="e">
        <f aca="false">_xlfn.xlookup(AN772,A:A,S:S)</f>
        <v>#NAME?</v>
      </c>
      <c r="AT772" s="150" t="e">
        <f aca="false">_xlfn.xlookup(AN772,A:A,AE:AE)</f>
        <v>#NAME?</v>
      </c>
      <c r="AU772" s="150" t="e">
        <f aca="false">_xlfn.xlookup(AN772,A:A,AF:AF)</f>
        <v>#NAME?</v>
      </c>
      <c r="AX772" s="146"/>
      <c r="AY772" s="150"/>
      <c r="AZ772" s="150"/>
      <c r="BA772" s="150"/>
      <c r="BB772" s="146"/>
      <c r="BC772" s="146"/>
      <c r="BD772" s="151"/>
      <c r="BE772" s="146"/>
      <c r="BF772" s="146"/>
      <c r="BH772" s="152" t="e">
        <f aca="false">_xlfn.xlookup(BG772,A:A,F:F)</f>
        <v>#NAME?</v>
      </c>
      <c r="BI772" s="153" t="e">
        <f aca="false">_xlfn.xlookup(BG772,A:A,J:J)</f>
        <v>#NAME?</v>
      </c>
      <c r="BJ772" s="153" t="e">
        <f aca="false">_xlfn.xlookup(BG772,A:A,N:N)+_xlfn.xlookup(BG772,A:A,O:O)</f>
        <v>#NAME?</v>
      </c>
      <c r="BK772" s="153" t="e">
        <f aca="false">_xlfn.xlookup(BG772,A721:A1715,AB721:AB1715)</f>
        <v>#NAME?</v>
      </c>
      <c r="BN772" s="146"/>
      <c r="BO772" s="150"/>
      <c r="BQ772" s="153" t="str">
        <f aca="false">IF(VALUE(MONTH(C772))&lt;10,YEAR(C772)&amp;"-0"&amp;MONTH(C772),YEAR(C772)&amp;"-"&amp;MONTH(C772))</f>
        <v>1900-01</v>
      </c>
      <c r="BR772" s="153" t="n">
        <f aca="false">J772</f>
        <v>0</v>
      </c>
      <c r="BS772" s="153" t="n">
        <f aca="false">IF(ISNUMBER(FIND("-", BR772)), LEFT(BR772, FIND("-", BR772) - 1), BR772)</f>
        <v>0</v>
      </c>
      <c r="BT772" s="189" t="n">
        <f aca="false">L772-M772+O772</f>
        <v>0</v>
      </c>
    </row>
    <row r="773" s="153" customFormat="true" ht="15" hidden="false" customHeight="false" outlineLevel="0" collapsed="false">
      <c r="AN773" s="153" t="e">
        <v>#NAME?</v>
      </c>
      <c r="AO773" s="153" t="e">
        <f aca="false">_xlfn.xlookup(AN773,A:A,F:F)</f>
        <v>#NAME?</v>
      </c>
      <c r="AP773" s="153" t="e">
        <f aca="false">_xlfn.xlookup(AN773,A:A,J:J)</f>
        <v>#NAME?</v>
      </c>
      <c r="AQ773" s="153" t="e">
        <f aca="false">_xlfn.xlookup(AN773,A:A,N:N)+_xlfn.xlookup(AN773,A:A,O:O)</f>
        <v>#NAME?</v>
      </c>
      <c r="AR773" s="150" t="e">
        <f aca="false">_xlfn.xlookup(AN773,A:A,AH:AH)</f>
        <v>#NAME?</v>
      </c>
      <c r="AS773" s="150" t="e">
        <f aca="false">_xlfn.xlookup(AN773,A:A,S:S)</f>
        <v>#NAME?</v>
      </c>
      <c r="AT773" s="150" t="e">
        <f aca="false">_xlfn.xlookup(AN773,A:A,AE:AE)</f>
        <v>#NAME?</v>
      </c>
      <c r="AU773" s="150" t="e">
        <f aca="false">_xlfn.xlookup(AN773,A:A,AF:AF)</f>
        <v>#NAME?</v>
      </c>
      <c r="AX773" s="146"/>
      <c r="AY773" s="150"/>
      <c r="AZ773" s="150"/>
      <c r="BA773" s="150"/>
      <c r="BB773" s="146"/>
      <c r="BC773" s="146"/>
      <c r="BD773" s="151"/>
      <c r="BE773" s="146"/>
      <c r="BF773" s="146"/>
      <c r="BH773" s="152" t="e">
        <f aca="false">_xlfn.xlookup(BG773,A:A,F:F)</f>
        <v>#NAME?</v>
      </c>
      <c r="BI773" s="153" t="e">
        <f aca="false">_xlfn.xlookup(BG773,A:A,J:J)</f>
        <v>#NAME?</v>
      </c>
      <c r="BJ773" s="153" t="e">
        <f aca="false">_xlfn.xlookup(BG773,A:A,N:N)+_xlfn.xlookup(BG773,A:A,O:O)</f>
        <v>#NAME?</v>
      </c>
      <c r="BK773" s="153" t="e">
        <f aca="false">_xlfn.xlookup(BG773,A722:A1716,AB722:AB1716)</f>
        <v>#NAME?</v>
      </c>
      <c r="BN773" s="146"/>
      <c r="BO773" s="150"/>
      <c r="BQ773" s="153" t="str">
        <f aca="false">IF(VALUE(MONTH(C773))&lt;10,YEAR(C773)&amp;"-0"&amp;MONTH(C773),YEAR(C773)&amp;"-"&amp;MONTH(C773))</f>
        <v>1900-01</v>
      </c>
      <c r="BR773" s="153" t="n">
        <f aca="false">J773</f>
        <v>0</v>
      </c>
      <c r="BS773" s="153" t="n">
        <f aca="false">IF(ISNUMBER(FIND("-", BR773)), LEFT(BR773, FIND("-", BR773) - 1), BR773)</f>
        <v>0</v>
      </c>
      <c r="BT773" s="189" t="n">
        <f aca="false">L773-M773+O773</f>
        <v>0</v>
      </c>
    </row>
    <row r="774" s="153" customFormat="true" ht="15" hidden="false" customHeight="false" outlineLevel="0" collapsed="false">
      <c r="AN774" s="153" t="e">
        <v>#NAME?</v>
      </c>
      <c r="AO774" s="153" t="e">
        <f aca="false">_xlfn.xlookup(AN774,A:A,F:F)</f>
        <v>#NAME?</v>
      </c>
      <c r="AP774" s="153" t="e">
        <f aca="false">_xlfn.xlookup(AN774,A:A,J:J)</f>
        <v>#NAME?</v>
      </c>
      <c r="AQ774" s="153" t="e">
        <f aca="false">_xlfn.xlookup(AN774,A:A,N:N)+_xlfn.xlookup(AN774,A:A,O:O)</f>
        <v>#NAME?</v>
      </c>
      <c r="AR774" s="150" t="e">
        <f aca="false">_xlfn.xlookup(AN774,A:A,AH:AH)</f>
        <v>#NAME?</v>
      </c>
      <c r="AS774" s="150" t="e">
        <f aca="false">_xlfn.xlookup(AN774,A:A,S:S)</f>
        <v>#NAME?</v>
      </c>
      <c r="AT774" s="150" t="e">
        <f aca="false">_xlfn.xlookup(AN774,A:A,AE:AE)</f>
        <v>#NAME?</v>
      </c>
      <c r="AU774" s="150" t="e">
        <f aca="false">_xlfn.xlookup(AN774,A:A,AF:AF)</f>
        <v>#NAME?</v>
      </c>
      <c r="AX774" s="146"/>
      <c r="AY774" s="150"/>
      <c r="AZ774" s="150"/>
      <c r="BA774" s="150"/>
      <c r="BB774" s="146"/>
      <c r="BC774" s="146"/>
      <c r="BD774" s="151"/>
      <c r="BE774" s="146"/>
      <c r="BF774" s="146"/>
      <c r="BH774" s="152" t="e">
        <f aca="false">_xlfn.xlookup(BG774,A:A,F:F)</f>
        <v>#NAME?</v>
      </c>
      <c r="BI774" s="153" t="e">
        <f aca="false">_xlfn.xlookup(BG774,A:A,J:J)</f>
        <v>#NAME?</v>
      </c>
      <c r="BJ774" s="153" t="e">
        <f aca="false">_xlfn.xlookup(BG774,A:A,N:N)+_xlfn.xlookup(BG774,A:A,O:O)</f>
        <v>#NAME?</v>
      </c>
      <c r="BK774" s="153" t="e">
        <f aca="false">_xlfn.xlookup(BG774,A723:A1717,AB723:AB1717)</f>
        <v>#NAME?</v>
      </c>
      <c r="BN774" s="146"/>
      <c r="BO774" s="150"/>
      <c r="BQ774" s="153" t="str">
        <f aca="false">IF(VALUE(MONTH(C774))&lt;10,YEAR(C774)&amp;"-0"&amp;MONTH(C774),YEAR(C774)&amp;"-"&amp;MONTH(C774))</f>
        <v>1900-01</v>
      </c>
      <c r="BR774" s="153" t="n">
        <f aca="false">J774</f>
        <v>0</v>
      </c>
      <c r="BS774" s="153" t="n">
        <f aca="false">IF(ISNUMBER(FIND("-", BR774)), LEFT(BR774, FIND("-", BR774) - 1), BR774)</f>
        <v>0</v>
      </c>
      <c r="BT774" s="189" t="n">
        <f aca="false">L774-M774+O774</f>
        <v>0</v>
      </c>
    </row>
    <row r="775" s="153" customFormat="true" ht="15" hidden="false" customHeight="false" outlineLevel="0" collapsed="false">
      <c r="AN775" s="153" t="e">
        <v>#NAME?</v>
      </c>
      <c r="AO775" s="153" t="e">
        <f aca="false">_xlfn.xlookup(AN775,A:A,F:F)</f>
        <v>#NAME?</v>
      </c>
      <c r="AP775" s="153" t="e">
        <f aca="false">_xlfn.xlookup(AN775,A:A,J:J)</f>
        <v>#NAME?</v>
      </c>
      <c r="AQ775" s="153" t="e">
        <f aca="false">_xlfn.xlookup(AN775,A:A,N:N)+_xlfn.xlookup(AN775,A:A,O:O)</f>
        <v>#NAME?</v>
      </c>
      <c r="AR775" s="150" t="e">
        <f aca="false">_xlfn.xlookup(AN775,A:A,AH:AH)</f>
        <v>#NAME?</v>
      </c>
      <c r="AS775" s="150" t="e">
        <f aca="false">_xlfn.xlookup(AN775,A:A,S:S)</f>
        <v>#NAME?</v>
      </c>
      <c r="AT775" s="150" t="e">
        <f aca="false">_xlfn.xlookup(AN775,A:A,AE:AE)</f>
        <v>#NAME?</v>
      </c>
      <c r="AU775" s="150" t="e">
        <f aca="false">_xlfn.xlookup(AN775,A:A,AF:AF)</f>
        <v>#NAME?</v>
      </c>
      <c r="AX775" s="146"/>
      <c r="AY775" s="150"/>
      <c r="AZ775" s="150"/>
      <c r="BA775" s="150"/>
      <c r="BB775" s="146"/>
      <c r="BC775" s="146"/>
      <c r="BD775" s="151"/>
      <c r="BE775" s="146"/>
      <c r="BF775" s="146"/>
      <c r="BH775" s="152" t="e">
        <f aca="false">_xlfn.xlookup(BG775,A:A,F:F)</f>
        <v>#NAME?</v>
      </c>
      <c r="BI775" s="153" t="e">
        <f aca="false">_xlfn.xlookup(BG775,A:A,J:J)</f>
        <v>#NAME?</v>
      </c>
      <c r="BJ775" s="153" t="e">
        <f aca="false">_xlfn.xlookup(BG775,A:A,N:N)+_xlfn.xlookup(BG775,A:A,O:O)</f>
        <v>#NAME?</v>
      </c>
      <c r="BK775" s="153" t="e">
        <f aca="false">_xlfn.xlookup(BG775,A724:A1718,AB724:AB1718)</f>
        <v>#NAME?</v>
      </c>
      <c r="BN775" s="146"/>
      <c r="BO775" s="150"/>
      <c r="BQ775" s="153" t="str">
        <f aca="false">IF(VALUE(MONTH(C775))&lt;10,YEAR(C775)&amp;"-0"&amp;MONTH(C775),YEAR(C775)&amp;"-"&amp;MONTH(C775))</f>
        <v>1900-01</v>
      </c>
      <c r="BR775" s="153" t="n">
        <f aca="false">J775</f>
        <v>0</v>
      </c>
      <c r="BS775" s="153" t="n">
        <f aca="false">IF(ISNUMBER(FIND("-", BR775)), LEFT(BR775, FIND("-", BR775) - 1), BR775)</f>
        <v>0</v>
      </c>
      <c r="BT775" s="189" t="n">
        <f aca="false">L775-M775+O775</f>
        <v>0</v>
      </c>
    </row>
    <row r="776" s="153" customFormat="true" ht="15" hidden="false" customHeight="false" outlineLevel="0" collapsed="false">
      <c r="AN776" s="153" t="e">
        <v>#NAME?</v>
      </c>
      <c r="AO776" s="153" t="e">
        <f aca="false">_xlfn.xlookup(AN776,A:A,F:F)</f>
        <v>#NAME?</v>
      </c>
      <c r="AP776" s="153" t="e">
        <f aca="false">_xlfn.xlookup(AN776,A:A,J:J)</f>
        <v>#NAME?</v>
      </c>
      <c r="AQ776" s="153" t="e">
        <f aca="false">_xlfn.xlookup(AN776,A:A,N:N)+_xlfn.xlookup(AN776,A:A,O:O)</f>
        <v>#NAME?</v>
      </c>
      <c r="AR776" s="150" t="e">
        <f aca="false">_xlfn.xlookup(AN776,A:A,AH:AH)</f>
        <v>#NAME?</v>
      </c>
      <c r="AS776" s="150" t="e">
        <f aca="false">_xlfn.xlookup(AN776,A:A,S:S)</f>
        <v>#NAME?</v>
      </c>
      <c r="AT776" s="150" t="e">
        <f aca="false">_xlfn.xlookup(AN776,A:A,AE:AE)</f>
        <v>#NAME?</v>
      </c>
      <c r="AU776" s="150" t="e">
        <f aca="false">_xlfn.xlookup(AN776,A:A,AF:AF)</f>
        <v>#NAME?</v>
      </c>
      <c r="AX776" s="146"/>
      <c r="AY776" s="150"/>
      <c r="AZ776" s="150"/>
      <c r="BA776" s="150"/>
      <c r="BB776" s="146"/>
      <c r="BC776" s="146"/>
      <c r="BD776" s="151"/>
      <c r="BE776" s="146"/>
      <c r="BF776" s="146"/>
      <c r="BH776" s="152" t="e">
        <f aca="false">_xlfn.xlookup(BG776,A:A,F:F)</f>
        <v>#NAME?</v>
      </c>
      <c r="BI776" s="153" t="e">
        <f aca="false">_xlfn.xlookup(BG776,A:A,J:J)</f>
        <v>#NAME?</v>
      </c>
      <c r="BJ776" s="153" t="e">
        <f aca="false">_xlfn.xlookup(BG776,A:A,N:N)+_xlfn.xlookup(BG776,A:A,O:O)</f>
        <v>#NAME?</v>
      </c>
      <c r="BK776" s="153" t="e">
        <f aca="false">_xlfn.xlookup(BG776,A725:A1719,AB725:AB1719)</f>
        <v>#NAME?</v>
      </c>
      <c r="BN776" s="146"/>
      <c r="BO776" s="150"/>
      <c r="BQ776" s="153" t="str">
        <f aca="false">IF(VALUE(MONTH(C776))&lt;10,YEAR(C776)&amp;"-0"&amp;MONTH(C776),YEAR(C776)&amp;"-"&amp;MONTH(C776))</f>
        <v>1900-01</v>
      </c>
      <c r="BR776" s="153" t="n">
        <f aca="false">J776</f>
        <v>0</v>
      </c>
      <c r="BS776" s="153" t="n">
        <f aca="false">IF(ISNUMBER(FIND("-", BR776)), LEFT(BR776, FIND("-", BR776) - 1), BR776)</f>
        <v>0</v>
      </c>
      <c r="BT776" s="189" t="n">
        <f aca="false">L776-M776+O776</f>
        <v>0</v>
      </c>
    </row>
    <row r="777" s="153" customFormat="true" ht="15" hidden="false" customHeight="false" outlineLevel="0" collapsed="false">
      <c r="AN777" s="153" t="e">
        <v>#NAME?</v>
      </c>
      <c r="AO777" s="153" t="e">
        <f aca="false">_xlfn.xlookup(AN777,A:A,F:F)</f>
        <v>#NAME?</v>
      </c>
      <c r="AP777" s="153" t="e">
        <f aca="false">_xlfn.xlookup(AN777,A:A,J:J)</f>
        <v>#NAME?</v>
      </c>
      <c r="AQ777" s="153" t="e">
        <f aca="false">_xlfn.xlookup(AN777,A:A,N:N)+_xlfn.xlookup(AN777,A:A,O:O)</f>
        <v>#NAME?</v>
      </c>
      <c r="AR777" s="150" t="e">
        <f aca="false">_xlfn.xlookup(AN777,A:A,AH:AH)</f>
        <v>#NAME?</v>
      </c>
      <c r="AS777" s="150" t="e">
        <f aca="false">_xlfn.xlookup(AN777,A:A,S:S)</f>
        <v>#NAME?</v>
      </c>
      <c r="AT777" s="150" t="e">
        <f aca="false">_xlfn.xlookup(AN777,A:A,AE:AE)</f>
        <v>#NAME?</v>
      </c>
      <c r="AU777" s="150" t="e">
        <f aca="false">_xlfn.xlookup(AN777,A:A,AF:AF)</f>
        <v>#NAME?</v>
      </c>
      <c r="AX777" s="146"/>
      <c r="AY777" s="150"/>
      <c r="AZ777" s="150"/>
      <c r="BA777" s="150"/>
      <c r="BB777" s="146"/>
      <c r="BC777" s="146"/>
      <c r="BD777" s="151"/>
      <c r="BE777" s="146"/>
      <c r="BF777" s="146"/>
      <c r="BH777" s="152" t="e">
        <f aca="false">_xlfn.xlookup(BG777,A:A,F:F)</f>
        <v>#NAME?</v>
      </c>
      <c r="BI777" s="153" t="e">
        <f aca="false">_xlfn.xlookup(BG777,A:A,J:J)</f>
        <v>#NAME?</v>
      </c>
      <c r="BJ777" s="153" t="e">
        <f aca="false">_xlfn.xlookup(BG777,A:A,N:N)+_xlfn.xlookup(BG777,A:A,O:O)</f>
        <v>#NAME?</v>
      </c>
      <c r="BK777" s="153" t="e">
        <f aca="false">_xlfn.xlookup(BG777,A726:A1720,AB726:AB1720)</f>
        <v>#NAME?</v>
      </c>
      <c r="BN777" s="146"/>
      <c r="BO777" s="150"/>
      <c r="BQ777" s="153" t="str">
        <f aca="false">IF(VALUE(MONTH(C777))&lt;10,YEAR(C777)&amp;"-0"&amp;MONTH(C777),YEAR(C777)&amp;"-"&amp;MONTH(C777))</f>
        <v>1900-01</v>
      </c>
      <c r="BR777" s="153" t="n">
        <f aca="false">J777</f>
        <v>0</v>
      </c>
      <c r="BS777" s="153" t="n">
        <f aca="false">IF(ISNUMBER(FIND("-", BR777)), LEFT(BR777, FIND("-", BR777) - 1), BR777)</f>
        <v>0</v>
      </c>
      <c r="BT777" s="189" t="n">
        <f aca="false">L777-M777+O777</f>
        <v>0</v>
      </c>
    </row>
    <row r="778" s="153" customFormat="true" ht="15" hidden="false" customHeight="false" outlineLevel="0" collapsed="false">
      <c r="AN778" s="153" t="e">
        <v>#NAME?</v>
      </c>
      <c r="AO778" s="153" t="e">
        <f aca="false">_xlfn.xlookup(AN778,A:A,F:F)</f>
        <v>#NAME?</v>
      </c>
      <c r="AP778" s="153" t="e">
        <f aca="false">_xlfn.xlookup(AN778,A:A,J:J)</f>
        <v>#NAME?</v>
      </c>
      <c r="AQ778" s="153" t="e">
        <f aca="false">_xlfn.xlookup(AN778,A:A,N:N)+_xlfn.xlookup(AN778,A:A,O:O)</f>
        <v>#NAME?</v>
      </c>
      <c r="AR778" s="150" t="e">
        <f aca="false">_xlfn.xlookup(AN778,A:A,AH:AH)</f>
        <v>#NAME?</v>
      </c>
      <c r="AS778" s="150" t="e">
        <f aca="false">_xlfn.xlookup(AN778,A:A,S:S)</f>
        <v>#NAME?</v>
      </c>
      <c r="AT778" s="150" t="e">
        <f aca="false">_xlfn.xlookup(AN778,A:A,AE:AE)</f>
        <v>#NAME?</v>
      </c>
      <c r="AU778" s="150" t="e">
        <f aca="false">_xlfn.xlookup(AN778,A:A,AF:AF)</f>
        <v>#NAME?</v>
      </c>
      <c r="AX778" s="146"/>
      <c r="AY778" s="150"/>
      <c r="AZ778" s="150"/>
      <c r="BA778" s="150"/>
      <c r="BB778" s="146"/>
      <c r="BC778" s="146"/>
      <c r="BD778" s="151"/>
      <c r="BE778" s="146"/>
      <c r="BF778" s="146"/>
      <c r="BH778" s="152" t="e">
        <f aca="false">_xlfn.xlookup(BG778,A:A,F:F)</f>
        <v>#NAME?</v>
      </c>
      <c r="BI778" s="153" t="e">
        <f aca="false">_xlfn.xlookup(BG778,A:A,J:J)</f>
        <v>#NAME?</v>
      </c>
      <c r="BJ778" s="153" t="e">
        <f aca="false">_xlfn.xlookup(BG778,A:A,N:N)+_xlfn.xlookup(BG778,A:A,O:O)</f>
        <v>#NAME?</v>
      </c>
      <c r="BK778" s="153" t="e">
        <f aca="false">_xlfn.xlookup(BG778,A727:A1721,AB727:AB1721)</f>
        <v>#NAME?</v>
      </c>
      <c r="BN778" s="146"/>
      <c r="BO778" s="150"/>
      <c r="BQ778" s="153" t="str">
        <f aca="false">IF(VALUE(MONTH(C778))&lt;10,YEAR(C778)&amp;"-0"&amp;MONTH(C778),YEAR(C778)&amp;"-"&amp;MONTH(C778))</f>
        <v>1900-01</v>
      </c>
      <c r="BR778" s="153" t="n">
        <f aca="false">J778</f>
        <v>0</v>
      </c>
      <c r="BS778" s="153" t="n">
        <f aca="false">IF(ISNUMBER(FIND("-", BR778)), LEFT(BR778, FIND("-", BR778) - 1), BR778)</f>
        <v>0</v>
      </c>
      <c r="BT778" s="189" t="n">
        <f aca="false">L778-M778+O778</f>
        <v>0</v>
      </c>
    </row>
    <row r="779" s="153" customFormat="true" ht="15" hidden="false" customHeight="false" outlineLevel="0" collapsed="false">
      <c r="AN779" s="153" t="e">
        <v>#NAME?</v>
      </c>
      <c r="AO779" s="153" t="e">
        <f aca="false">_xlfn.xlookup(AN779,A:A,F:F)</f>
        <v>#NAME?</v>
      </c>
      <c r="AP779" s="153" t="e">
        <f aca="false">_xlfn.xlookup(AN779,A:A,J:J)</f>
        <v>#NAME?</v>
      </c>
      <c r="AQ779" s="153" t="e">
        <f aca="false">_xlfn.xlookup(AN779,A:A,N:N)+_xlfn.xlookup(AN779,A:A,O:O)</f>
        <v>#NAME?</v>
      </c>
      <c r="AR779" s="150" t="e">
        <f aca="false">_xlfn.xlookup(AN779,A:A,AH:AH)</f>
        <v>#NAME?</v>
      </c>
      <c r="AS779" s="150" t="e">
        <f aca="false">_xlfn.xlookup(AN779,A:A,S:S)</f>
        <v>#NAME?</v>
      </c>
      <c r="AT779" s="150" t="e">
        <f aca="false">_xlfn.xlookup(AN779,A:A,AE:AE)</f>
        <v>#NAME?</v>
      </c>
      <c r="AU779" s="150" t="e">
        <f aca="false">_xlfn.xlookup(AN779,A:A,AF:AF)</f>
        <v>#NAME?</v>
      </c>
      <c r="AX779" s="146"/>
      <c r="AY779" s="150"/>
      <c r="AZ779" s="150"/>
      <c r="BA779" s="150"/>
      <c r="BB779" s="146"/>
      <c r="BC779" s="146"/>
      <c r="BD779" s="151"/>
      <c r="BE779" s="146"/>
      <c r="BF779" s="146"/>
      <c r="BH779" s="152" t="e">
        <f aca="false">_xlfn.xlookup(BG779,A:A,F:F)</f>
        <v>#NAME?</v>
      </c>
      <c r="BI779" s="153" t="e">
        <f aca="false">_xlfn.xlookup(BG779,A:A,J:J)</f>
        <v>#NAME?</v>
      </c>
      <c r="BJ779" s="153" t="e">
        <f aca="false">_xlfn.xlookup(BG779,A:A,N:N)+_xlfn.xlookup(BG779,A:A,O:O)</f>
        <v>#NAME?</v>
      </c>
      <c r="BK779" s="153" t="e">
        <f aca="false">_xlfn.xlookup(BG779,A728:A1722,AB728:AB1722)</f>
        <v>#NAME?</v>
      </c>
      <c r="BN779" s="146"/>
      <c r="BO779" s="150"/>
      <c r="BQ779" s="153" t="str">
        <f aca="false">IF(VALUE(MONTH(C779))&lt;10,YEAR(C779)&amp;"-0"&amp;MONTH(C779),YEAR(C779)&amp;"-"&amp;MONTH(C779))</f>
        <v>1900-01</v>
      </c>
      <c r="BR779" s="153" t="n">
        <f aca="false">J779</f>
        <v>0</v>
      </c>
      <c r="BS779" s="153" t="n">
        <f aca="false">IF(ISNUMBER(FIND("-", BR779)), LEFT(BR779, FIND("-", BR779) - 1), BR779)</f>
        <v>0</v>
      </c>
      <c r="BT779" s="189" t="n">
        <f aca="false">L779-M779+O779</f>
        <v>0</v>
      </c>
    </row>
    <row r="780" s="153" customFormat="true" ht="15" hidden="false" customHeight="false" outlineLevel="0" collapsed="false">
      <c r="AN780" s="153" t="e">
        <v>#NAME?</v>
      </c>
      <c r="AO780" s="153" t="e">
        <f aca="false">_xlfn.xlookup(AN780,A:A,F:F)</f>
        <v>#NAME?</v>
      </c>
      <c r="AP780" s="153" t="e">
        <f aca="false">_xlfn.xlookup(AN780,A:A,J:J)</f>
        <v>#NAME?</v>
      </c>
      <c r="AQ780" s="153" t="e">
        <f aca="false">_xlfn.xlookup(AN780,A:A,N:N)+_xlfn.xlookup(AN780,A:A,O:O)</f>
        <v>#NAME?</v>
      </c>
      <c r="AR780" s="150" t="e">
        <f aca="false">_xlfn.xlookup(AN780,A:A,AH:AH)</f>
        <v>#NAME?</v>
      </c>
      <c r="AS780" s="150" t="e">
        <f aca="false">_xlfn.xlookup(AN780,A:A,S:S)</f>
        <v>#NAME?</v>
      </c>
      <c r="AT780" s="150" t="e">
        <f aca="false">_xlfn.xlookup(AN780,A:A,AE:AE)</f>
        <v>#NAME?</v>
      </c>
      <c r="AU780" s="150" t="e">
        <f aca="false">_xlfn.xlookup(AN780,A:A,AF:AF)</f>
        <v>#NAME?</v>
      </c>
      <c r="AX780" s="146"/>
      <c r="AY780" s="150"/>
      <c r="AZ780" s="150"/>
      <c r="BA780" s="150"/>
      <c r="BB780" s="146"/>
      <c r="BC780" s="146"/>
      <c r="BD780" s="151"/>
      <c r="BE780" s="146"/>
      <c r="BF780" s="146"/>
      <c r="BH780" s="152" t="e">
        <f aca="false">_xlfn.xlookup(BG780,A:A,F:F)</f>
        <v>#NAME?</v>
      </c>
      <c r="BI780" s="153" t="e">
        <f aca="false">_xlfn.xlookup(BG780,A:A,J:J)</f>
        <v>#NAME?</v>
      </c>
      <c r="BJ780" s="153" t="e">
        <f aca="false">_xlfn.xlookup(BG780,A:A,N:N)+_xlfn.xlookup(BG780,A:A,O:O)</f>
        <v>#NAME?</v>
      </c>
      <c r="BK780" s="153" t="e">
        <f aca="false">_xlfn.xlookup(BG780,A729:A1723,AB729:AB1723)</f>
        <v>#NAME?</v>
      </c>
      <c r="BN780" s="146"/>
      <c r="BO780" s="150"/>
      <c r="BQ780" s="153" t="str">
        <f aca="false">IF(VALUE(MONTH(C780))&lt;10,YEAR(C780)&amp;"-0"&amp;MONTH(C780),YEAR(C780)&amp;"-"&amp;MONTH(C780))</f>
        <v>1900-01</v>
      </c>
      <c r="BR780" s="153" t="n">
        <f aca="false">J780</f>
        <v>0</v>
      </c>
      <c r="BS780" s="153" t="n">
        <f aca="false">IF(ISNUMBER(FIND("-", BR780)), LEFT(BR780, FIND("-", BR780) - 1), BR780)</f>
        <v>0</v>
      </c>
      <c r="BT780" s="189" t="n">
        <f aca="false">L780-M780+O780</f>
        <v>0</v>
      </c>
    </row>
    <row r="781" s="153" customFormat="true" ht="15" hidden="false" customHeight="false" outlineLevel="0" collapsed="false">
      <c r="AN781" s="153" t="e">
        <v>#NAME?</v>
      </c>
      <c r="AO781" s="153" t="e">
        <f aca="false">_xlfn.xlookup(AN781,A:A,F:F)</f>
        <v>#NAME?</v>
      </c>
      <c r="AP781" s="153" t="e">
        <f aca="false">_xlfn.xlookup(AN781,A:A,J:J)</f>
        <v>#NAME?</v>
      </c>
      <c r="AQ781" s="153" t="e">
        <f aca="false">_xlfn.xlookup(AN781,A:A,N:N)+_xlfn.xlookup(AN781,A:A,O:O)</f>
        <v>#NAME?</v>
      </c>
      <c r="AR781" s="150" t="e">
        <f aca="false">_xlfn.xlookup(AN781,A:A,AH:AH)</f>
        <v>#NAME?</v>
      </c>
      <c r="AS781" s="150" t="e">
        <f aca="false">_xlfn.xlookup(AN781,A:A,S:S)</f>
        <v>#NAME?</v>
      </c>
      <c r="AT781" s="150" t="e">
        <f aca="false">_xlfn.xlookup(AN781,A:A,AE:AE)</f>
        <v>#NAME?</v>
      </c>
      <c r="AU781" s="150" t="e">
        <f aca="false">_xlfn.xlookup(AN781,A:A,AF:AF)</f>
        <v>#NAME?</v>
      </c>
      <c r="AX781" s="146"/>
      <c r="AY781" s="150"/>
      <c r="AZ781" s="150"/>
      <c r="BA781" s="150"/>
      <c r="BB781" s="146"/>
      <c r="BC781" s="146"/>
      <c r="BD781" s="151"/>
      <c r="BE781" s="146"/>
      <c r="BF781" s="146"/>
      <c r="BH781" s="152" t="e">
        <f aca="false">_xlfn.xlookup(BG781,A:A,F:F)</f>
        <v>#NAME?</v>
      </c>
      <c r="BI781" s="153" t="e">
        <f aca="false">_xlfn.xlookup(BG781,A:A,J:J)</f>
        <v>#NAME?</v>
      </c>
      <c r="BJ781" s="153" t="e">
        <f aca="false">_xlfn.xlookup(BG781,A:A,N:N)+_xlfn.xlookup(BG781,A:A,O:O)</f>
        <v>#NAME?</v>
      </c>
      <c r="BK781" s="153" t="e">
        <f aca="false">_xlfn.xlookup(BG781,A730:A1724,AB730:AB1724)</f>
        <v>#NAME?</v>
      </c>
      <c r="BN781" s="146"/>
      <c r="BO781" s="150"/>
      <c r="BQ781" s="153" t="str">
        <f aca="false">IF(VALUE(MONTH(C781))&lt;10,YEAR(C781)&amp;"-0"&amp;MONTH(C781),YEAR(C781)&amp;"-"&amp;MONTH(C781))</f>
        <v>1900-01</v>
      </c>
      <c r="BR781" s="153" t="n">
        <f aca="false">J781</f>
        <v>0</v>
      </c>
      <c r="BS781" s="153" t="n">
        <f aca="false">IF(ISNUMBER(FIND("-", BR781)), LEFT(BR781, FIND("-", BR781) - 1), BR781)</f>
        <v>0</v>
      </c>
      <c r="BT781" s="189" t="n">
        <f aca="false">L781-M781+O781</f>
        <v>0</v>
      </c>
    </row>
    <row r="782" s="153" customFormat="true" ht="15" hidden="false" customHeight="false" outlineLevel="0" collapsed="false">
      <c r="AN782" s="153" t="e">
        <v>#NAME?</v>
      </c>
      <c r="AO782" s="153" t="e">
        <f aca="false">_xlfn.xlookup(AN782,A:A,F:F)</f>
        <v>#NAME?</v>
      </c>
      <c r="AP782" s="153" t="e">
        <f aca="false">_xlfn.xlookup(AN782,A:A,J:J)</f>
        <v>#NAME?</v>
      </c>
      <c r="AQ782" s="153" t="e">
        <f aca="false">_xlfn.xlookup(AN782,A:A,N:N)+_xlfn.xlookup(AN782,A:A,O:O)</f>
        <v>#NAME?</v>
      </c>
      <c r="AR782" s="150" t="e">
        <f aca="false">_xlfn.xlookup(AN782,A:A,AH:AH)</f>
        <v>#NAME?</v>
      </c>
      <c r="AS782" s="150" t="e">
        <f aca="false">_xlfn.xlookup(AN782,A:A,S:S)</f>
        <v>#NAME?</v>
      </c>
      <c r="AT782" s="150" t="e">
        <f aca="false">_xlfn.xlookup(AN782,A:A,AE:AE)</f>
        <v>#NAME?</v>
      </c>
      <c r="AU782" s="150" t="e">
        <f aca="false">_xlfn.xlookup(AN782,A:A,AF:AF)</f>
        <v>#NAME?</v>
      </c>
      <c r="AX782" s="146"/>
      <c r="AY782" s="150"/>
      <c r="AZ782" s="150"/>
      <c r="BA782" s="150"/>
      <c r="BB782" s="146"/>
      <c r="BC782" s="146"/>
      <c r="BD782" s="151"/>
      <c r="BE782" s="146"/>
      <c r="BF782" s="146"/>
      <c r="BH782" s="152" t="e">
        <f aca="false">_xlfn.xlookup(BG782,A:A,F:F)</f>
        <v>#NAME?</v>
      </c>
      <c r="BI782" s="153" t="e">
        <f aca="false">_xlfn.xlookup(BG782,A:A,J:J)</f>
        <v>#NAME?</v>
      </c>
      <c r="BJ782" s="153" t="e">
        <f aca="false">_xlfn.xlookup(BG782,A:A,N:N)+_xlfn.xlookup(BG782,A:A,O:O)</f>
        <v>#NAME?</v>
      </c>
      <c r="BK782" s="153" t="e">
        <f aca="false">_xlfn.xlookup(BG782,A731:A1725,AB731:AB1725)</f>
        <v>#NAME?</v>
      </c>
      <c r="BN782" s="146"/>
      <c r="BO782" s="150"/>
      <c r="BQ782" s="153" t="str">
        <f aca="false">IF(VALUE(MONTH(C782))&lt;10,YEAR(C782)&amp;"-0"&amp;MONTH(C782),YEAR(C782)&amp;"-"&amp;MONTH(C782))</f>
        <v>1900-01</v>
      </c>
      <c r="BR782" s="153" t="n">
        <f aca="false">J782</f>
        <v>0</v>
      </c>
      <c r="BS782" s="153" t="n">
        <f aca="false">IF(ISNUMBER(FIND("-", BR782)), LEFT(BR782, FIND("-", BR782) - 1), BR782)</f>
        <v>0</v>
      </c>
      <c r="BT782" s="189" t="n">
        <f aca="false">L782-M782+O782</f>
        <v>0</v>
      </c>
    </row>
    <row r="783" s="153" customFormat="true" ht="15" hidden="false" customHeight="false" outlineLevel="0" collapsed="false">
      <c r="AN783" s="153" t="e">
        <v>#NAME?</v>
      </c>
      <c r="AO783" s="153" t="e">
        <f aca="false">_xlfn.xlookup(AN783,A:A,F:F)</f>
        <v>#NAME?</v>
      </c>
      <c r="AP783" s="153" t="e">
        <f aca="false">_xlfn.xlookup(AN783,A:A,J:J)</f>
        <v>#NAME?</v>
      </c>
      <c r="AQ783" s="153" t="e">
        <f aca="false">_xlfn.xlookup(AN783,A:A,N:N)+_xlfn.xlookup(AN783,A:A,O:O)</f>
        <v>#NAME?</v>
      </c>
      <c r="AR783" s="150" t="e">
        <f aca="false">_xlfn.xlookup(AN783,A:A,AH:AH)</f>
        <v>#NAME?</v>
      </c>
      <c r="AS783" s="150" t="e">
        <f aca="false">_xlfn.xlookup(AN783,A:A,S:S)</f>
        <v>#NAME?</v>
      </c>
      <c r="AT783" s="150" t="e">
        <f aca="false">_xlfn.xlookup(AN783,A:A,AE:AE)</f>
        <v>#NAME?</v>
      </c>
      <c r="AU783" s="150" t="e">
        <f aca="false">_xlfn.xlookup(AN783,A:A,AF:AF)</f>
        <v>#NAME?</v>
      </c>
      <c r="AX783" s="146"/>
      <c r="AY783" s="150"/>
      <c r="AZ783" s="150"/>
      <c r="BA783" s="150"/>
      <c r="BB783" s="146"/>
      <c r="BC783" s="146"/>
      <c r="BD783" s="151"/>
      <c r="BE783" s="146"/>
      <c r="BF783" s="146"/>
      <c r="BH783" s="152" t="e">
        <f aca="false">_xlfn.xlookup(BG783,A:A,F:F)</f>
        <v>#NAME?</v>
      </c>
      <c r="BI783" s="153" t="e">
        <f aca="false">_xlfn.xlookup(BG783,A:A,J:J)</f>
        <v>#NAME?</v>
      </c>
      <c r="BJ783" s="153" t="e">
        <f aca="false">_xlfn.xlookup(BG783,A:A,N:N)+_xlfn.xlookup(BG783,A:A,O:O)</f>
        <v>#NAME?</v>
      </c>
      <c r="BK783" s="153" t="e">
        <f aca="false">_xlfn.xlookup(BG783,A732:A1726,AB732:AB1726)</f>
        <v>#NAME?</v>
      </c>
      <c r="BN783" s="146"/>
      <c r="BO783" s="150"/>
      <c r="BQ783" s="153" t="str">
        <f aca="false">IF(VALUE(MONTH(C783))&lt;10,YEAR(C783)&amp;"-0"&amp;MONTH(C783),YEAR(C783)&amp;"-"&amp;MONTH(C783))</f>
        <v>1900-01</v>
      </c>
      <c r="BR783" s="153" t="n">
        <f aca="false">J783</f>
        <v>0</v>
      </c>
      <c r="BS783" s="153" t="n">
        <f aca="false">IF(ISNUMBER(FIND("-", BR783)), LEFT(BR783, FIND("-", BR783) - 1), BR783)</f>
        <v>0</v>
      </c>
      <c r="BT783" s="189" t="n">
        <f aca="false">L783-M783+O783</f>
        <v>0</v>
      </c>
    </row>
    <row r="784" s="153" customFormat="true" ht="15" hidden="false" customHeight="false" outlineLevel="0" collapsed="false">
      <c r="AN784" s="153" t="e">
        <v>#NAME?</v>
      </c>
      <c r="AO784" s="153" t="e">
        <f aca="false">_xlfn.xlookup(AN784,A:A,F:F)</f>
        <v>#NAME?</v>
      </c>
      <c r="AP784" s="153" t="e">
        <f aca="false">_xlfn.xlookup(AN784,A:A,J:J)</f>
        <v>#NAME?</v>
      </c>
      <c r="AQ784" s="153" t="e">
        <f aca="false">_xlfn.xlookup(AN784,A:A,N:N)+_xlfn.xlookup(AN784,A:A,O:O)</f>
        <v>#NAME?</v>
      </c>
      <c r="AR784" s="150" t="e">
        <f aca="false">_xlfn.xlookup(AN784,A:A,AH:AH)</f>
        <v>#NAME?</v>
      </c>
      <c r="AS784" s="150" t="e">
        <f aca="false">_xlfn.xlookup(AN784,A:A,S:S)</f>
        <v>#NAME?</v>
      </c>
      <c r="AT784" s="150" t="e">
        <f aca="false">_xlfn.xlookup(AN784,A:A,AE:AE)</f>
        <v>#NAME?</v>
      </c>
      <c r="AU784" s="150" t="e">
        <f aca="false">_xlfn.xlookup(AN784,A:A,AF:AF)</f>
        <v>#NAME?</v>
      </c>
      <c r="AX784" s="146"/>
      <c r="AY784" s="150"/>
      <c r="AZ784" s="150"/>
      <c r="BA784" s="150"/>
      <c r="BB784" s="146"/>
      <c r="BC784" s="146"/>
      <c r="BD784" s="151"/>
      <c r="BE784" s="146"/>
      <c r="BF784" s="146"/>
      <c r="BH784" s="152" t="e">
        <f aca="false">_xlfn.xlookup(BG784,A:A,F:F)</f>
        <v>#NAME?</v>
      </c>
      <c r="BI784" s="153" t="e">
        <f aca="false">_xlfn.xlookup(BG784,A:A,J:J)</f>
        <v>#NAME?</v>
      </c>
      <c r="BJ784" s="153" t="e">
        <f aca="false">_xlfn.xlookup(BG784,A:A,N:N)+_xlfn.xlookup(BG784,A:A,O:O)</f>
        <v>#NAME?</v>
      </c>
      <c r="BK784" s="153" t="e">
        <f aca="false">_xlfn.xlookup(BG784,A733:A1727,AB733:AB1727)</f>
        <v>#NAME?</v>
      </c>
      <c r="BN784" s="146"/>
      <c r="BO784" s="150"/>
      <c r="BQ784" s="153" t="str">
        <f aca="false">IF(VALUE(MONTH(C784))&lt;10,YEAR(C784)&amp;"-0"&amp;MONTH(C784),YEAR(C784)&amp;"-"&amp;MONTH(C784))</f>
        <v>1900-01</v>
      </c>
      <c r="BR784" s="153" t="n">
        <f aca="false">J784</f>
        <v>0</v>
      </c>
      <c r="BS784" s="153" t="n">
        <f aca="false">IF(ISNUMBER(FIND("-", BR784)), LEFT(BR784, FIND("-", BR784) - 1), BR784)</f>
        <v>0</v>
      </c>
      <c r="BT784" s="189" t="n">
        <f aca="false">L784-M784+O784</f>
        <v>0</v>
      </c>
    </row>
    <row r="785" s="153" customFormat="true" ht="15" hidden="false" customHeight="false" outlineLevel="0" collapsed="false">
      <c r="AN785" s="153" t="e">
        <v>#NAME?</v>
      </c>
      <c r="AO785" s="153" t="e">
        <f aca="false">_xlfn.xlookup(AN785,A:A,F:F)</f>
        <v>#NAME?</v>
      </c>
      <c r="AP785" s="153" t="e">
        <f aca="false">_xlfn.xlookup(AN785,A:A,J:J)</f>
        <v>#NAME?</v>
      </c>
      <c r="AQ785" s="153" t="e">
        <f aca="false">_xlfn.xlookup(AN785,A:A,N:N)+_xlfn.xlookup(AN785,A:A,O:O)</f>
        <v>#NAME?</v>
      </c>
      <c r="AR785" s="150" t="e">
        <f aca="false">_xlfn.xlookup(AN785,A:A,AH:AH)</f>
        <v>#NAME?</v>
      </c>
      <c r="AS785" s="150" t="e">
        <f aca="false">_xlfn.xlookup(AN785,A:A,S:S)</f>
        <v>#NAME?</v>
      </c>
      <c r="AT785" s="150" t="e">
        <f aca="false">_xlfn.xlookup(AN785,A:A,AE:AE)</f>
        <v>#NAME?</v>
      </c>
      <c r="AU785" s="150" t="e">
        <f aca="false">_xlfn.xlookup(AN785,A:A,AF:AF)</f>
        <v>#NAME?</v>
      </c>
      <c r="AX785" s="146"/>
      <c r="AY785" s="150"/>
      <c r="AZ785" s="150"/>
      <c r="BA785" s="150"/>
      <c r="BB785" s="146"/>
      <c r="BC785" s="146"/>
      <c r="BD785" s="151"/>
      <c r="BE785" s="146"/>
      <c r="BF785" s="146"/>
      <c r="BH785" s="152" t="e">
        <f aca="false">_xlfn.xlookup(BG785,A:A,F:F)</f>
        <v>#NAME?</v>
      </c>
      <c r="BI785" s="153" t="e">
        <f aca="false">_xlfn.xlookup(BG785,A:A,J:J)</f>
        <v>#NAME?</v>
      </c>
      <c r="BJ785" s="153" t="e">
        <f aca="false">_xlfn.xlookup(BG785,A:A,N:N)+_xlfn.xlookup(BG785,A:A,O:O)</f>
        <v>#NAME?</v>
      </c>
      <c r="BK785" s="153" t="e">
        <f aca="false">_xlfn.xlookup(BG785,A734:A1728,AB734:AB1728)</f>
        <v>#NAME?</v>
      </c>
      <c r="BN785" s="146"/>
      <c r="BO785" s="150"/>
      <c r="BQ785" s="153" t="str">
        <f aca="false">IF(VALUE(MONTH(C785))&lt;10,YEAR(C785)&amp;"-0"&amp;MONTH(C785),YEAR(C785)&amp;"-"&amp;MONTH(C785))</f>
        <v>1900-01</v>
      </c>
      <c r="BR785" s="153" t="n">
        <f aca="false">J785</f>
        <v>0</v>
      </c>
      <c r="BS785" s="153" t="n">
        <f aca="false">IF(ISNUMBER(FIND("-", BR785)), LEFT(BR785, FIND("-", BR785) - 1), BR785)</f>
        <v>0</v>
      </c>
      <c r="BT785" s="189" t="n">
        <f aca="false">L785-M785+O785</f>
        <v>0</v>
      </c>
    </row>
    <row r="786" s="153" customFormat="true" ht="15" hidden="false" customHeight="false" outlineLevel="0" collapsed="false">
      <c r="AN786" s="153" t="e">
        <v>#NAME?</v>
      </c>
      <c r="AO786" s="153" t="e">
        <f aca="false">_xlfn.xlookup(AN786,A:A,F:F)</f>
        <v>#NAME?</v>
      </c>
      <c r="AP786" s="153" t="e">
        <f aca="false">_xlfn.xlookup(AN786,A:A,J:J)</f>
        <v>#NAME?</v>
      </c>
      <c r="AQ786" s="153" t="e">
        <f aca="false">_xlfn.xlookup(AN786,A:A,N:N)+_xlfn.xlookup(AN786,A:A,O:O)</f>
        <v>#NAME?</v>
      </c>
      <c r="AR786" s="150" t="e">
        <f aca="false">_xlfn.xlookup(AN786,A:A,AH:AH)</f>
        <v>#NAME?</v>
      </c>
      <c r="AS786" s="150" t="e">
        <f aca="false">_xlfn.xlookup(AN786,A:A,S:S)</f>
        <v>#NAME?</v>
      </c>
      <c r="AT786" s="150" t="e">
        <f aca="false">_xlfn.xlookup(AN786,A:A,AE:AE)</f>
        <v>#NAME?</v>
      </c>
      <c r="AU786" s="150" t="e">
        <f aca="false">_xlfn.xlookup(AN786,A:A,AF:AF)</f>
        <v>#NAME?</v>
      </c>
      <c r="AX786" s="146"/>
      <c r="AY786" s="150"/>
      <c r="AZ786" s="150"/>
      <c r="BA786" s="150"/>
      <c r="BB786" s="146"/>
      <c r="BC786" s="146"/>
      <c r="BD786" s="151"/>
      <c r="BE786" s="146"/>
      <c r="BF786" s="146"/>
      <c r="BH786" s="152" t="e">
        <f aca="false">_xlfn.xlookup(BG786,A:A,F:F)</f>
        <v>#NAME?</v>
      </c>
      <c r="BI786" s="153" t="e">
        <f aca="false">_xlfn.xlookup(BG786,A:A,J:J)</f>
        <v>#NAME?</v>
      </c>
      <c r="BJ786" s="153" t="e">
        <f aca="false">_xlfn.xlookup(BG786,A:A,N:N)+_xlfn.xlookup(BG786,A:A,O:O)</f>
        <v>#NAME?</v>
      </c>
      <c r="BK786" s="153" t="e">
        <f aca="false">_xlfn.xlookup(BG786,A735:A1729,AB735:AB1729)</f>
        <v>#NAME?</v>
      </c>
      <c r="BN786" s="146"/>
      <c r="BO786" s="150"/>
      <c r="BQ786" s="153" t="str">
        <f aca="false">IF(VALUE(MONTH(C786))&lt;10,YEAR(C786)&amp;"-0"&amp;MONTH(C786),YEAR(C786)&amp;"-"&amp;MONTH(C786))</f>
        <v>1900-01</v>
      </c>
      <c r="BR786" s="153" t="n">
        <f aca="false">J786</f>
        <v>0</v>
      </c>
      <c r="BS786" s="153" t="n">
        <f aca="false">IF(ISNUMBER(FIND("-", BR786)), LEFT(BR786, FIND("-", BR786) - 1), BR786)</f>
        <v>0</v>
      </c>
      <c r="BT786" s="189" t="n">
        <f aca="false">L786-M786+O786</f>
        <v>0</v>
      </c>
    </row>
    <row r="787" s="153" customFormat="true" ht="15" hidden="false" customHeight="false" outlineLevel="0" collapsed="false">
      <c r="AN787" s="153" t="e">
        <v>#NAME?</v>
      </c>
      <c r="AO787" s="153" t="e">
        <f aca="false">_xlfn.xlookup(AN787,A:A,F:F)</f>
        <v>#NAME?</v>
      </c>
      <c r="AP787" s="153" t="e">
        <f aca="false">_xlfn.xlookup(AN787,A:A,J:J)</f>
        <v>#NAME?</v>
      </c>
      <c r="AQ787" s="153" t="e">
        <f aca="false">_xlfn.xlookup(AN787,A:A,N:N)+_xlfn.xlookup(AN787,A:A,O:O)</f>
        <v>#NAME?</v>
      </c>
      <c r="AR787" s="150" t="e">
        <f aca="false">_xlfn.xlookup(AN787,A:A,AH:AH)</f>
        <v>#NAME?</v>
      </c>
      <c r="AS787" s="150" t="e">
        <f aca="false">_xlfn.xlookup(AN787,A:A,S:S)</f>
        <v>#NAME?</v>
      </c>
      <c r="AT787" s="150" t="e">
        <f aca="false">_xlfn.xlookup(AN787,A:A,AE:AE)</f>
        <v>#NAME?</v>
      </c>
      <c r="AU787" s="150" t="e">
        <f aca="false">_xlfn.xlookup(AN787,A:A,AF:AF)</f>
        <v>#NAME?</v>
      </c>
      <c r="AX787" s="146"/>
      <c r="AY787" s="150"/>
      <c r="AZ787" s="150"/>
      <c r="BA787" s="150"/>
      <c r="BB787" s="146"/>
      <c r="BC787" s="146"/>
      <c r="BD787" s="151"/>
      <c r="BE787" s="146"/>
      <c r="BF787" s="146"/>
      <c r="BH787" s="152" t="e">
        <f aca="false">_xlfn.xlookup(BG787,A:A,F:F)</f>
        <v>#NAME?</v>
      </c>
      <c r="BI787" s="153" t="e">
        <f aca="false">_xlfn.xlookup(BG787,A:A,J:J)</f>
        <v>#NAME?</v>
      </c>
      <c r="BJ787" s="153" t="e">
        <f aca="false">_xlfn.xlookup(BG787,A:A,N:N)+_xlfn.xlookup(BG787,A:A,O:O)</f>
        <v>#NAME?</v>
      </c>
      <c r="BK787" s="153" t="e">
        <f aca="false">_xlfn.xlookup(BG787,A736:A1730,AB736:AB1730)</f>
        <v>#NAME?</v>
      </c>
      <c r="BN787" s="146"/>
      <c r="BO787" s="150"/>
      <c r="BQ787" s="153" t="str">
        <f aca="false">IF(VALUE(MONTH(C787))&lt;10,YEAR(C787)&amp;"-0"&amp;MONTH(C787),YEAR(C787)&amp;"-"&amp;MONTH(C787))</f>
        <v>1900-01</v>
      </c>
      <c r="BR787" s="153" t="n">
        <f aca="false">J787</f>
        <v>0</v>
      </c>
      <c r="BS787" s="153" t="n">
        <f aca="false">IF(ISNUMBER(FIND("-", BR787)), LEFT(BR787, FIND("-", BR787) - 1), BR787)</f>
        <v>0</v>
      </c>
      <c r="BT787" s="189" t="n">
        <f aca="false">L787-M787+O787</f>
        <v>0</v>
      </c>
    </row>
    <row r="788" s="153" customFormat="true" ht="15" hidden="false" customHeight="false" outlineLevel="0" collapsed="false">
      <c r="AN788" s="153" t="e">
        <v>#NAME?</v>
      </c>
      <c r="AO788" s="153" t="e">
        <f aca="false">_xlfn.xlookup(AN788,A:A,F:F)</f>
        <v>#NAME?</v>
      </c>
      <c r="AP788" s="153" t="e">
        <f aca="false">_xlfn.xlookup(AN788,A:A,J:J)</f>
        <v>#NAME?</v>
      </c>
      <c r="AQ788" s="153" t="e">
        <f aca="false">_xlfn.xlookup(AN788,A:A,N:N)+_xlfn.xlookup(AN788,A:A,O:O)</f>
        <v>#NAME?</v>
      </c>
      <c r="AR788" s="150" t="e">
        <f aca="false">_xlfn.xlookup(AN788,A:A,AH:AH)</f>
        <v>#NAME?</v>
      </c>
      <c r="AS788" s="150" t="e">
        <f aca="false">_xlfn.xlookup(AN788,A:A,S:S)</f>
        <v>#NAME?</v>
      </c>
      <c r="AT788" s="150" t="e">
        <f aca="false">_xlfn.xlookup(AN788,A:A,AE:AE)</f>
        <v>#NAME?</v>
      </c>
      <c r="AU788" s="150" t="e">
        <f aca="false">_xlfn.xlookup(AN788,A:A,AF:AF)</f>
        <v>#NAME?</v>
      </c>
      <c r="AX788" s="146"/>
      <c r="AY788" s="150"/>
      <c r="AZ788" s="150"/>
      <c r="BA788" s="150"/>
      <c r="BB788" s="146"/>
      <c r="BC788" s="146"/>
      <c r="BD788" s="151"/>
      <c r="BE788" s="146"/>
      <c r="BF788" s="146"/>
      <c r="BH788" s="152" t="e">
        <f aca="false">_xlfn.xlookup(BG788,A:A,F:F)</f>
        <v>#NAME?</v>
      </c>
      <c r="BI788" s="153" t="e">
        <f aca="false">_xlfn.xlookup(BG788,A:A,J:J)</f>
        <v>#NAME?</v>
      </c>
      <c r="BJ788" s="153" t="e">
        <f aca="false">_xlfn.xlookup(BG788,A:A,N:N)+_xlfn.xlookup(BG788,A:A,O:O)</f>
        <v>#NAME?</v>
      </c>
      <c r="BK788" s="153" t="e">
        <f aca="false">_xlfn.xlookup(BG788,A737:A1731,AB737:AB1731)</f>
        <v>#NAME?</v>
      </c>
      <c r="BN788" s="146"/>
      <c r="BO788" s="150"/>
      <c r="BQ788" s="153" t="str">
        <f aca="false">IF(VALUE(MONTH(C788))&lt;10,YEAR(C788)&amp;"-0"&amp;MONTH(C788),YEAR(C788)&amp;"-"&amp;MONTH(C788))</f>
        <v>1900-01</v>
      </c>
      <c r="BR788" s="153" t="n">
        <f aca="false">J788</f>
        <v>0</v>
      </c>
      <c r="BS788" s="153" t="n">
        <f aca="false">IF(ISNUMBER(FIND("-", BR788)), LEFT(BR788, FIND("-", BR788) - 1), BR788)</f>
        <v>0</v>
      </c>
      <c r="BT788" s="189" t="n">
        <f aca="false">L788-M788+O788</f>
        <v>0</v>
      </c>
    </row>
    <row r="789" s="153" customFormat="true" ht="15" hidden="false" customHeight="false" outlineLevel="0" collapsed="false">
      <c r="AN789" s="153" t="e">
        <v>#NAME?</v>
      </c>
      <c r="AO789" s="153" t="e">
        <f aca="false">_xlfn.xlookup(AN789,A:A,F:F)</f>
        <v>#NAME?</v>
      </c>
      <c r="AP789" s="153" t="e">
        <f aca="false">_xlfn.xlookup(AN789,A:A,J:J)</f>
        <v>#NAME?</v>
      </c>
      <c r="AQ789" s="153" t="e">
        <f aca="false">_xlfn.xlookup(AN789,A:A,N:N)+_xlfn.xlookup(AN789,A:A,O:O)</f>
        <v>#NAME?</v>
      </c>
      <c r="AR789" s="150" t="e">
        <f aca="false">_xlfn.xlookup(AN789,A:A,AH:AH)</f>
        <v>#NAME?</v>
      </c>
      <c r="AS789" s="150" t="e">
        <f aca="false">_xlfn.xlookup(AN789,A:A,S:S)</f>
        <v>#NAME?</v>
      </c>
      <c r="AT789" s="150" t="e">
        <f aca="false">_xlfn.xlookup(AN789,A:A,AE:AE)</f>
        <v>#NAME?</v>
      </c>
      <c r="AU789" s="150" t="e">
        <f aca="false">_xlfn.xlookup(AN789,A:A,AF:AF)</f>
        <v>#NAME?</v>
      </c>
      <c r="AX789" s="146"/>
      <c r="AY789" s="150"/>
      <c r="AZ789" s="150"/>
      <c r="BA789" s="150"/>
      <c r="BB789" s="146"/>
      <c r="BC789" s="146"/>
      <c r="BD789" s="151"/>
      <c r="BE789" s="146"/>
      <c r="BF789" s="146"/>
      <c r="BH789" s="152" t="e">
        <f aca="false">_xlfn.xlookup(BG789,A:A,F:F)</f>
        <v>#NAME?</v>
      </c>
      <c r="BI789" s="153" t="e">
        <f aca="false">_xlfn.xlookup(BG789,A:A,J:J)</f>
        <v>#NAME?</v>
      </c>
      <c r="BJ789" s="153" t="e">
        <f aca="false">_xlfn.xlookup(BG789,A:A,N:N)+_xlfn.xlookup(BG789,A:A,O:O)</f>
        <v>#NAME?</v>
      </c>
      <c r="BK789" s="153" t="e">
        <f aca="false">_xlfn.xlookup(BG789,A738:A1732,AB738:AB1732)</f>
        <v>#NAME?</v>
      </c>
      <c r="BN789" s="146"/>
      <c r="BO789" s="150"/>
      <c r="BQ789" s="153" t="str">
        <f aca="false">IF(VALUE(MONTH(C789))&lt;10,YEAR(C789)&amp;"-0"&amp;MONTH(C789),YEAR(C789)&amp;"-"&amp;MONTH(C789))</f>
        <v>1900-01</v>
      </c>
      <c r="BR789" s="153" t="n">
        <f aca="false">J789</f>
        <v>0</v>
      </c>
      <c r="BS789" s="153" t="n">
        <f aca="false">IF(ISNUMBER(FIND("-", BR789)), LEFT(BR789, FIND("-", BR789) - 1), BR789)</f>
        <v>0</v>
      </c>
      <c r="BT789" s="189" t="n">
        <f aca="false">L789-M789+O789</f>
        <v>0</v>
      </c>
    </row>
    <row r="790" s="153" customFormat="true" ht="15" hidden="false" customHeight="false" outlineLevel="0" collapsed="false">
      <c r="AN790" s="153" t="e">
        <v>#NAME?</v>
      </c>
      <c r="AO790" s="153" t="e">
        <f aca="false">_xlfn.xlookup(AN790,A:A,F:F)</f>
        <v>#NAME?</v>
      </c>
      <c r="AP790" s="153" t="e">
        <f aca="false">_xlfn.xlookup(AN790,A:A,J:J)</f>
        <v>#NAME?</v>
      </c>
      <c r="AQ790" s="153" t="e">
        <f aca="false">_xlfn.xlookup(AN790,A:A,N:N)+_xlfn.xlookup(AN790,A:A,O:O)</f>
        <v>#NAME?</v>
      </c>
      <c r="AR790" s="150" t="e">
        <f aca="false">_xlfn.xlookup(AN790,A:A,AH:AH)</f>
        <v>#NAME?</v>
      </c>
      <c r="AS790" s="150" t="e">
        <f aca="false">_xlfn.xlookup(AN790,A:A,S:S)</f>
        <v>#NAME?</v>
      </c>
      <c r="AT790" s="150" t="e">
        <f aca="false">_xlfn.xlookup(AN790,A:A,AE:AE)</f>
        <v>#NAME?</v>
      </c>
      <c r="AU790" s="150" t="e">
        <f aca="false">_xlfn.xlookup(AN790,A:A,AF:AF)</f>
        <v>#NAME?</v>
      </c>
      <c r="AX790" s="146"/>
      <c r="AY790" s="150"/>
      <c r="AZ790" s="150"/>
      <c r="BA790" s="150"/>
      <c r="BB790" s="146"/>
      <c r="BC790" s="146"/>
      <c r="BD790" s="151"/>
      <c r="BE790" s="146"/>
      <c r="BF790" s="146"/>
      <c r="BH790" s="152" t="e">
        <f aca="false">_xlfn.xlookup(BG790,A:A,F:F)</f>
        <v>#NAME?</v>
      </c>
      <c r="BI790" s="153" t="e">
        <f aca="false">_xlfn.xlookup(BG790,A:A,J:J)</f>
        <v>#NAME?</v>
      </c>
      <c r="BJ790" s="153" t="e">
        <f aca="false">_xlfn.xlookup(BG790,A:A,N:N)+_xlfn.xlookup(BG790,A:A,O:O)</f>
        <v>#NAME?</v>
      </c>
      <c r="BK790" s="153" t="e">
        <f aca="false">_xlfn.xlookup(BG790,A739:A1733,AB739:AB1733)</f>
        <v>#NAME?</v>
      </c>
      <c r="BN790" s="146"/>
      <c r="BO790" s="150"/>
      <c r="BQ790" s="153" t="str">
        <f aca="false">IF(VALUE(MONTH(C790))&lt;10,YEAR(C790)&amp;"-0"&amp;MONTH(C790),YEAR(C790)&amp;"-"&amp;MONTH(C790))</f>
        <v>1900-01</v>
      </c>
      <c r="BR790" s="153" t="n">
        <f aca="false">J790</f>
        <v>0</v>
      </c>
      <c r="BS790" s="153" t="n">
        <f aca="false">IF(ISNUMBER(FIND("-", BR790)), LEFT(BR790, FIND("-", BR790) - 1), BR790)</f>
        <v>0</v>
      </c>
      <c r="BT790" s="189" t="n">
        <f aca="false">L790-M790+O790</f>
        <v>0</v>
      </c>
    </row>
    <row r="791" s="153" customFormat="true" ht="15" hidden="false" customHeight="false" outlineLevel="0" collapsed="false">
      <c r="AN791" s="153" t="e">
        <v>#NAME?</v>
      </c>
      <c r="AO791" s="153" t="e">
        <f aca="false">_xlfn.xlookup(AN791,A:A,F:F)</f>
        <v>#NAME?</v>
      </c>
      <c r="AP791" s="153" t="e">
        <f aca="false">_xlfn.xlookup(AN791,A:A,J:J)</f>
        <v>#NAME?</v>
      </c>
      <c r="AQ791" s="153" t="e">
        <f aca="false">_xlfn.xlookup(AN791,A:A,N:N)+_xlfn.xlookup(AN791,A:A,O:O)</f>
        <v>#NAME?</v>
      </c>
      <c r="AR791" s="150" t="e">
        <f aca="false">_xlfn.xlookup(AN791,A:A,AH:AH)</f>
        <v>#NAME?</v>
      </c>
      <c r="AS791" s="150" t="e">
        <f aca="false">_xlfn.xlookup(AN791,A:A,S:S)</f>
        <v>#NAME?</v>
      </c>
      <c r="AT791" s="150" t="e">
        <f aca="false">_xlfn.xlookup(AN791,A:A,AE:AE)</f>
        <v>#NAME?</v>
      </c>
      <c r="AU791" s="150" t="e">
        <f aca="false">_xlfn.xlookup(AN791,A:A,AF:AF)</f>
        <v>#NAME?</v>
      </c>
      <c r="AX791" s="146"/>
      <c r="AY791" s="150"/>
      <c r="AZ791" s="150"/>
      <c r="BA791" s="150"/>
      <c r="BB791" s="146"/>
      <c r="BC791" s="146"/>
      <c r="BD791" s="151"/>
      <c r="BE791" s="146"/>
      <c r="BF791" s="146"/>
      <c r="BH791" s="152" t="e">
        <f aca="false">_xlfn.xlookup(BG791,A:A,F:F)</f>
        <v>#NAME?</v>
      </c>
      <c r="BI791" s="153" t="e">
        <f aca="false">_xlfn.xlookup(BG791,A:A,J:J)</f>
        <v>#NAME?</v>
      </c>
      <c r="BJ791" s="153" t="e">
        <f aca="false">_xlfn.xlookup(BG791,A:A,N:N)+_xlfn.xlookup(BG791,A:A,O:O)</f>
        <v>#NAME?</v>
      </c>
      <c r="BK791" s="153" t="e">
        <f aca="false">_xlfn.xlookup(BG791,A740:A1734,AB740:AB1734)</f>
        <v>#NAME?</v>
      </c>
      <c r="BN791" s="146"/>
      <c r="BO791" s="150"/>
      <c r="BQ791" s="153" t="str">
        <f aca="false">IF(VALUE(MONTH(C791))&lt;10,YEAR(C791)&amp;"-0"&amp;MONTH(C791),YEAR(C791)&amp;"-"&amp;MONTH(C791))</f>
        <v>1900-01</v>
      </c>
      <c r="BR791" s="153" t="n">
        <f aca="false">J791</f>
        <v>0</v>
      </c>
      <c r="BS791" s="153" t="n">
        <f aca="false">IF(ISNUMBER(FIND("-", BR791)), LEFT(BR791, FIND("-", BR791) - 1), BR791)</f>
        <v>0</v>
      </c>
      <c r="BT791" s="189" t="n">
        <f aca="false">L791-M791+O791</f>
        <v>0</v>
      </c>
    </row>
    <row r="792" s="153" customFormat="true" ht="15" hidden="false" customHeight="false" outlineLevel="0" collapsed="false">
      <c r="AN792" s="153" t="e">
        <v>#NAME?</v>
      </c>
      <c r="AO792" s="153" t="e">
        <f aca="false">_xlfn.xlookup(AN792,A:A,F:F)</f>
        <v>#NAME?</v>
      </c>
      <c r="AP792" s="153" t="e">
        <f aca="false">_xlfn.xlookup(AN792,A:A,J:J)</f>
        <v>#NAME?</v>
      </c>
      <c r="AQ792" s="153" t="e">
        <f aca="false">_xlfn.xlookup(AN792,A:A,N:N)+_xlfn.xlookup(AN792,A:A,O:O)</f>
        <v>#NAME?</v>
      </c>
      <c r="AR792" s="150" t="e">
        <f aca="false">_xlfn.xlookup(AN792,A:A,AH:AH)</f>
        <v>#NAME?</v>
      </c>
      <c r="AS792" s="150" t="e">
        <f aca="false">_xlfn.xlookup(AN792,A:A,S:S)</f>
        <v>#NAME?</v>
      </c>
      <c r="AT792" s="150" t="e">
        <f aca="false">_xlfn.xlookup(AN792,A:A,AE:AE)</f>
        <v>#NAME?</v>
      </c>
      <c r="AU792" s="150" t="e">
        <f aca="false">_xlfn.xlookup(AN792,A:A,AF:AF)</f>
        <v>#NAME?</v>
      </c>
      <c r="AX792" s="146"/>
      <c r="AY792" s="150"/>
      <c r="AZ792" s="150"/>
      <c r="BA792" s="150"/>
      <c r="BB792" s="146"/>
      <c r="BC792" s="146"/>
      <c r="BD792" s="151"/>
      <c r="BE792" s="146"/>
      <c r="BF792" s="146"/>
      <c r="BH792" s="152" t="e">
        <f aca="false">_xlfn.xlookup(BG792,A:A,F:F)</f>
        <v>#NAME?</v>
      </c>
      <c r="BI792" s="153" t="e">
        <f aca="false">_xlfn.xlookup(BG792,A:A,J:J)</f>
        <v>#NAME?</v>
      </c>
      <c r="BJ792" s="153" t="e">
        <f aca="false">_xlfn.xlookup(BG792,A:A,N:N)+_xlfn.xlookup(BG792,A:A,O:O)</f>
        <v>#NAME?</v>
      </c>
      <c r="BK792" s="153" t="e">
        <f aca="false">_xlfn.xlookup(BG792,A741:A1735,AB741:AB1735)</f>
        <v>#NAME?</v>
      </c>
      <c r="BN792" s="146"/>
      <c r="BO792" s="150"/>
      <c r="BQ792" s="153" t="str">
        <f aca="false">IF(VALUE(MONTH(C792))&lt;10,YEAR(C792)&amp;"-0"&amp;MONTH(C792),YEAR(C792)&amp;"-"&amp;MONTH(C792))</f>
        <v>1900-01</v>
      </c>
      <c r="BR792" s="153" t="n">
        <f aca="false">J792</f>
        <v>0</v>
      </c>
      <c r="BS792" s="153" t="n">
        <f aca="false">IF(ISNUMBER(FIND("-", BR792)), LEFT(BR792, FIND("-", BR792) - 1), BR792)</f>
        <v>0</v>
      </c>
      <c r="BT792" s="189" t="n">
        <f aca="false">L792-M792+O792</f>
        <v>0</v>
      </c>
    </row>
    <row r="793" s="153" customFormat="true" ht="15" hidden="false" customHeight="false" outlineLevel="0" collapsed="false">
      <c r="AN793" s="153" t="e">
        <v>#NAME?</v>
      </c>
      <c r="AO793" s="153" t="e">
        <f aca="false">_xlfn.xlookup(AN793,A:A,F:F)</f>
        <v>#NAME?</v>
      </c>
      <c r="AP793" s="153" t="e">
        <f aca="false">_xlfn.xlookup(AN793,A:A,J:J)</f>
        <v>#NAME?</v>
      </c>
      <c r="AQ793" s="153" t="e">
        <f aca="false">_xlfn.xlookup(AN793,A:A,N:N)+_xlfn.xlookup(AN793,A:A,O:O)</f>
        <v>#NAME?</v>
      </c>
      <c r="AR793" s="150" t="e">
        <f aca="false">_xlfn.xlookup(AN793,A:A,AH:AH)</f>
        <v>#NAME?</v>
      </c>
      <c r="AS793" s="150" t="e">
        <f aca="false">_xlfn.xlookup(AN793,A:A,S:S)</f>
        <v>#NAME?</v>
      </c>
      <c r="AT793" s="150" t="e">
        <f aca="false">_xlfn.xlookup(AN793,A:A,AE:AE)</f>
        <v>#NAME?</v>
      </c>
      <c r="AU793" s="150" t="e">
        <f aca="false">_xlfn.xlookup(AN793,A:A,AF:AF)</f>
        <v>#NAME?</v>
      </c>
      <c r="AX793" s="146"/>
      <c r="AY793" s="150"/>
      <c r="AZ793" s="150"/>
      <c r="BA793" s="150"/>
      <c r="BB793" s="146"/>
      <c r="BC793" s="146"/>
      <c r="BD793" s="151"/>
      <c r="BE793" s="146"/>
      <c r="BF793" s="146"/>
      <c r="BH793" s="152" t="e">
        <f aca="false">_xlfn.xlookup(BG793,A:A,F:F)</f>
        <v>#NAME?</v>
      </c>
      <c r="BI793" s="153" t="e">
        <f aca="false">_xlfn.xlookup(BG793,A:A,J:J)</f>
        <v>#NAME?</v>
      </c>
      <c r="BJ793" s="153" t="e">
        <f aca="false">_xlfn.xlookup(BG793,A:A,N:N)+_xlfn.xlookup(BG793,A:A,O:O)</f>
        <v>#NAME?</v>
      </c>
      <c r="BK793" s="153" t="e">
        <f aca="false">_xlfn.xlookup(BG793,A742:A1736,AB742:AB1736)</f>
        <v>#NAME?</v>
      </c>
      <c r="BN793" s="146"/>
      <c r="BO793" s="150"/>
      <c r="BQ793" s="153" t="str">
        <f aca="false">IF(VALUE(MONTH(C793))&lt;10,YEAR(C793)&amp;"-0"&amp;MONTH(C793),YEAR(C793)&amp;"-"&amp;MONTH(C793))</f>
        <v>1900-01</v>
      </c>
      <c r="BR793" s="153" t="n">
        <f aca="false">J793</f>
        <v>0</v>
      </c>
      <c r="BS793" s="153" t="n">
        <f aca="false">IF(ISNUMBER(FIND("-", BR793)), LEFT(BR793, FIND("-", BR793) - 1), BR793)</f>
        <v>0</v>
      </c>
      <c r="BT793" s="189" t="n">
        <f aca="false">L793-M793+O793</f>
        <v>0</v>
      </c>
    </row>
    <row r="794" s="153" customFormat="true" ht="15" hidden="false" customHeight="false" outlineLevel="0" collapsed="false">
      <c r="AN794" s="153" t="e">
        <v>#NAME?</v>
      </c>
      <c r="AO794" s="153" t="e">
        <f aca="false">_xlfn.xlookup(AN794,A:A,F:F)</f>
        <v>#NAME?</v>
      </c>
      <c r="AP794" s="153" t="e">
        <f aca="false">_xlfn.xlookup(AN794,A:A,J:J)</f>
        <v>#NAME?</v>
      </c>
      <c r="AQ794" s="153" t="e">
        <f aca="false">_xlfn.xlookup(AN794,A:A,N:N)+_xlfn.xlookup(AN794,A:A,O:O)</f>
        <v>#NAME?</v>
      </c>
      <c r="AR794" s="150" t="e">
        <f aca="false">_xlfn.xlookup(AN794,A:A,AH:AH)</f>
        <v>#NAME?</v>
      </c>
      <c r="AS794" s="150" t="e">
        <f aca="false">_xlfn.xlookup(AN794,A:A,S:S)</f>
        <v>#NAME?</v>
      </c>
      <c r="AT794" s="150" t="e">
        <f aca="false">_xlfn.xlookup(AN794,A:A,AE:AE)</f>
        <v>#NAME?</v>
      </c>
      <c r="AU794" s="150" t="e">
        <f aca="false">_xlfn.xlookup(AN794,A:A,AF:AF)</f>
        <v>#NAME?</v>
      </c>
      <c r="AX794" s="146"/>
      <c r="AY794" s="150"/>
      <c r="AZ794" s="150"/>
      <c r="BA794" s="150"/>
      <c r="BB794" s="146"/>
      <c r="BC794" s="146"/>
      <c r="BD794" s="151"/>
      <c r="BE794" s="146"/>
      <c r="BF794" s="146"/>
      <c r="BH794" s="152" t="e">
        <f aca="false">_xlfn.xlookup(BG794,A:A,F:F)</f>
        <v>#NAME?</v>
      </c>
      <c r="BI794" s="153" t="e">
        <f aca="false">_xlfn.xlookup(BG794,A:A,J:J)</f>
        <v>#NAME?</v>
      </c>
      <c r="BJ794" s="153" t="e">
        <f aca="false">_xlfn.xlookup(BG794,A:A,N:N)+_xlfn.xlookup(BG794,A:A,O:O)</f>
        <v>#NAME?</v>
      </c>
      <c r="BK794" s="153" t="e">
        <f aca="false">_xlfn.xlookup(BG794,A743:A1737,AB743:AB1737)</f>
        <v>#NAME?</v>
      </c>
      <c r="BN794" s="146"/>
      <c r="BO794" s="150"/>
      <c r="BQ794" s="153" t="str">
        <f aca="false">IF(VALUE(MONTH(C794))&lt;10,YEAR(C794)&amp;"-0"&amp;MONTH(C794),YEAR(C794)&amp;"-"&amp;MONTH(C794))</f>
        <v>1900-01</v>
      </c>
      <c r="BR794" s="153" t="n">
        <f aca="false">J794</f>
        <v>0</v>
      </c>
      <c r="BS794" s="153" t="n">
        <f aca="false">IF(ISNUMBER(FIND("-", BR794)), LEFT(BR794, FIND("-", BR794) - 1), BR794)</f>
        <v>0</v>
      </c>
      <c r="BT794" s="189" t="n">
        <f aca="false">L794-M794+O794</f>
        <v>0</v>
      </c>
    </row>
    <row r="795" s="153" customFormat="true" ht="15" hidden="false" customHeight="false" outlineLevel="0" collapsed="false">
      <c r="AN795" s="153" t="e">
        <v>#NAME?</v>
      </c>
      <c r="AO795" s="153" t="e">
        <f aca="false">_xlfn.xlookup(AN795,A:A,F:F)</f>
        <v>#NAME?</v>
      </c>
      <c r="AP795" s="153" t="e">
        <f aca="false">_xlfn.xlookup(AN795,A:A,J:J)</f>
        <v>#NAME?</v>
      </c>
      <c r="AQ795" s="153" t="e">
        <f aca="false">_xlfn.xlookup(AN795,A:A,N:N)+_xlfn.xlookup(AN795,A:A,O:O)</f>
        <v>#NAME?</v>
      </c>
      <c r="AR795" s="150" t="e">
        <f aca="false">_xlfn.xlookup(AN795,A:A,AH:AH)</f>
        <v>#NAME?</v>
      </c>
      <c r="AS795" s="150" t="e">
        <f aca="false">_xlfn.xlookup(AN795,A:A,S:S)</f>
        <v>#NAME?</v>
      </c>
      <c r="AT795" s="150" t="e">
        <f aca="false">_xlfn.xlookup(AN795,A:A,AE:AE)</f>
        <v>#NAME?</v>
      </c>
      <c r="AU795" s="150" t="e">
        <f aca="false">_xlfn.xlookup(AN795,A:A,AF:AF)</f>
        <v>#NAME?</v>
      </c>
      <c r="AX795" s="146"/>
      <c r="AY795" s="150"/>
      <c r="AZ795" s="150"/>
      <c r="BA795" s="150"/>
      <c r="BB795" s="146"/>
      <c r="BC795" s="146"/>
      <c r="BD795" s="151"/>
      <c r="BE795" s="146"/>
      <c r="BF795" s="146"/>
      <c r="BH795" s="152" t="e">
        <f aca="false">_xlfn.xlookup(BG795,A:A,F:F)</f>
        <v>#NAME?</v>
      </c>
      <c r="BI795" s="153" t="e">
        <f aca="false">_xlfn.xlookup(BG795,A:A,J:J)</f>
        <v>#NAME?</v>
      </c>
      <c r="BJ795" s="153" t="e">
        <f aca="false">_xlfn.xlookup(BG795,A:A,N:N)+_xlfn.xlookup(BG795,A:A,O:O)</f>
        <v>#NAME?</v>
      </c>
      <c r="BK795" s="153" t="e">
        <f aca="false">_xlfn.xlookup(BG795,A744:A1738,AB744:AB1738)</f>
        <v>#NAME?</v>
      </c>
      <c r="BN795" s="146"/>
      <c r="BO795" s="150"/>
      <c r="BQ795" s="153" t="str">
        <f aca="false">IF(VALUE(MONTH(C795))&lt;10,YEAR(C795)&amp;"-0"&amp;MONTH(C795),YEAR(C795)&amp;"-"&amp;MONTH(C795))</f>
        <v>1900-01</v>
      </c>
      <c r="BR795" s="153" t="n">
        <f aca="false">J795</f>
        <v>0</v>
      </c>
      <c r="BS795" s="153" t="n">
        <f aca="false">IF(ISNUMBER(FIND("-", BR795)), LEFT(BR795, FIND("-", BR795) - 1), BR795)</f>
        <v>0</v>
      </c>
      <c r="BT795" s="189" t="n">
        <f aca="false">L795-M795+O795</f>
        <v>0</v>
      </c>
    </row>
    <row r="796" s="153" customFormat="true" ht="15" hidden="false" customHeight="false" outlineLevel="0" collapsed="false">
      <c r="AN796" s="153" t="e">
        <v>#NAME?</v>
      </c>
      <c r="AO796" s="153" t="e">
        <f aca="false">_xlfn.xlookup(AN796,A:A,F:F)</f>
        <v>#NAME?</v>
      </c>
      <c r="AP796" s="153" t="e">
        <f aca="false">_xlfn.xlookup(AN796,A:A,J:J)</f>
        <v>#NAME?</v>
      </c>
      <c r="AQ796" s="153" t="e">
        <f aca="false">_xlfn.xlookup(AN796,A:A,N:N)+_xlfn.xlookup(AN796,A:A,O:O)</f>
        <v>#NAME?</v>
      </c>
      <c r="AR796" s="150" t="e">
        <f aca="false">_xlfn.xlookup(AN796,A:A,AH:AH)</f>
        <v>#NAME?</v>
      </c>
      <c r="AS796" s="150" t="e">
        <f aca="false">_xlfn.xlookup(AN796,A:A,S:S)</f>
        <v>#NAME?</v>
      </c>
      <c r="AT796" s="150" t="e">
        <f aca="false">_xlfn.xlookup(AN796,A:A,AE:AE)</f>
        <v>#NAME?</v>
      </c>
      <c r="AU796" s="150" t="e">
        <f aca="false">_xlfn.xlookup(AN796,A:A,AF:AF)</f>
        <v>#NAME?</v>
      </c>
      <c r="AX796" s="146"/>
      <c r="AY796" s="150"/>
      <c r="AZ796" s="150"/>
      <c r="BA796" s="150"/>
      <c r="BB796" s="146"/>
      <c r="BC796" s="146"/>
      <c r="BD796" s="151"/>
      <c r="BE796" s="146"/>
      <c r="BF796" s="146"/>
      <c r="BH796" s="152" t="e">
        <f aca="false">_xlfn.xlookup(BG796,A:A,F:F)</f>
        <v>#NAME?</v>
      </c>
      <c r="BI796" s="153" t="e">
        <f aca="false">_xlfn.xlookup(BG796,A:A,J:J)</f>
        <v>#NAME?</v>
      </c>
      <c r="BJ796" s="153" t="e">
        <f aca="false">_xlfn.xlookup(BG796,A:A,N:N)+_xlfn.xlookup(BG796,A:A,O:O)</f>
        <v>#NAME?</v>
      </c>
      <c r="BK796" s="153" t="e">
        <f aca="false">_xlfn.xlookup(BG796,A745:A1739,AB745:AB1739)</f>
        <v>#NAME?</v>
      </c>
      <c r="BN796" s="146"/>
      <c r="BO796" s="150"/>
      <c r="BQ796" s="153" t="str">
        <f aca="false">IF(VALUE(MONTH(C796))&lt;10,YEAR(C796)&amp;"-0"&amp;MONTH(C796),YEAR(C796)&amp;"-"&amp;MONTH(C796))</f>
        <v>1900-01</v>
      </c>
      <c r="BR796" s="153" t="n">
        <f aca="false">J796</f>
        <v>0</v>
      </c>
      <c r="BS796" s="153" t="n">
        <f aca="false">IF(ISNUMBER(FIND("-", BR796)), LEFT(BR796, FIND("-", BR796) - 1), BR796)</f>
        <v>0</v>
      </c>
      <c r="BT796" s="189" t="n">
        <f aca="false">L796-M796+O796</f>
        <v>0</v>
      </c>
    </row>
    <row r="797" s="153" customFormat="true" ht="15" hidden="false" customHeight="false" outlineLevel="0" collapsed="false">
      <c r="AN797" s="153" t="e">
        <v>#NAME?</v>
      </c>
      <c r="AO797" s="153" t="e">
        <f aca="false">_xlfn.xlookup(AN797,A:A,F:F)</f>
        <v>#NAME?</v>
      </c>
      <c r="AP797" s="153" t="e">
        <f aca="false">_xlfn.xlookup(AN797,A:A,J:J)</f>
        <v>#NAME?</v>
      </c>
      <c r="AQ797" s="153" t="e">
        <f aca="false">_xlfn.xlookup(AN797,A:A,N:N)+_xlfn.xlookup(AN797,A:A,O:O)</f>
        <v>#NAME?</v>
      </c>
      <c r="AR797" s="150" t="e">
        <f aca="false">_xlfn.xlookup(AN797,A:A,AH:AH)</f>
        <v>#NAME?</v>
      </c>
      <c r="AS797" s="150" t="e">
        <f aca="false">_xlfn.xlookup(AN797,A:A,S:S)</f>
        <v>#NAME?</v>
      </c>
      <c r="AT797" s="150" t="e">
        <f aca="false">_xlfn.xlookup(AN797,A:A,AE:AE)</f>
        <v>#NAME?</v>
      </c>
      <c r="AU797" s="150" t="e">
        <f aca="false">_xlfn.xlookup(AN797,A:A,AF:AF)</f>
        <v>#NAME?</v>
      </c>
      <c r="AX797" s="146"/>
      <c r="AY797" s="150"/>
      <c r="AZ797" s="150"/>
      <c r="BA797" s="150"/>
      <c r="BB797" s="146"/>
      <c r="BC797" s="146"/>
      <c r="BD797" s="151"/>
      <c r="BE797" s="146"/>
      <c r="BF797" s="146"/>
      <c r="BH797" s="152" t="e">
        <f aca="false">_xlfn.xlookup(BG797,A:A,F:F)</f>
        <v>#NAME?</v>
      </c>
      <c r="BI797" s="153" t="e">
        <f aca="false">_xlfn.xlookup(BG797,A:A,J:J)</f>
        <v>#NAME?</v>
      </c>
      <c r="BJ797" s="153" t="e">
        <f aca="false">_xlfn.xlookup(BG797,A:A,N:N)+_xlfn.xlookup(BG797,A:A,O:O)</f>
        <v>#NAME?</v>
      </c>
      <c r="BK797" s="153" t="e">
        <f aca="false">_xlfn.xlookup(BG797,A746:A1740,AB746:AB1740)</f>
        <v>#NAME?</v>
      </c>
      <c r="BN797" s="146"/>
      <c r="BO797" s="150"/>
      <c r="BQ797" s="153" t="str">
        <f aca="false">IF(VALUE(MONTH(C797))&lt;10,YEAR(C797)&amp;"-0"&amp;MONTH(C797),YEAR(C797)&amp;"-"&amp;MONTH(C797))</f>
        <v>1900-01</v>
      </c>
      <c r="BR797" s="153" t="n">
        <f aca="false">J797</f>
        <v>0</v>
      </c>
      <c r="BS797" s="153" t="n">
        <f aca="false">IF(ISNUMBER(FIND("-", BR797)), LEFT(BR797, FIND("-", BR797) - 1), BR797)</f>
        <v>0</v>
      </c>
      <c r="BT797" s="189" t="n">
        <f aca="false">L797-M797+O797</f>
        <v>0</v>
      </c>
    </row>
    <row r="798" s="153" customFormat="true" ht="15" hidden="false" customHeight="false" outlineLevel="0" collapsed="false">
      <c r="AN798" s="153" t="e">
        <v>#NAME?</v>
      </c>
      <c r="AO798" s="153" t="e">
        <f aca="false">_xlfn.xlookup(AN798,A:A,F:F)</f>
        <v>#NAME?</v>
      </c>
      <c r="AP798" s="153" t="e">
        <f aca="false">_xlfn.xlookup(AN798,A:A,J:J)</f>
        <v>#NAME?</v>
      </c>
      <c r="AQ798" s="153" t="e">
        <f aca="false">_xlfn.xlookup(AN798,A:A,N:N)+_xlfn.xlookup(AN798,A:A,O:O)</f>
        <v>#NAME?</v>
      </c>
      <c r="AR798" s="150" t="e">
        <f aca="false">_xlfn.xlookup(AN798,A:A,AH:AH)</f>
        <v>#NAME?</v>
      </c>
      <c r="AS798" s="150" t="e">
        <f aca="false">_xlfn.xlookup(AN798,A:A,S:S)</f>
        <v>#NAME?</v>
      </c>
      <c r="AT798" s="150" t="e">
        <f aca="false">_xlfn.xlookup(AN798,A:A,AE:AE)</f>
        <v>#NAME?</v>
      </c>
      <c r="AU798" s="150" t="e">
        <f aca="false">_xlfn.xlookup(AN798,A:A,AF:AF)</f>
        <v>#NAME?</v>
      </c>
      <c r="AX798" s="146"/>
      <c r="AY798" s="150"/>
      <c r="AZ798" s="150"/>
      <c r="BA798" s="150"/>
      <c r="BB798" s="146"/>
      <c r="BC798" s="146"/>
      <c r="BD798" s="151"/>
      <c r="BE798" s="146"/>
      <c r="BF798" s="146"/>
      <c r="BH798" s="152" t="e">
        <f aca="false">_xlfn.xlookup(BG798,A:A,F:F)</f>
        <v>#NAME?</v>
      </c>
      <c r="BI798" s="153" t="e">
        <f aca="false">_xlfn.xlookup(BG798,A:A,J:J)</f>
        <v>#NAME?</v>
      </c>
      <c r="BJ798" s="153" t="e">
        <f aca="false">_xlfn.xlookup(BG798,A:A,N:N)+_xlfn.xlookup(BG798,A:A,O:O)</f>
        <v>#NAME?</v>
      </c>
      <c r="BK798" s="153" t="e">
        <f aca="false">_xlfn.xlookup(BG798,A747:A1741,AB747:AB1741)</f>
        <v>#NAME?</v>
      </c>
      <c r="BN798" s="146"/>
      <c r="BO798" s="150"/>
      <c r="BQ798" s="153" t="str">
        <f aca="false">IF(VALUE(MONTH(C798))&lt;10,YEAR(C798)&amp;"-0"&amp;MONTH(C798),YEAR(C798)&amp;"-"&amp;MONTH(C798))</f>
        <v>1900-01</v>
      </c>
      <c r="BR798" s="153" t="n">
        <f aca="false">J798</f>
        <v>0</v>
      </c>
      <c r="BS798" s="153" t="n">
        <f aca="false">IF(ISNUMBER(FIND("-", BR798)), LEFT(BR798, FIND("-", BR798) - 1), BR798)</f>
        <v>0</v>
      </c>
      <c r="BT798" s="189" t="n">
        <f aca="false">L798-M798+O798</f>
        <v>0</v>
      </c>
    </row>
    <row r="799" s="153" customFormat="true" ht="15" hidden="false" customHeight="false" outlineLevel="0" collapsed="false">
      <c r="AN799" s="153" t="e">
        <v>#NAME?</v>
      </c>
      <c r="AO799" s="153" t="e">
        <f aca="false">_xlfn.xlookup(AN799,A:A,F:F)</f>
        <v>#NAME?</v>
      </c>
      <c r="AP799" s="153" t="e">
        <f aca="false">_xlfn.xlookup(AN799,A:A,J:J)</f>
        <v>#NAME?</v>
      </c>
      <c r="AQ799" s="153" t="e">
        <f aca="false">_xlfn.xlookup(AN799,A:A,N:N)+_xlfn.xlookup(AN799,A:A,O:O)</f>
        <v>#NAME?</v>
      </c>
      <c r="AR799" s="150" t="e">
        <f aca="false">_xlfn.xlookup(AN799,A:A,AH:AH)</f>
        <v>#NAME?</v>
      </c>
      <c r="AS799" s="150" t="e">
        <f aca="false">_xlfn.xlookup(AN799,A:A,S:S)</f>
        <v>#NAME?</v>
      </c>
      <c r="AT799" s="150" t="e">
        <f aca="false">_xlfn.xlookup(AN799,A:A,AE:AE)</f>
        <v>#NAME?</v>
      </c>
      <c r="AU799" s="150" t="e">
        <f aca="false">_xlfn.xlookup(AN799,A:A,AF:AF)</f>
        <v>#NAME?</v>
      </c>
      <c r="AX799" s="146"/>
      <c r="AY799" s="150"/>
      <c r="AZ799" s="150"/>
      <c r="BA799" s="150"/>
      <c r="BB799" s="146"/>
      <c r="BC799" s="146"/>
      <c r="BD799" s="151"/>
      <c r="BE799" s="146"/>
      <c r="BF799" s="146"/>
      <c r="BH799" s="152" t="e">
        <f aca="false">_xlfn.xlookup(BG799,A:A,F:F)</f>
        <v>#NAME?</v>
      </c>
      <c r="BI799" s="153" t="e">
        <f aca="false">_xlfn.xlookup(BG799,A:A,J:J)</f>
        <v>#NAME?</v>
      </c>
      <c r="BJ799" s="153" t="e">
        <f aca="false">_xlfn.xlookup(BG799,A:A,N:N)+_xlfn.xlookup(BG799,A:A,O:O)</f>
        <v>#NAME?</v>
      </c>
      <c r="BK799" s="153" t="e">
        <f aca="false">_xlfn.xlookup(BG799,A748:A1742,AB748:AB1742)</f>
        <v>#NAME?</v>
      </c>
      <c r="BN799" s="146"/>
      <c r="BO799" s="150"/>
      <c r="BQ799" s="153" t="str">
        <f aca="false">IF(VALUE(MONTH(C799))&lt;10,YEAR(C799)&amp;"-0"&amp;MONTH(C799),YEAR(C799)&amp;"-"&amp;MONTH(C799))</f>
        <v>1900-01</v>
      </c>
      <c r="BR799" s="153" t="n">
        <f aca="false">J799</f>
        <v>0</v>
      </c>
      <c r="BS799" s="153" t="n">
        <f aca="false">IF(ISNUMBER(FIND("-", BR799)), LEFT(BR799, FIND("-", BR799) - 1), BR799)</f>
        <v>0</v>
      </c>
      <c r="BT799" s="189" t="n">
        <f aca="false">L799-M799+O799</f>
        <v>0</v>
      </c>
    </row>
    <row r="800" s="153" customFormat="true" ht="15" hidden="false" customHeight="false" outlineLevel="0" collapsed="false">
      <c r="AN800" s="153" t="e">
        <v>#NAME?</v>
      </c>
      <c r="AO800" s="153" t="e">
        <f aca="false">_xlfn.xlookup(AN800,A:A,F:F)</f>
        <v>#NAME?</v>
      </c>
      <c r="AP800" s="153" t="e">
        <f aca="false">_xlfn.xlookup(AN800,A:A,J:J)</f>
        <v>#NAME?</v>
      </c>
      <c r="AQ800" s="153" t="e">
        <f aca="false">_xlfn.xlookup(AN800,A:A,N:N)+_xlfn.xlookup(AN800,A:A,O:O)</f>
        <v>#NAME?</v>
      </c>
      <c r="AR800" s="150" t="e">
        <f aca="false">_xlfn.xlookup(AN800,A:A,AH:AH)</f>
        <v>#NAME?</v>
      </c>
      <c r="AS800" s="150" t="e">
        <f aca="false">_xlfn.xlookup(AN800,A:A,S:S)</f>
        <v>#NAME?</v>
      </c>
      <c r="AT800" s="150" t="e">
        <f aca="false">_xlfn.xlookup(AN800,A:A,AE:AE)</f>
        <v>#NAME?</v>
      </c>
      <c r="AU800" s="150" t="e">
        <f aca="false">_xlfn.xlookup(AN800,A:A,AF:AF)</f>
        <v>#NAME?</v>
      </c>
      <c r="AX800" s="146"/>
      <c r="AY800" s="150"/>
      <c r="AZ800" s="150"/>
      <c r="BA800" s="150"/>
      <c r="BB800" s="146"/>
      <c r="BC800" s="146"/>
      <c r="BD800" s="151"/>
      <c r="BE800" s="146"/>
      <c r="BF800" s="146"/>
      <c r="BH800" s="152" t="e">
        <f aca="false">_xlfn.xlookup(BG800,A:A,F:F)</f>
        <v>#NAME?</v>
      </c>
      <c r="BI800" s="153" t="e">
        <f aca="false">_xlfn.xlookup(BG800,A:A,J:J)</f>
        <v>#NAME?</v>
      </c>
      <c r="BJ800" s="153" t="e">
        <f aca="false">_xlfn.xlookup(BG800,A:A,N:N)+_xlfn.xlookup(BG800,A:A,O:O)</f>
        <v>#NAME?</v>
      </c>
      <c r="BK800" s="153" t="e">
        <f aca="false">_xlfn.xlookup(BG800,A749:A1743,AB749:AB1743)</f>
        <v>#NAME?</v>
      </c>
      <c r="BN800" s="146"/>
      <c r="BO800" s="150"/>
      <c r="BQ800" s="153" t="str">
        <f aca="false">IF(VALUE(MONTH(C800))&lt;10,YEAR(C800)&amp;"-0"&amp;MONTH(C800),YEAR(C800)&amp;"-"&amp;MONTH(C800))</f>
        <v>1900-01</v>
      </c>
      <c r="BR800" s="153" t="n">
        <f aca="false">J800</f>
        <v>0</v>
      </c>
      <c r="BS800" s="153" t="n">
        <f aca="false">IF(ISNUMBER(FIND("-", BR800)), LEFT(BR800, FIND("-", BR800) - 1), BR800)</f>
        <v>0</v>
      </c>
      <c r="BT800" s="189" t="n">
        <f aca="false">L800-M800+O800</f>
        <v>0</v>
      </c>
    </row>
    <row r="801" s="153" customFormat="true" ht="15" hidden="false" customHeight="false" outlineLevel="0" collapsed="false">
      <c r="AN801" s="153" t="e">
        <v>#NAME?</v>
      </c>
      <c r="AO801" s="153" t="e">
        <f aca="false">_xlfn.xlookup(AN801,A:A,F:F)</f>
        <v>#NAME?</v>
      </c>
      <c r="AP801" s="153" t="e">
        <f aca="false">_xlfn.xlookup(AN801,A:A,J:J)</f>
        <v>#NAME?</v>
      </c>
      <c r="AQ801" s="153" t="e">
        <f aca="false">_xlfn.xlookup(AN801,A:A,N:N)+_xlfn.xlookup(AN801,A:A,O:O)</f>
        <v>#NAME?</v>
      </c>
      <c r="AR801" s="150" t="e">
        <f aca="false">_xlfn.xlookup(AN801,A:A,AH:AH)</f>
        <v>#NAME?</v>
      </c>
      <c r="AS801" s="150" t="e">
        <f aca="false">_xlfn.xlookup(AN801,A:A,S:S)</f>
        <v>#NAME?</v>
      </c>
      <c r="AT801" s="150" t="e">
        <f aca="false">_xlfn.xlookup(AN801,A:A,AE:AE)</f>
        <v>#NAME?</v>
      </c>
      <c r="AU801" s="150" t="e">
        <f aca="false">_xlfn.xlookup(AN801,A:A,AF:AF)</f>
        <v>#NAME?</v>
      </c>
      <c r="AX801" s="146"/>
      <c r="AY801" s="150"/>
      <c r="AZ801" s="150"/>
      <c r="BA801" s="150"/>
      <c r="BB801" s="146"/>
      <c r="BC801" s="146"/>
      <c r="BD801" s="151"/>
      <c r="BE801" s="146"/>
      <c r="BF801" s="146"/>
      <c r="BH801" s="152" t="e">
        <f aca="false">_xlfn.xlookup(BG801,A:A,F:F)</f>
        <v>#NAME?</v>
      </c>
      <c r="BI801" s="153" t="e">
        <f aca="false">_xlfn.xlookup(BG801,A:A,J:J)</f>
        <v>#NAME?</v>
      </c>
      <c r="BJ801" s="153" t="e">
        <f aca="false">_xlfn.xlookup(BG801,A:A,N:N)+_xlfn.xlookup(BG801,A:A,O:O)</f>
        <v>#NAME?</v>
      </c>
      <c r="BK801" s="153" t="e">
        <f aca="false">_xlfn.xlookup(BG801,A750:A1744,AB750:AB1744)</f>
        <v>#NAME?</v>
      </c>
      <c r="BN801" s="146"/>
      <c r="BO801" s="150"/>
      <c r="BQ801" s="153" t="str">
        <f aca="false">IF(VALUE(MONTH(C801))&lt;10,YEAR(C801)&amp;"-0"&amp;MONTH(C801),YEAR(C801)&amp;"-"&amp;MONTH(C801))</f>
        <v>1900-01</v>
      </c>
      <c r="BR801" s="153" t="n">
        <f aca="false">J801</f>
        <v>0</v>
      </c>
      <c r="BS801" s="153" t="n">
        <f aca="false">IF(ISNUMBER(FIND("-", BR801)), LEFT(BR801, FIND("-", BR801) - 1), BR801)</f>
        <v>0</v>
      </c>
      <c r="BT801" s="189" t="n">
        <f aca="false">L801-M801+O801</f>
        <v>0</v>
      </c>
    </row>
    <row r="802" s="153" customFormat="true" ht="15" hidden="false" customHeight="false" outlineLevel="0" collapsed="false">
      <c r="AN802" s="153" t="e">
        <v>#NAME?</v>
      </c>
      <c r="AO802" s="153" t="e">
        <f aca="false">_xlfn.xlookup(AN802,A:A,F:F)</f>
        <v>#NAME?</v>
      </c>
      <c r="AP802" s="153" t="e">
        <f aca="false">_xlfn.xlookup(AN802,A:A,J:J)</f>
        <v>#NAME?</v>
      </c>
      <c r="AQ802" s="153" t="e">
        <f aca="false">_xlfn.xlookup(AN802,A:A,N:N)+_xlfn.xlookup(AN802,A:A,O:O)</f>
        <v>#NAME?</v>
      </c>
      <c r="AR802" s="150" t="e">
        <f aca="false">_xlfn.xlookup(AN802,A:A,AH:AH)</f>
        <v>#NAME?</v>
      </c>
      <c r="AS802" s="150" t="e">
        <f aca="false">_xlfn.xlookup(AN802,A:A,S:S)</f>
        <v>#NAME?</v>
      </c>
      <c r="AT802" s="150" t="e">
        <f aca="false">_xlfn.xlookup(AN802,A:A,AE:AE)</f>
        <v>#NAME?</v>
      </c>
      <c r="AU802" s="150" t="e">
        <f aca="false">_xlfn.xlookup(AN802,A:A,AF:AF)</f>
        <v>#NAME?</v>
      </c>
      <c r="AX802" s="146"/>
      <c r="AY802" s="150"/>
      <c r="AZ802" s="150"/>
      <c r="BA802" s="150"/>
      <c r="BB802" s="146"/>
      <c r="BC802" s="146"/>
      <c r="BD802" s="151"/>
      <c r="BE802" s="146"/>
      <c r="BF802" s="146"/>
      <c r="BH802" s="152" t="e">
        <f aca="false">_xlfn.xlookup(BG802,A:A,F:F)</f>
        <v>#NAME?</v>
      </c>
      <c r="BI802" s="153" t="e">
        <f aca="false">_xlfn.xlookup(BG802,A:A,J:J)</f>
        <v>#NAME?</v>
      </c>
      <c r="BJ802" s="153" t="e">
        <f aca="false">_xlfn.xlookup(BG802,A:A,N:N)+_xlfn.xlookup(BG802,A:A,O:O)</f>
        <v>#NAME?</v>
      </c>
      <c r="BK802" s="153" t="e">
        <f aca="false">_xlfn.xlookup(BG802,A751:A1745,AB751:AB1745)</f>
        <v>#NAME?</v>
      </c>
      <c r="BN802" s="146"/>
      <c r="BO802" s="150"/>
      <c r="BQ802" s="153" t="str">
        <f aca="false">IF(VALUE(MONTH(C802))&lt;10,YEAR(C802)&amp;"-0"&amp;MONTH(C802),YEAR(C802)&amp;"-"&amp;MONTH(C802))</f>
        <v>1900-01</v>
      </c>
      <c r="BR802" s="153" t="n">
        <f aca="false">J802</f>
        <v>0</v>
      </c>
      <c r="BS802" s="153" t="n">
        <f aca="false">IF(ISNUMBER(FIND("-", BR802)), LEFT(BR802, FIND("-", BR802) - 1), BR802)</f>
        <v>0</v>
      </c>
      <c r="BT802" s="189" t="n">
        <f aca="false">L802-M802+O802</f>
        <v>0</v>
      </c>
    </row>
    <row r="803" s="153" customFormat="true" ht="15" hidden="false" customHeight="false" outlineLevel="0" collapsed="false">
      <c r="AN803" s="153" t="e">
        <v>#NAME?</v>
      </c>
      <c r="AO803" s="153" t="e">
        <f aca="false">_xlfn.xlookup(AN803,A:A,F:F)</f>
        <v>#NAME?</v>
      </c>
      <c r="AP803" s="153" t="e">
        <f aca="false">_xlfn.xlookup(AN803,A:A,J:J)</f>
        <v>#NAME?</v>
      </c>
      <c r="AQ803" s="153" t="e">
        <f aca="false">_xlfn.xlookup(AN803,A:A,N:N)+_xlfn.xlookup(AN803,A:A,O:O)</f>
        <v>#NAME?</v>
      </c>
      <c r="AR803" s="150" t="e">
        <f aca="false">_xlfn.xlookup(AN803,A:A,AH:AH)</f>
        <v>#NAME?</v>
      </c>
      <c r="AS803" s="150" t="e">
        <f aca="false">_xlfn.xlookup(AN803,A:A,S:S)</f>
        <v>#NAME?</v>
      </c>
      <c r="AT803" s="150" t="e">
        <f aca="false">_xlfn.xlookup(AN803,A:A,AE:AE)</f>
        <v>#NAME?</v>
      </c>
      <c r="AU803" s="150" t="e">
        <f aca="false">_xlfn.xlookup(AN803,A:A,AF:AF)</f>
        <v>#NAME?</v>
      </c>
      <c r="AX803" s="146"/>
      <c r="AY803" s="150"/>
      <c r="AZ803" s="150"/>
      <c r="BA803" s="150"/>
      <c r="BB803" s="146"/>
      <c r="BC803" s="146"/>
      <c r="BD803" s="151"/>
      <c r="BE803" s="146"/>
      <c r="BF803" s="146"/>
      <c r="BH803" s="152" t="e">
        <f aca="false">_xlfn.xlookup(BG803,A:A,F:F)</f>
        <v>#NAME?</v>
      </c>
      <c r="BI803" s="153" t="e">
        <f aca="false">_xlfn.xlookup(BG803,A:A,J:J)</f>
        <v>#NAME?</v>
      </c>
      <c r="BJ803" s="153" t="e">
        <f aca="false">_xlfn.xlookup(BG803,A:A,N:N)+_xlfn.xlookup(BG803,A:A,O:O)</f>
        <v>#NAME?</v>
      </c>
      <c r="BK803" s="153" t="e">
        <f aca="false">_xlfn.xlookup(BG803,A752:A1746,AB752:AB1746)</f>
        <v>#NAME?</v>
      </c>
      <c r="BN803" s="146"/>
      <c r="BO803" s="150"/>
      <c r="BQ803" s="153" t="str">
        <f aca="false">IF(VALUE(MONTH(C803))&lt;10,YEAR(C803)&amp;"-0"&amp;MONTH(C803),YEAR(C803)&amp;"-"&amp;MONTH(C803))</f>
        <v>1900-01</v>
      </c>
      <c r="BR803" s="153" t="n">
        <f aca="false">J803</f>
        <v>0</v>
      </c>
      <c r="BS803" s="153" t="n">
        <f aca="false">IF(ISNUMBER(FIND("-", BR803)), LEFT(BR803, FIND("-", BR803) - 1), BR803)</f>
        <v>0</v>
      </c>
      <c r="BT803" s="189" t="n">
        <f aca="false">L803-M803+O803</f>
        <v>0</v>
      </c>
    </row>
    <row r="804" s="153" customFormat="true" ht="15" hidden="false" customHeight="false" outlineLevel="0" collapsed="false">
      <c r="AN804" s="153" t="e">
        <v>#NAME?</v>
      </c>
      <c r="AO804" s="153" t="e">
        <f aca="false">_xlfn.xlookup(AN804,A:A,F:F)</f>
        <v>#NAME?</v>
      </c>
      <c r="AP804" s="153" t="e">
        <f aca="false">_xlfn.xlookup(AN804,A:A,J:J)</f>
        <v>#NAME?</v>
      </c>
      <c r="AQ804" s="153" t="e">
        <f aca="false">_xlfn.xlookup(AN804,A:A,N:N)+_xlfn.xlookup(AN804,A:A,O:O)</f>
        <v>#NAME?</v>
      </c>
      <c r="AR804" s="150" t="e">
        <f aca="false">_xlfn.xlookup(AN804,A:A,AH:AH)</f>
        <v>#NAME?</v>
      </c>
      <c r="AS804" s="150" t="e">
        <f aca="false">_xlfn.xlookup(AN804,A:A,S:S)</f>
        <v>#NAME?</v>
      </c>
      <c r="AT804" s="150" t="e">
        <f aca="false">_xlfn.xlookup(AN804,A:A,AE:AE)</f>
        <v>#NAME?</v>
      </c>
      <c r="AU804" s="150" t="e">
        <f aca="false">_xlfn.xlookup(AN804,A:A,AF:AF)</f>
        <v>#NAME?</v>
      </c>
      <c r="AX804" s="146"/>
      <c r="AY804" s="150"/>
      <c r="AZ804" s="150"/>
      <c r="BA804" s="150"/>
      <c r="BB804" s="146"/>
      <c r="BC804" s="146"/>
      <c r="BD804" s="151"/>
      <c r="BE804" s="146"/>
      <c r="BF804" s="146"/>
      <c r="BH804" s="152" t="e">
        <f aca="false">_xlfn.xlookup(BG804,A:A,F:F)</f>
        <v>#NAME?</v>
      </c>
      <c r="BI804" s="153" t="e">
        <f aca="false">_xlfn.xlookup(BG804,A:A,J:J)</f>
        <v>#NAME?</v>
      </c>
      <c r="BJ804" s="153" t="e">
        <f aca="false">_xlfn.xlookup(BG804,A:A,N:N)+_xlfn.xlookup(BG804,A:A,O:O)</f>
        <v>#NAME?</v>
      </c>
      <c r="BK804" s="153" t="e">
        <f aca="false">_xlfn.xlookup(BG804,A753:A1747,AB753:AB1747)</f>
        <v>#NAME?</v>
      </c>
      <c r="BN804" s="146"/>
      <c r="BO804" s="150"/>
      <c r="BQ804" s="153" t="str">
        <f aca="false">IF(VALUE(MONTH(C804))&lt;10,YEAR(C804)&amp;"-0"&amp;MONTH(C804),YEAR(C804)&amp;"-"&amp;MONTH(C804))</f>
        <v>1900-01</v>
      </c>
      <c r="BR804" s="153" t="n">
        <f aca="false">J804</f>
        <v>0</v>
      </c>
      <c r="BS804" s="153" t="n">
        <f aca="false">IF(ISNUMBER(FIND("-", BR804)), LEFT(BR804, FIND("-", BR804) - 1), BR804)</f>
        <v>0</v>
      </c>
      <c r="BT804" s="189" t="n">
        <f aca="false">L804-M804+O804</f>
        <v>0</v>
      </c>
    </row>
    <row r="805" s="153" customFormat="true" ht="15" hidden="false" customHeight="false" outlineLevel="0" collapsed="false">
      <c r="AN805" s="153" t="e">
        <v>#NAME?</v>
      </c>
      <c r="AO805" s="153" t="e">
        <f aca="false">_xlfn.xlookup(AN805,A:A,F:F)</f>
        <v>#NAME?</v>
      </c>
      <c r="AP805" s="153" t="e">
        <f aca="false">_xlfn.xlookup(AN805,A:A,J:J)</f>
        <v>#NAME?</v>
      </c>
      <c r="AQ805" s="153" t="e">
        <f aca="false">_xlfn.xlookup(AN805,A:A,N:N)+_xlfn.xlookup(AN805,A:A,O:O)</f>
        <v>#NAME?</v>
      </c>
      <c r="AR805" s="150" t="e">
        <f aca="false">_xlfn.xlookup(AN805,A:A,AH:AH)</f>
        <v>#NAME?</v>
      </c>
      <c r="AS805" s="150" t="e">
        <f aca="false">_xlfn.xlookup(AN805,A:A,S:S)</f>
        <v>#NAME?</v>
      </c>
      <c r="AT805" s="150" t="e">
        <f aca="false">_xlfn.xlookup(AN805,A:A,AE:AE)</f>
        <v>#NAME?</v>
      </c>
      <c r="AU805" s="150" t="e">
        <f aca="false">_xlfn.xlookup(AN805,A:A,AF:AF)</f>
        <v>#NAME?</v>
      </c>
      <c r="AX805" s="146"/>
      <c r="AY805" s="150"/>
      <c r="AZ805" s="150"/>
      <c r="BA805" s="150"/>
      <c r="BB805" s="146"/>
      <c r="BC805" s="146"/>
      <c r="BD805" s="151"/>
      <c r="BE805" s="146"/>
      <c r="BF805" s="146"/>
      <c r="BH805" s="152" t="e">
        <f aca="false">_xlfn.xlookup(BG805,A:A,F:F)</f>
        <v>#NAME?</v>
      </c>
      <c r="BI805" s="153" t="e">
        <f aca="false">_xlfn.xlookup(BG805,A:A,J:J)</f>
        <v>#NAME?</v>
      </c>
      <c r="BJ805" s="153" t="e">
        <f aca="false">_xlfn.xlookup(BG805,A:A,N:N)+_xlfn.xlookup(BG805,A:A,O:O)</f>
        <v>#NAME?</v>
      </c>
      <c r="BK805" s="153" t="e">
        <f aca="false">_xlfn.xlookup(BG805,A754:A1748,AB754:AB1748)</f>
        <v>#NAME?</v>
      </c>
      <c r="BN805" s="146"/>
      <c r="BO805" s="150"/>
      <c r="BQ805" s="153" t="str">
        <f aca="false">IF(VALUE(MONTH(C805))&lt;10,YEAR(C805)&amp;"-0"&amp;MONTH(C805),YEAR(C805)&amp;"-"&amp;MONTH(C805))</f>
        <v>1900-01</v>
      </c>
      <c r="BR805" s="153" t="n">
        <f aca="false">J805</f>
        <v>0</v>
      </c>
      <c r="BS805" s="153" t="n">
        <f aca="false">IF(ISNUMBER(FIND("-", BR805)), LEFT(BR805, FIND("-", BR805) - 1), BR805)</f>
        <v>0</v>
      </c>
      <c r="BT805" s="189" t="n">
        <f aca="false">L805-M805+O805</f>
        <v>0</v>
      </c>
    </row>
    <row r="806" s="153" customFormat="true" ht="15" hidden="false" customHeight="false" outlineLevel="0" collapsed="false">
      <c r="AN806" s="153" t="e">
        <v>#NAME?</v>
      </c>
      <c r="AO806" s="153" t="e">
        <f aca="false">_xlfn.xlookup(AN806,A:A,F:F)</f>
        <v>#NAME?</v>
      </c>
      <c r="AP806" s="153" t="e">
        <f aca="false">_xlfn.xlookup(AN806,A:A,J:J)</f>
        <v>#NAME?</v>
      </c>
      <c r="AQ806" s="153" t="e">
        <f aca="false">_xlfn.xlookup(AN806,A:A,N:N)+_xlfn.xlookup(AN806,A:A,O:O)</f>
        <v>#NAME?</v>
      </c>
      <c r="AR806" s="150" t="e">
        <f aca="false">_xlfn.xlookup(AN806,A:A,AH:AH)</f>
        <v>#NAME?</v>
      </c>
      <c r="AS806" s="150" t="e">
        <f aca="false">_xlfn.xlookup(AN806,A:A,S:S)</f>
        <v>#NAME?</v>
      </c>
      <c r="AT806" s="150" t="e">
        <f aca="false">_xlfn.xlookup(AN806,A:A,AE:AE)</f>
        <v>#NAME?</v>
      </c>
      <c r="AU806" s="150" t="e">
        <f aca="false">_xlfn.xlookup(AN806,A:A,AF:AF)</f>
        <v>#NAME?</v>
      </c>
      <c r="AX806" s="146"/>
      <c r="AY806" s="150"/>
      <c r="AZ806" s="150"/>
      <c r="BA806" s="150"/>
      <c r="BB806" s="146"/>
      <c r="BC806" s="146"/>
      <c r="BD806" s="151"/>
      <c r="BE806" s="146"/>
      <c r="BF806" s="146"/>
      <c r="BH806" s="152" t="e">
        <f aca="false">_xlfn.xlookup(BG806,A:A,F:F)</f>
        <v>#NAME?</v>
      </c>
      <c r="BI806" s="153" t="e">
        <f aca="false">_xlfn.xlookup(BG806,A:A,J:J)</f>
        <v>#NAME?</v>
      </c>
      <c r="BJ806" s="153" t="e">
        <f aca="false">_xlfn.xlookup(BG806,A:A,N:N)+_xlfn.xlookup(BG806,A:A,O:O)</f>
        <v>#NAME?</v>
      </c>
      <c r="BK806" s="153" t="e">
        <f aca="false">_xlfn.xlookup(BG806,A755:A1749,AB755:AB1749)</f>
        <v>#NAME?</v>
      </c>
      <c r="BN806" s="146"/>
      <c r="BO806" s="150"/>
      <c r="BQ806" s="153" t="str">
        <f aca="false">IF(VALUE(MONTH(C806))&lt;10,YEAR(C806)&amp;"-0"&amp;MONTH(C806),YEAR(C806)&amp;"-"&amp;MONTH(C806))</f>
        <v>1900-01</v>
      </c>
      <c r="BR806" s="153" t="n">
        <f aca="false">J806</f>
        <v>0</v>
      </c>
      <c r="BS806" s="153" t="n">
        <f aca="false">IF(ISNUMBER(FIND("-", BR806)), LEFT(BR806, FIND("-", BR806) - 1), BR806)</f>
        <v>0</v>
      </c>
      <c r="BT806" s="189" t="n">
        <f aca="false">L806-M806+O806</f>
        <v>0</v>
      </c>
    </row>
    <row r="807" s="153" customFormat="true" ht="15" hidden="false" customHeight="false" outlineLevel="0" collapsed="false">
      <c r="AN807" s="153" t="e">
        <v>#NAME?</v>
      </c>
      <c r="AO807" s="153" t="e">
        <f aca="false">_xlfn.xlookup(AN807,A:A,F:F)</f>
        <v>#NAME?</v>
      </c>
      <c r="AP807" s="153" t="e">
        <f aca="false">_xlfn.xlookup(AN807,A:A,J:J)</f>
        <v>#NAME?</v>
      </c>
      <c r="AQ807" s="153" t="e">
        <f aca="false">_xlfn.xlookup(AN807,A:A,N:N)+_xlfn.xlookup(AN807,A:A,O:O)</f>
        <v>#NAME?</v>
      </c>
      <c r="AR807" s="150" t="e">
        <f aca="false">_xlfn.xlookup(AN807,A:A,AH:AH)</f>
        <v>#NAME?</v>
      </c>
      <c r="AS807" s="150" t="e">
        <f aca="false">_xlfn.xlookup(AN807,A:A,S:S)</f>
        <v>#NAME?</v>
      </c>
      <c r="AT807" s="150" t="e">
        <f aca="false">_xlfn.xlookup(AN807,A:A,AE:AE)</f>
        <v>#NAME?</v>
      </c>
      <c r="AU807" s="150" t="e">
        <f aca="false">_xlfn.xlookup(AN807,A:A,AF:AF)</f>
        <v>#NAME?</v>
      </c>
      <c r="AX807" s="146"/>
      <c r="AY807" s="150"/>
      <c r="AZ807" s="150"/>
      <c r="BA807" s="150"/>
      <c r="BB807" s="146"/>
      <c r="BC807" s="146"/>
      <c r="BD807" s="151"/>
      <c r="BE807" s="146"/>
      <c r="BF807" s="146"/>
      <c r="BH807" s="152" t="e">
        <f aca="false">_xlfn.xlookup(BG807,A:A,F:F)</f>
        <v>#NAME?</v>
      </c>
      <c r="BI807" s="153" t="e">
        <f aca="false">_xlfn.xlookup(BG807,A:A,J:J)</f>
        <v>#NAME?</v>
      </c>
      <c r="BJ807" s="153" t="e">
        <f aca="false">_xlfn.xlookup(BG807,A:A,N:N)+_xlfn.xlookup(BG807,A:A,O:O)</f>
        <v>#NAME?</v>
      </c>
      <c r="BK807" s="153" t="e">
        <f aca="false">_xlfn.xlookup(BG807,A756:A1750,AB756:AB1750)</f>
        <v>#NAME?</v>
      </c>
      <c r="BN807" s="146"/>
      <c r="BO807" s="150"/>
      <c r="BQ807" s="153" t="str">
        <f aca="false">IF(VALUE(MONTH(C807))&lt;10,YEAR(C807)&amp;"-0"&amp;MONTH(C807),YEAR(C807)&amp;"-"&amp;MONTH(C807))</f>
        <v>1900-01</v>
      </c>
      <c r="BR807" s="153" t="n">
        <f aca="false">J807</f>
        <v>0</v>
      </c>
      <c r="BS807" s="153" t="n">
        <f aca="false">IF(ISNUMBER(FIND("-", BR807)), LEFT(BR807, FIND("-", BR807) - 1), BR807)</f>
        <v>0</v>
      </c>
      <c r="BT807" s="189" t="n">
        <f aca="false">L807-M807+O807</f>
        <v>0</v>
      </c>
    </row>
    <row r="808" s="153" customFormat="true" ht="15" hidden="false" customHeight="false" outlineLevel="0" collapsed="false">
      <c r="AN808" s="153" t="e">
        <v>#NAME?</v>
      </c>
      <c r="AO808" s="153" t="e">
        <f aca="false">_xlfn.xlookup(AN808,A:A,F:F)</f>
        <v>#NAME?</v>
      </c>
      <c r="AP808" s="153" t="e">
        <f aca="false">_xlfn.xlookup(AN808,A:A,J:J)</f>
        <v>#NAME?</v>
      </c>
      <c r="AQ808" s="153" t="e">
        <f aca="false">_xlfn.xlookup(AN808,A:A,N:N)+_xlfn.xlookup(AN808,A:A,O:O)</f>
        <v>#NAME?</v>
      </c>
      <c r="AR808" s="150" t="e">
        <f aca="false">_xlfn.xlookup(AN808,A:A,AH:AH)</f>
        <v>#NAME?</v>
      </c>
      <c r="AS808" s="150" t="e">
        <f aca="false">_xlfn.xlookup(AN808,A:A,S:S)</f>
        <v>#NAME?</v>
      </c>
      <c r="AT808" s="150" t="e">
        <f aca="false">_xlfn.xlookup(AN808,A:A,AE:AE)</f>
        <v>#NAME?</v>
      </c>
      <c r="AU808" s="150" t="e">
        <f aca="false">_xlfn.xlookup(AN808,A:A,AF:AF)</f>
        <v>#NAME?</v>
      </c>
      <c r="AX808" s="146"/>
      <c r="AY808" s="150"/>
      <c r="AZ808" s="150"/>
      <c r="BA808" s="150"/>
      <c r="BB808" s="146"/>
      <c r="BC808" s="146"/>
      <c r="BD808" s="151"/>
      <c r="BE808" s="146"/>
      <c r="BF808" s="146"/>
      <c r="BH808" s="152" t="e">
        <f aca="false">_xlfn.xlookup(BG808,A:A,F:F)</f>
        <v>#NAME?</v>
      </c>
      <c r="BI808" s="153" t="e">
        <f aca="false">_xlfn.xlookup(BG808,A:A,J:J)</f>
        <v>#NAME?</v>
      </c>
      <c r="BJ808" s="153" t="e">
        <f aca="false">_xlfn.xlookup(BG808,A:A,N:N)+_xlfn.xlookup(BG808,A:A,O:O)</f>
        <v>#NAME?</v>
      </c>
      <c r="BK808" s="153" t="e">
        <f aca="false">_xlfn.xlookup(BG808,A757:A1751,AB757:AB1751)</f>
        <v>#NAME?</v>
      </c>
      <c r="BN808" s="146"/>
      <c r="BO808" s="150"/>
      <c r="BQ808" s="153" t="str">
        <f aca="false">IF(VALUE(MONTH(C808))&lt;10,YEAR(C808)&amp;"-0"&amp;MONTH(C808),YEAR(C808)&amp;"-"&amp;MONTH(C808))</f>
        <v>1900-01</v>
      </c>
      <c r="BR808" s="153" t="n">
        <f aca="false">J808</f>
        <v>0</v>
      </c>
      <c r="BS808" s="153" t="n">
        <f aca="false">IF(ISNUMBER(FIND("-", BR808)), LEFT(BR808, FIND("-", BR808) - 1), BR808)</f>
        <v>0</v>
      </c>
      <c r="BT808" s="189" t="n">
        <f aca="false">L808-M808+O808</f>
        <v>0</v>
      </c>
    </row>
    <row r="809" s="153" customFormat="true" ht="15" hidden="false" customHeight="false" outlineLevel="0" collapsed="false">
      <c r="AN809" s="153" t="e">
        <v>#NAME?</v>
      </c>
      <c r="AO809" s="153" t="e">
        <f aca="false">_xlfn.xlookup(AN809,A:A,F:F)</f>
        <v>#NAME?</v>
      </c>
      <c r="AP809" s="153" t="e">
        <f aca="false">_xlfn.xlookup(AN809,A:A,J:J)</f>
        <v>#NAME?</v>
      </c>
      <c r="AQ809" s="153" t="e">
        <f aca="false">_xlfn.xlookup(AN809,A:A,N:N)+_xlfn.xlookup(AN809,A:A,O:O)</f>
        <v>#NAME?</v>
      </c>
      <c r="AR809" s="150" t="e">
        <f aca="false">_xlfn.xlookup(AN809,A:A,AH:AH)</f>
        <v>#NAME?</v>
      </c>
      <c r="AS809" s="150" t="e">
        <f aca="false">_xlfn.xlookup(AN809,A:A,S:S)</f>
        <v>#NAME?</v>
      </c>
      <c r="AT809" s="150" t="e">
        <f aca="false">_xlfn.xlookup(AN809,A:A,AE:AE)</f>
        <v>#NAME?</v>
      </c>
      <c r="AU809" s="150" t="e">
        <f aca="false">_xlfn.xlookup(AN809,A:A,AF:AF)</f>
        <v>#NAME?</v>
      </c>
      <c r="AX809" s="146"/>
      <c r="AY809" s="150"/>
      <c r="AZ809" s="150"/>
      <c r="BA809" s="150"/>
      <c r="BB809" s="146"/>
      <c r="BC809" s="146"/>
      <c r="BD809" s="151"/>
      <c r="BE809" s="146"/>
      <c r="BF809" s="146"/>
      <c r="BH809" s="152" t="e">
        <f aca="false">_xlfn.xlookup(BG809,A:A,F:F)</f>
        <v>#NAME?</v>
      </c>
      <c r="BI809" s="153" t="e">
        <f aca="false">_xlfn.xlookup(BG809,A:A,J:J)</f>
        <v>#NAME?</v>
      </c>
      <c r="BJ809" s="153" t="e">
        <f aca="false">_xlfn.xlookup(BG809,A:A,N:N)+_xlfn.xlookup(BG809,A:A,O:O)</f>
        <v>#NAME?</v>
      </c>
      <c r="BK809" s="153" t="e">
        <f aca="false">_xlfn.xlookup(BG809,A758:A1752,AB758:AB1752)</f>
        <v>#NAME?</v>
      </c>
      <c r="BN809" s="146"/>
      <c r="BO809" s="150"/>
      <c r="BQ809" s="153" t="str">
        <f aca="false">IF(VALUE(MONTH(C809))&lt;10,YEAR(C809)&amp;"-0"&amp;MONTH(C809),YEAR(C809)&amp;"-"&amp;MONTH(C809))</f>
        <v>1900-01</v>
      </c>
      <c r="BR809" s="153" t="n">
        <f aca="false">J809</f>
        <v>0</v>
      </c>
      <c r="BS809" s="153" t="n">
        <f aca="false">IF(ISNUMBER(FIND("-", BR809)), LEFT(BR809, FIND("-", BR809) - 1), BR809)</f>
        <v>0</v>
      </c>
      <c r="BT809" s="189" t="n">
        <f aca="false">L809-M809+O809</f>
        <v>0</v>
      </c>
    </row>
    <row r="810" s="153" customFormat="true" ht="15" hidden="false" customHeight="false" outlineLevel="0" collapsed="false">
      <c r="AN810" s="153" t="e">
        <v>#NAME?</v>
      </c>
      <c r="AO810" s="153" t="e">
        <f aca="false">_xlfn.xlookup(AN810,A:A,F:F)</f>
        <v>#NAME?</v>
      </c>
      <c r="AP810" s="153" t="e">
        <f aca="false">_xlfn.xlookup(AN810,A:A,J:J)</f>
        <v>#NAME?</v>
      </c>
      <c r="AQ810" s="153" t="e">
        <f aca="false">_xlfn.xlookup(AN810,A:A,N:N)+_xlfn.xlookup(AN810,A:A,O:O)</f>
        <v>#NAME?</v>
      </c>
      <c r="AR810" s="150" t="e">
        <f aca="false">_xlfn.xlookup(AN810,A:A,AH:AH)</f>
        <v>#NAME?</v>
      </c>
      <c r="AS810" s="150" t="e">
        <f aca="false">_xlfn.xlookup(AN810,A:A,S:S)</f>
        <v>#NAME?</v>
      </c>
      <c r="AT810" s="150" t="e">
        <f aca="false">_xlfn.xlookup(AN810,A:A,AE:AE)</f>
        <v>#NAME?</v>
      </c>
      <c r="AU810" s="150" t="e">
        <f aca="false">_xlfn.xlookup(AN810,A:A,AF:AF)</f>
        <v>#NAME?</v>
      </c>
      <c r="AX810" s="146"/>
      <c r="AY810" s="150"/>
      <c r="AZ810" s="150"/>
      <c r="BA810" s="150"/>
      <c r="BB810" s="146"/>
      <c r="BC810" s="146"/>
      <c r="BD810" s="151"/>
      <c r="BE810" s="146"/>
      <c r="BF810" s="146"/>
      <c r="BH810" s="152" t="e">
        <f aca="false">_xlfn.xlookup(BG810,A:A,F:F)</f>
        <v>#NAME?</v>
      </c>
      <c r="BI810" s="153" t="e">
        <f aca="false">_xlfn.xlookup(BG810,A:A,J:J)</f>
        <v>#NAME?</v>
      </c>
      <c r="BJ810" s="153" t="e">
        <f aca="false">_xlfn.xlookup(BG810,A:A,N:N)+_xlfn.xlookup(BG810,A:A,O:O)</f>
        <v>#NAME?</v>
      </c>
      <c r="BK810" s="153" t="e">
        <f aca="false">_xlfn.xlookup(BG810,A759:A1753,AB759:AB1753)</f>
        <v>#NAME?</v>
      </c>
      <c r="BN810" s="146"/>
      <c r="BO810" s="150"/>
      <c r="BQ810" s="153" t="str">
        <f aca="false">IF(VALUE(MONTH(C810))&lt;10,YEAR(C810)&amp;"-0"&amp;MONTH(C810),YEAR(C810)&amp;"-"&amp;MONTH(C810))</f>
        <v>1900-01</v>
      </c>
      <c r="BR810" s="153" t="n">
        <f aca="false">J810</f>
        <v>0</v>
      </c>
      <c r="BS810" s="153" t="n">
        <f aca="false">IF(ISNUMBER(FIND("-", BR810)), LEFT(BR810, FIND("-", BR810) - 1), BR810)</f>
        <v>0</v>
      </c>
      <c r="BT810" s="189" t="n">
        <f aca="false">L810-M810+O810</f>
        <v>0</v>
      </c>
    </row>
    <row r="811" s="153" customFormat="true" ht="15" hidden="false" customHeight="false" outlineLevel="0" collapsed="false">
      <c r="AN811" s="153" t="e">
        <v>#NAME?</v>
      </c>
      <c r="AO811" s="153" t="e">
        <f aca="false">_xlfn.xlookup(AN811,A:A,F:F)</f>
        <v>#NAME?</v>
      </c>
      <c r="AP811" s="153" t="e">
        <f aca="false">_xlfn.xlookup(AN811,A:A,J:J)</f>
        <v>#NAME?</v>
      </c>
      <c r="AQ811" s="153" t="e">
        <f aca="false">_xlfn.xlookup(AN811,A:A,N:N)+_xlfn.xlookup(AN811,A:A,O:O)</f>
        <v>#NAME?</v>
      </c>
      <c r="AR811" s="150" t="e">
        <f aca="false">_xlfn.xlookup(AN811,A:A,AH:AH)</f>
        <v>#NAME?</v>
      </c>
      <c r="AS811" s="150" t="e">
        <f aca="false">_xlfn.xlookup(AN811,A:A,S:S)</f>
        <v>#NAME?</v>
      </c>
      <c r="AT811" s="150" t="e">
        <f aca="false">_xlfn.xlookup(AN811,A:A,AE:AE)</f>
        <v>#NAME?</v>
      </c>
      <c r="AU811" s="150" t="e">
        <f aca="false">_xlfn.xlookup(AN811,A:A,AF:AF)</f>
        <v>#NAME?</v>
      </c>
      <c r="AX811" s="146"/>
      <c r="AY811" s="150"/>
      <c r="AZ811" s="150"/>
      <c r="BA811" s="150"/>
      <c r="BB811" s="146"/>
      <c r="BC811" s="146"/>
      <c r="BD811" s="151"/>
      <c r="BE811" s="146"/>
      <c r="BF811" s="146"/>
      <c r="BH811" s="152" t="e">
        <f aca="false">_xlfn.xlookup(BG811,A:A,F:F)</f>
        <v>#NAME?</v>
      </c>
      <c r="BI811" s="153" t="e">
        <f aca="false">_xlfn.xlookup(BG811,A:A,J:J)</f>
        <v>#NAME?</v>
      </c>
      <c r="BJ811" s="153" t="e">
        <f aca="false">_xlfn.xlookup(BG811,A:A,N:N)+_xlfn.xlookup(BG811,A:A,O:O)</f>
        <v>#NAME?</v>
      </c>
      <c r="BK811" s="153" t="e">
        <f aca="false">_xlfn.xlookup(BG811,A760:A1754,AB760:AB1754)</f>
        <v>#NAME?</v>
      </c>
      <c r="BN811" s="146"/>
      <c r="BO811" s="150"/>
      <c r="BQ811" s="153" t="str">
        <f aca="false">IF(VALUE(MONTH(C811))&lt;10,YEAR(C811)&amp;"-0"&amp;MONTH(C811),YEAR(C811)&amp;"-"&amp;MONTH(C811))</f>
        <v>1900-01</v>
      </c>
      <c r="BR811" s="153" t="n">
        <f aca="false">J811</f>
        <v>0</v>
      </c>
      <c r="BS811" s="153" t="n">
        <f aca="false">IF(ISNUMBER(FIND("-", BR811)), LEFT(BR811, FIND("-", BR811) - 1), BR811)</f>
        <v>0</v>
      </c>
      <c r="BT811" s="189" t="n">
        <f aca="false">L811-M811+O811</f>
        <v>0</v>
      </c>
    </row>
    <row r="812" s="153" customFormat="true" ht="15" hidden="false" customHeight="false" outlineLevel="0" collapsed="false">
      <c r="AN812" s="153" t="e">
        <v>#NAME?</v>
      </c>
      <c r="AO812" s="153" t="e">
        <f aca="false">_xlfn.xlookup(AN812,A:A,F:F)</f>
        <v>#NAME?</v>
      </c>
      <c r="AP812" s="153" t="e">
        <f aca="false">_xlfn.xlookup(AN812,A:A,J:J)</f>
        <v>#NAME?</v>
      </c>
      <c r="AQ812" s="153" t="e">
        <f aca="false">_xlfn.xlookup(AN812,A:A,N:N)+_xlfn.xlookup(AN812,A:A,O:O)</f>
        <v>#NAME?</v>
      </c>
      <c r="AR812" s="150" t="e">
        <f aca="false">_xlfn.xlookup(AN812,A:A,AH:AH)</f>
        <v>#NAME?</v>
      </c>
      <c r="AS812" s="150" t="e">
        <f aca="false">_xlfn.xlookup(AN812,A:A,S:S)</f>
        <v>#NAME?</v>
      </c>
      <c r="AT812" s="150" t="e">
        <f aca="false">_xlfn.xlookup(AN812,A:A,AE:AE)</f>
        <v>#NAME?</v>
      </c>
      <c r="AU812" s="150" t="e">
        <f aca="false">_xlfn.xlookup(AN812,A:A,AF:AF)</f>
        <v>#NAME?</v>
      </c>
      <c r="AX812" s="146"/>
      <c r="AY812" s="150"/>
      <c r="AZ812" s="150"/>
      <c r="BA812" s="150"/>
      <c r="BB812" s="146"/>
      <c r="BC812" s="146"/>
      <c r="BD812" s="151"/>
      <c r="BE812" s="146"/>
      <c r="BF812" s="146"/>
      <c r="BH812" s="152" t="e">
        <f aca="false">_xlfn.xlookup(BG812,A:A,F:F)</f>
        <v>#NAME?</v>
      </c>
      <c r="BI812" s="153" t="e">
        <f aca="false">_xlfn.xlookup(BG812,A:A,J:J)</f>
        <v>#NAME?</v>
      </c>
      <c r="BJ812" s="153" t="e">
        <f aca="false">_xlfn.xlookup(BG812,A:A,N:N)+_xlfn.xlookup(BG812,A:A,O:O)</f>
        <v>#NAME?</v>
      </c>
      <c r="BK812" s="153" t="e">
        <f aca="false">_xlfn.xlookup(BG812,A761:A1755,AB761:AB1755)</f>
        <v>#NAME?</v>
      </c>
      <c r="BN812" s="146"/>
      <c r="BO812" s="150"/>
      <c r="BQ812" s="153" t="str">
        <f aca="false">IF(VALUE(MONTH(C812))&lt;10,YEAR(C812)&amp;"-0"&amp;MONTH(C812),YEAR(C812)&amp;"-"&amp;MONTH(C812))</f>
        <v>1900-01</v>
      </c>
      <c r="BR812" s="153" t="n">
        <f aca="false">J812</f>
        <v>0</v>
      </c>
      <c r="BS812" s="153" t="n">
        <f aca="false">IF(ISNUMBER(FIND("-", BR812)), LEFT(BR812, FIND("-", BR812) - 1), BR812)</f>
        <v>0</v>
      </c>
      <c r="BT812" s="189" t="n">
        <f aca="false">L812-M812+O812</f>
        <v>0</v>
      </c>
    </row>
    <row r="813" s="153" customFormat="true" ht="15" hidden="false" customHeight="false" outlineLevel="0" collapsed="false">
      <c r="AN813" s="153" t="e">
        <v>#NAME?</v>
      </c>
      <c r="AO813" s="153" t="e">
        <f aca="false">_xlfn.xlookup(AN813,A:A,F:F)</f>
        <v>#NAME?</v>
      </c>
      <c r="AP813" s="153" t="e">
        <f aca="false">_xlfn.xlookup(AN813,A:A,J:J)</f>
        <v>#NAME?</v>
      </c>
      <c r="AQ813" s="153" t="e">
        <f aca="false">_xlfn.xlookup(AN813,A:A,N:N)+_xlfn.xlookup(AN813,A:A,O:O)</f>
        <v>#NAME?</v>
      </c>
      <c r="AR813" s="150" t="e">
        <f aca="false">_xlfn.xlookup(AN813,A:A,AH:AH)</f>
        <v>#NAME?</v>
      </c>
      <c r="AS813" s="150" t="e">
        <f aca="false">_xlfn.xlookup(AN813,A:A,S:S)</f>
        <v>#NAME?</v>
      </c>
      <c r="AT813" s="150" t="e">
        <f aca="false">_xlfn.xlookup(AN813,A:A,AE:AE)</f>
        <v>#NAME?</v>
      </c>
      <c r="AU813" s="150" t="e">
        <f aca="false">_xlfn.xlookup(AN813,A:A,AF:AF)</f>
        <v>#NAME?</v>
      </c>
      <c r="AX813" s="146"/>
      <c r="AY813" s="150"/>
      <c r="AZ813" s="150"/>
      <c r="BA813" s="150"/>
      <c r="BB813" s="146"/>
      <c r="BC813" s="146"/>
      <c r="BD813" s="151"/>
      <c r="BE813" s="146"/>
      <c r="BF813" s="146"/>
      <c r="BH813" s="152" t="e">
        <f aca="false">_xlfn.xlookup(BG813,A:A,F:F)</f>
        <v>#NAME?</v>
      </c>
      <c r="BI813" s="153" t="e">
        <f aca="false">_xlfn.xlookup(BG813,A:A,J:J)</f>
        <v>#NAME?</v>
      </c>
      <c r="BJ813" s="153" t="e">
        <f aca="false">_xlfn.xlookup(BG813,A:A,N:N)+_xlfn.xlookup(BG813,A:A,O:O)</f>
        <v>#NAME?</v>
      </c>
      <c r="BK813" s="153" t="e">
        <f aca="false">_xlfn.xlookup(BG813,A762:A1756,AB762:AB1756)</f>
        <v>#NAME?</v>
      </c>
      <c r="BN813" s="146"/>
      <c r="BO813" s="150"/>
      <c r="BQ813" s="153" t="str">
        <f aca="false">IF(VALUE(MONTH(C813))&lt;10,YEAR(C813)&amp;"-0"&amp;MONTH(C813),YEAR(C813)&amp;"-"&amp;MONTH(C813))</f>
        <v>1900-01</v>
      </c>
      <c r="BR813" s="153" t="n">
        <f aca="false">J813</f>
        <v>0</v>
      </c>
      <c r="BS813" s="153" t="n">
        <f aca="false">IF(ISNUMBER(FIND("-", BR813)), LEFT(BR813, FIND("-", BR813) - 1), BR813)</f>
        <v>0</v>
      </c>
      <c r="BT813" s="189" t="n">
        <f aca="false">L813-M813+O813</f>
        <v>0</v>
      </c>
    </row>
    <row r="814" s="153" customFormat="true" ht="15" hidden="false" customHeight="false" outlineLevel="0" collapsed="false">
      <c r="AN814" s="153" t="e">
        <v>#NAME?</v>
      </c>
      <c r="AO814" s="153" t="e">
        <f aca="false">_xlfn.xlookup(AN814,A:A,F:F)</f>
        <v>#NAME?</v>
      </c>
      <c r="AP814" s="153" t="e">
        <f aca="false">_xlfn.xlookup(AN814,A:A,J:J)</f>
        <v>#NAME?</v>
      </c>
      <c r="AQ814" s="153" t="e">
        <f aca="false">_xlfn.xlookup(AN814,A:A,N:N)+_xlfn.xlookup(AN814,A:A,O:O)</f>
        <v>#NAME?</v>
      </c>
      <c r="AR814" s="150" t="e">
        <f aca="false">_xlfn.xlookup(AN814,A:A,AH:AH)</f>
        <v>#NAME?</v>
      </c>
      <c r="AS814" s="150" t="e">
        <f aca="false">_xlfn.xlookup(AN814,A:A,S:S)</f>
        <v>#NAME?</v>
      </c>
      <c r="AT814" s="150" t="e">
        <f aca="false">_xlfn.xlookup(AN814,A:A,AE:AE)</f>
        <v>#NAME?</v>
      </c>
      <c r="AU814" s="150" t="e">
        <f aca="false">_xlfn.xlookup(AN814,A:A,AF:AF)</f>
        <v>#NAME?</v>
      </c>
      <c r="AX814" s="146"/>
      <c r="AY814" s="150"/>
      <c r="AZ814" s="150"/>
      <c r="BA814" s="150"/>
      <c r="BB814" s="146"/>
      <c r="BC814" s="146"/>
      <c r="BD814" s="151"/>
      <c r="BE814" s="146"/>
      <c r="BF814" s="146"/>
      <c r="BH814" s="152" t="e">
        <f aca="false">_xlfn.xlookup(BG814,A:A,F:F)</f>
        <v>#NAME?</v>
      </c>
      <c r="BI814" s="153" t="e">
        <f aca="false">_xlfn.xlookup(BG814,A:A,J:J)</f>
        <v>#NAME?</v>
      </c>
      <c r="BJ814" s="153" t="e">
        <f aca="false">_xlfn.xlookup(BG814,A:A,N:N)+_xlfn.xlookup(BG814,A:A,O:O)</f>
        <v>#NAME?</v>
      </c>
      <c r="BK814" s="153" t="e">
        <f aca="false">_xlfn.xlookup(BG814,A763:A1757,AB763:AB1757)</f>
        <v>#NAME?</v>
      </c>
      <c r="BN814" s="146"/>
      <c r="BO814" s="150"/>
      <c r="BQ814" s="153" t="str">
        <f aca="false">IF(VALUE(MONTH(C814))&lt;10,YEAR(C814)&amp;"-0"&amp;MONTH(C814),YEAR(C814)&amp;"-"&amp;MONTH(C814))</f>
        <v>1900-01</v>
      </c>
      <c r="BR814" s="153" t="n">
        <f aca="false">J814</f>
        <v>0</v>
      </c>
      <c r="BS814" s="153" t="n">
        <f aca="false">IF(ISNUMBER(FIND("-", BR814)), LEFT(BR814, FIND("-", BR814) - 1), BR814)</f>
        <v>0</v>
      </c>
      <c r="BT814" s="189" t="n">
        <f aca="false">L814-M814+O814</f>
        <v>0</v>
      </c>
    </row>
    <row r="815" s="153" customFormat="true" ht="15" hidden="false" customHeight="false" outlineLevel="0" collapsed="false">
      <c r="AN815" s="153" t="e">
        <v>#NAME?</v>
      </c>
      <c r="AO815" s="153" t="e">
        <f aca="false">_xlfn.xlookup(AN815,A:A,F:F)</f>
        <v>#NAME?</v>
      </c>
      <c r="AP815" s="153" t="e">
        <f aca="false">_xlfn.xlookup(AN815,A:A,J:J)</f>
        <v>#NAME?</v>
      </c>
      <c r="AQ815" s="153" t="e">
        <f aca="false">_xlfn.xlookup(AN815,A:A,N:N)+_xlfn.xlookup(AN815,A:A,O:O)</f>
        <v>#NAME?</v>
      </c>
      <c r="AR815" s="150" t="e">
        <f aca="false">_xlfn.xlookup(AN815,A:A,AH:AH)</f>
        <v>#NAME?</v>
      </c>
      <c r="AS815" s="150" t="e">
        <f aca="false">_xlfn.xlookup(AN815,A:A,S:S)</f>
        <v>#NAME?</v>
      </c>
      <c r="AT815" s="150" t="e">
        <f aca="false">_xlfn.xlookup(AN815,A:A,AE:AE)</f>
        <v>#NAME?</v>
      </c>
      <c r="AU815" s="150" t="e">
        <f aca="false">_xlfn.xlookup(AN815,A:A,AF:AF)</f>
        <v>#NAME?</v>
      </c>
      <c r="AX815" s="146"/>
      <c r="AY815" s="150"/>
      <c r="AZ815" s="150"/>
      <c r="BA815" s="150"/>
      <c r="BB815" s="146"/>
      <c r="BC815" s="146"/>
      <c r="BD815" s="151"/>
      <c r="BE815" s="146"/>
      <c r="BF815" s="146"/>
      <c r="BH815" s="152" t="e">
        <f aca="false">_xlfn.xlookup(BG815,A:A,F:F)</f>
        <v>#NAME?</v>
      </c>
      <c r="BI815" s="153" t="e">
        <f aca="false">_xlfn.xlookup(BG815,A:A,J:J)</f>
        <v>#NAME?</v>
      </c>
      <c r="BJ815" s="153" t="e">
        <f aca="false">_xlfn.xlookup(BG815,A:A,N:N)+_xlfn.xlookup(BG815,A:A,O:O)</f>
        <v>#NAME?</v>
      </c>
      <c r="BK815" s="153" t="e">
        <f aca="false">_xlfn.xlookup(BG815,A764:A1758,AB764:AB1758)</f>
        <v>#NAME?</v>
      </c>
      <c r="BN815" s="146"/>
      <c r="BO815" s="150"/>
      <c r="BQ815" s="153" t="str">
        <f aca="false">IF(VALUE(MONTH(C815))&lt;10,YEAR(C815)&amp;"-0"&amp;MONTH(C815),YEAR(C815)&amp;"-"&amp;MONTH(C815))</f>
        <v>1900-01</v>
      </c>
      <c r="BR815" s="153" t="n">
        <f aca="false">J815</f>
        <v>0</v>
      </c>
      <c r="BS815" s="153" t="n">
        <f aca="false">IF(ISNUMBER(FIND("-", BR815)), LEFT(BR815, FIND("-", BR815) - 1), BR815)</f>
        <v>0</v>
      </c>
      <c r="BT815" s="189" t="n">
        <f aca="false">L815-M815+O815</f>
        <v>0</v>
      </c>
    </row>
    <row r="816" s="153" customFormat="true" ht="15" hidden="false" customHeight="false" outlineLevel="0" collapsed="false">
      <c r="AN816" s="153" t="e">
        <v>#NAME?</v>
      </c>
      <c r="AO816" s="153" t="e">
        <f aca="false">_xlfn.xlookup(AN816,A:A,F:F)</f>
        <v>#NAME?</v>
      </c>
      <c r="AP816" s="153" t="e">
        <f aca="false">_xlfn.xlookup(AN816,A:A,J:J)</f>
        <v>#NAME?</v>
      </c>
      <c r="AQ816" s="153" t="e">
        <f aca="false">_xlfn.xlookup(AN816,A:A,N:N)+_xlfn.xlookup(AN816,A:A,O:O)</f>
        <v>#NAME?</v>
      </c>
      <c r="AR816" s="150" t="e">
        <f aca="false">_xlfn.xlookup(AN816,A:A,AH:AH)</f>
        <v>#NAME?</v>
      </c>
      <c r="AS816" s="150" t="e">
        <f aca="false">_xlfn.xlookup(AN816,A:A,S:S)</f>
        <v>#NAME?</v>
      </c>
      <c r="AT816" s="150" t="e">
        <f aca="false">_xlfn.xlookup(AN816,A:A,AE:AE)</f>
        <v>#NAME?</v>
      </c>
      <c r="AU816" s="150" t="e">
        <f aca="false">_xlfn.xlookup(AN816,A:A,AF:AF)</f>
        <v>#NAME?</v>
      </c>
      <c r="AX816" s="146"/>
      <c r="AY816" s="150"/>
      <c r="AZ816" s="150"/>
      <c r="BA816" s="150"/>
      <c r="BB816" s="146"/>
      <c r="BC816" s="146"/>
      <c r="BD816" s="151"/>
      <c r="BE816" s="146"/>
      <c r="BF816" s="146"/>
      <c r="BH816" s="152" t="e">
        <f aca="false">_xlfn.xlookup(BG816,A:A,F:F)</f>
        <v>#NAME?</v>
      </c>
      <c r="BI816" s="153" t="e">
        <f aca="false">_xlfn.xlookup(BG816,A:A,J:J)</f>
        <v>#NAME?</v>
      </c>
      <c r="BJ816" s="153" t="e">
        <f aca="false">_xlfn.xlookup(BG816,A:A,N:N)+_xlfn.xlookup(BG816,A:A,O:O)</f>
        <v>#NAME?</v>
      </c>
      <c r="BK816" s="153" t="e">
        <f aca="false">_xlfn.xlookup(BG816,A765:A1759,AB765:AB1759)</f>
        <v>#NAME?</v>
      </c>
      <c r="BN816" s="146"/>
      <c r="BO816" s="150"/>
      <c r="BQ816" s="153" t="str">
        <f aca="false">IF(VALUE(MONTH(C816))&lt;10,YEAR(C816)&amp;"-0"&amp;MONTH(C816),YEAR(C816)&amp;"-"&amp;MONTH(C816))</f>
        <v>1900-01</v>
      </c>
      <c r="BR816" s="153" t="n">
        <f aca="false">J816</f>
        <v>0</v>
      </c>
      <c r="BS816" s="153" t="n">
        <f aca="false">IF(ISNUMBER(FIND("-", BR816)), LEFT(BR816, FIND("-", BR816) - 1), BR816)</f>
        <v>0</v>
      </c>
      <c r="BT816" s="189" t="n">
        <f aca="false">L816-M816+O816</f>
        <v>0</v>
      </c>
    </row>
    <row r="817" s="153" customFormat="true" ht="15" hidden="false" customHeight="false" outlineLevel="0" collapsed="false">
      <c r="AN817" s="153" t="e">
        <v>#NAME?</v>
      </c>
      <c r="AO817" s="153" t="e">
        <f aca="false">_xlfn.xlookup(AN817,A:A,F:F)</f>
        <v>#NAME?</v>
      </c>
      <c r="AP817" s="153" t="e">
        <f aca="false">_xlfn.xlookup(AN817,A:A,J:J)</f>
        <v>#NAME?</v>
      </c>
      <c r="AQ817" s="153" t="e">
        <f aca="false">_xlfn.xlookup(AN817,A:A,N:N)+_xlfn.xlookup(AN817,A:A,O:O)</f>
        <v>#NAME?</v>
      </c>
      <c r="AR817" s="150" t="e">
        <f aca="false">_xlfn.xlookup(AN817,A:A,AH:AH)</f>
        <v>#NAME?</v>
      </c>
      <c r="AS817" s="150" t="e">
        <f aca="false">_xlfn.xlookup(AN817,A:A,S:S)</f>
        <v>#NAME?</v>
      </c>
      <c r="AT817" s="150" t="e">
        <f aca="false">_xlfn.xlookup(AN817,A:A,AE:AE)</f>
        <v>#NAME?</v>
      </c>
      <c r="AU817" s="150" t="e">
        <f aca="false">_xlfn.xlookup(AN817,A:A,AF:AF)</f>
        <v>#NAME?</v>
      </c>
      <c r="AX817" s="146"/>
      <c r="AY817" s="150"/>
      <c r="AZ817" s="150"/>
      <c r="BA817" s="150"/>
      <c r="BB817" s="146"/>
      <c r="BC817" s="146"/>
      <c r="BD817" s="151"/>
      <c r="BE817" s="146"/>
      <c r="BF817" s="146"/>
      <c r="BH817" s="152" t="e">
        <f aca="false">_xlfn.xlookup(BG817,A:A,F:F)</f>
        <v>#NAME?</v>
      </c>
      <c r="BI817" s="153" t="e">
        <f aca="false">_xlfn.xlookup(BG817,A:A,J:J)</f>
        <v>#NAME?</v>
      </c>
      <c r="BJ817" s="153" t="e">
        <f aca="false">_xlfn.xlookup(BG817,A:A,N:N)+_xlfn.xlookup(BG817,A:A,O:O)</f>
        <v>#NAME?</v>
      </c>
      <c r="BK817" s="153" t="e">
        <f aca="false">_xlfn.xlookup(BG817,A766:A1760,AB766:AB1760)</f>
        <v>#NAME?</v>
      </c>
      <c r="BN817" s="146"/>
      <c r="BO817" s="150"/>
      <c r="BQ817" s="153" t="str">
        <f aca="false">IF(VALUE(MONTH(C817))&lt;10,YEAR(C817)&amp;"-0"&amp;MONTH(C817),YEAR(C817)&amp;"-"&amp;MONTH(C817))</f>
        <v>1900-01</v>
      </c>
      <c r="BR817" s="153" t="n">
        <f aca="false">J817</f>
        <v>0</v>
      </c>
      <c r="BS817" s="153" t="n">
        <f aca="false">IF(ISNUMBER(FIND("-", BR817)), LEFT(BR817, FIND("-", BR817) - 1), BR817)</f>
        <v>0</v>
      </c>
      <c r="BT817" s="189" t="n">
        <f aca="false">L817-M817+O817</f>
        <v>0</v>
      </c>
    </row>
    <row r="818" s="153" customFormat="true" ht="15" hidden="false" customHeight="false" outlineLevel="0" collapsed="false">
      <c r="AN818" s="153" t="e">
        <v>#NAME?</v>
      </c>
      <c r="AO818" s="153" t="e">
        <f aca="false">_xlfn.xlookup(AN818,A:A,F:F)</f>
        <v>#NAME?</v>
      </c>
      <c r="AP818" s="153" t="e">
        <f aca="false">_xlfn.xlookup(AN818,A:A,J:J)</f>
        <v>#NAME?</v>
      </c>
      <c r="AQ818" s="153" t="e">
        <f aca="false">_xlfn.xlookup(AN818,A:A,N:N)+_xlfn.xlookup(AN818,A:A,O:O)</f>
        <v>#NAME?</v>
      </c>
      <c r="AR818" s="150" t="e">
        <f aca="false">_xlfn.xlookup(AN818,A:A,AH:AH)</f>
        <v>#NAME?</v>
      </c>
      <c r="AS818" s="150" t="e">
        <f aca="false">_xlfn.xlookup(AN818,A:A,S:S)</f>
        <v>#NAME?</v>
      </c>
      <c r="AT818" s="150" t="e">
        <f aca="false">_xlfn.xlookup(AN818,A:A,AE:AE)</f>
        <v>#NAME?</v>
      </c>
      <c r="AU818" s="150" t="e">
        <f aca="false">_xlfn.xlookup(AN818,A:A,AF:AF)</f>
        <v>#NAME?</v>
      </c>
      <c r="AX818" s="146"/>
      <c r="AY818" s="150"/>
      <c r="AZ818" s="150"/>
      <c r="BA818" s="150"/>
      <c r="BB818" s="146"/>
      <c r="BC818" s="146"/>
      <c r="BD818" s="151"/>
      <c r="BE818" s="146"/>
      <c r="BF818" s="146"/>
      <c r="BH818" s="152" t="e">
        <f aca="false">_xlfn.xlookup(BG818,A:A,F:F)</f>
        <v>#NAME?</v>
      </c>
      <c r="BI818" s="153" t="e">
        <f aca="false">_xlfn.xlookup(BG818,A:A,J:J)</f>
        <v>#NAME?</v>
      </c>
      <c r="BJ818" s="153" t="e">
        <f aca="false">_xlfn.xlookup(BG818,A:A,N:N)+_xlfn.xlookup(BG818,A:A,O:O)</f>
        <v>#NAME?</v>
      </c>
      <c r="BK818" s="153" t="e">
        <f aca="false">_xlfn.xlookup(BG818,A767:A1761,AB767:AB1761)</f>
        <v>#NAME?</v>
      </c>
      <c r="BN818" s="146"/>
      <c r="BO818" s="150"/>
      <c r="BQ818" s="153" t="str">
        <f aca="false">IF(VALUE(MONTH(C818))&lt;10,YEAR(C818)&amp;"-0"&amp;MONTH(C818),YEAR(C818)&amp;"-"&amp;MONTH(C818))</f>
        <v>1900-01</v>
      </c>
      <c r="BR818" s="153" t="n">
        <f aca="false">J818</f>
        <v>0</v>
      </c>
      <c r="BS818" s="153" t="n">
        <f aca="false">IF(ISNUMBER(FIND("-", BR818)), LEFT(BR818, FIND("-", BR818) - 1), BR818)</f>
        <v>0</v>
      </c>
      <c r="BT818" s="189" t="n">
        <f aca="false">L818-M818+O818</f>
        <v>0</v>
      </c>
    </row>
    <row r="819" s="153" customFormat="true" ht="15" hidden="false" customHeight="false" outlineLevel="0" collapsed="false">
      <c r="AN819" s="153" t="e">
        <v>#NAME?</v>
      </c>
      <c r="AO819" s="153" t="e">
        <f aca="false">_xlfn.xlookup(AN819,A:A,F:F)</f>
        <v>#NAME?</v>
      </c>
      <c r="AP819" s="153" t="e">
        <f aca="false">_xlfn.xlookup(AN819,A:A,J:J)</f>
        <v>#NAME?</v>
      </c>
      <c r="AQ819" s="153" t="e">
        <f aca="false">_xlfn.xlookup(AN819,A:A,N:N)+_xlfn.xlookup(AN819,A:A,O:O)</f>
        <v>#NAME?</v>
      </c>
      <c r="AR819" s="150" t="e">
        <f aca="false">_xlfn.xlookup(AN819,A:A,AH:AH)</f>
        <v>#NAME?</v>
      </c>
      <c r="AS819" s="150" t="e">
        <f aca="false">_xlfn.xlookup(AN819,A:A,S:S)</f>
        <v>#NAME?</v>
      </c>
      <c r="AT819" s="150" t="e">
        <f aca="false">_xlfn.xlookup(AN819,A:A,AE:AE)</f>
        <v>#NAME?</v>
      </c>
      <c r="AU819" s="150" t="e">
        <f aca="false">_xlfn.xlookup(AN819,A:A,AF:AF)</f>
        <v>#NAME?</v>
      </c>
      <c r="AX819" s="146"/>
      <c r="AY819" s="150"/>
      <c r="AZ819" s="150"/>
      <c r="BA819" s="150"/>
      <c r="BB819" s="146"/>
      <c r="BC819" s="146"/>
      <c r="BD819" s="151"/>
      <c r="BE819" s="146"/>
      <c r="BF819" s="146"/>
      <c r="BH819" s="152" t="e">
        <f aca="false">_xlfn.xlookup(BG819,A:A,F:F)</f>
        <v>#NAME?</v>
      </c>
      <c r="BI819" s="153" t="e">
        <f aca="false">_xlfn.xlookup(BG819,A:A,J:J)</f>
        <v>#NAME?</v>
      </c>
      <c r="BJ819" s="153" t="e">
        <f aca="false">_xlfn.xlookup(BG819,A:A,N:N)+_xlfn.xlookup(BG819,A:A,O:O)</f>
        <v>#NAME?</v>
      </c>
      <c r="BK819" s="153" t="e">
        <f aca="false">_xlfn.xlookup(BG819,A768:A1762,AB768:AB1762)</f>
        <v>#NAME?</v>
      </c>
      <c r="BN819" s="146"/>
      <c r="BO819" s="150"/>
      <c r="BQ819" s="153" t="str">
        <f aca="false">IF(VALUE(MONTH(C819))&lt;10,YEAR(C819)&amp;"-0"&amp;MONTH(C819),YEAR(C819)&amp;"-"&amp;MONTH(C819))</f>
        <v>1900-01</v>
      </c>
      <c r="BR819" s="153" t="n">
        <f aca="false">J819</f>
        <v>0</v>
      </c>
      <c r="BS819" s="153" t="n">
        <f aca="false">IF(ISNUMBER(FIND("-", BR819)), LEFT(BR819, FIND("-", BR819) - 1), BR819)</f>
        <v>0</v>
      </c>
      <c r="BT819" s="189" t="n">
        <f aca="false">L819-M819+O819</f>
        <v>0</v>
      </c>
    </row>
    <row r="820" s="153" customFormat="true" ht="15" hidden="false" customHeight="false" outlineLevel="0" collapsed="false">
      <c r="AN820" s="153" t="e">
        <v>#NAME?</v>
      </c>
      <c r="AO820" s="153" t="e">
        <f aca="false">_xlfn.xlookup(AN820,A:A,F:F)</f>
        <v>#NAME?</v>
      </c>
      <c r="AP820" s="153" t="e">
        <f aca="false">_xlfn.xlookup(AN820,A:A,J:J)</f>
        <v>#NAME?</v>
      </c>
      <c r="AQ820" s="153" t="e">
        <f aca="false">_xlfn.xlookup(AN820,A:A,N:N)+_xlfn.xlookup(AN820,A:A,O:O)</f>
        <v>#NAME?</v>
      </c>
      <c r="AR820" s="150" t="e">
        <f aca="false">_xlfn.xlookup(AN820,A:A,AH:AH)</f>
        <v>#NAME?</v>
      </c>
      <c r="AS820" s="150" t="e">
        <f aca="false">_xlfn.xlookup(AN820,A:A,S:S)</f>
        <v>#NAME?</v>
      </c>
      <c r="AT820" s="150" t="e">
        <f aca="false">_xlfn.xlookup(AN820,A:A,AE:AE)</f>
        <v>#NAME?</v>
      </c>
      <c r="AU820" s="150" t="e">
        <f aca="false">_xlfn.xlookup(AN820,A:A,AF:AF)</f>
        <v>#NAME?</v>
      </c>
      <c r="AX820" s="146"/>
      <c r="AY820" s="150"/>
      <c r="AZ820" s="150"/>
      <c r="BA820" s="150"/>
      <c r="BB820" s="146"/>
      <c r="BC820" s="146"/>
      <c r="BD820" s="151"/>
      <c r="BE820" s="146"/>
      <c r="BF820" s="146"/>
      <c r="BH820" s="152" t="e">
        <f aca="false">_xlfn.xlookup(BG820,A:A,F:F)</f>
        <v>#NAME?</v>
      </c>
      <c r="BI820" s="153" t="e">
        <f aca="false">_xlfn.xlookup(BG820,A:A,J:J)</f>
        <v>#NAME?</v>
      </c>
      <c r="BJ820" s="153" t="e">
        <f aca="false">_xlfn.xlookup(BG820,A:A,N:N)+_xlfn.xlookup(BG820,A:A,O:O)</f>
        <v>#NAME?</v>
      </c>
      <c r="BK820" s="153" t="e">
        <f aca="false">_xlfn.xlookup(BG820,A769:A1763,AB769:AB1763)</f>
        <v>#NAME?</v>
      </c>
      <c r="BN820" s="146"/>
      <c r="BO820" s="150"/>
      <c r="BQ820" s="153" t="str">
        <f aca="false">IF(VALUE(MONTH(C820))&lt;10,YEAR(C820)&amp;"-0"&amp;MONTH(C820),YEAR(C820)&amp;"-"&amp;MONTH(C820))</f>
        <v>1900-01</v>
      </c>
      <c r="BR820" s="153" t="n">
        <f aca="false">J820</f>
        <v>0</v>
      </c>
      <c r="BS820" s="153" t="n">
        <f aca="false">IF(ISNUMBER(FIND("-", BR820)), LEFT(BR820, FIND("-", BR820) - 1), BR820)</f>
        <v>0</v>
      </c>
      <c r="BT820" s="189" t="n">
        <f aca="false">L820-M820+O820</f>
        <v>0</v>
      </c>
    </row>
    <row r="821" s="153" customFormat="true" ht="15" hidden="false" customHeight="false" outlineLevel="0" collapsed="false">
      <c r="AN821" s="153" t="e">
        <v>#NAME?</v>
      </c>
      <c r="AO821" s="153" t="e">
        <f aca="false">_xlfn.xlookup(AN821,A:A,F:F)</f>
        <v>#NAME?</v>
      </c>
      <c r="AP821" s="153" t="e">
        <f aca="false">_xlfn.xlookup(AN821,A:A,J:J)</f>
        <v>#NAME?</v>
      </c>
      <c r="AQ821" s="153" t="e">
        <f aca="false">_xlfn.xlookup(AN821,A:A,N:N)+_xlfn.xlookup(AN821,A:A,O:O)</f>
        <v>#NAME?</v>
      </c>
      <c r="AR821" s="150" t="e">
        <f aca="false">_xlfn.xlookup(AN821,A:A,AH:AH)</f>
        <v>#NAME?</v>
      </c>
      <c r="AS821" s="150" t="e">
        <f aca="false">_xlfn.xlookup(AN821,A:A,S:S)</f>
        <v>#NAME?</v>
      </c>
      <c r="AT821" s="150" t="e">
        <f aca="false">_xlfn.xlookup(AN821,A:A,AE:AE)</f>
        <v>#NAME?</v>
      </c>
      <c r="AU821" s="150" t="e">
        <f aca="false">_xlfn.xlookup(AN821,A:A,AF:AF)</f>
        <v>#NAME?</v>
      </c>
      <c r="AX821" s="146"/>
      <c r="AY821" s="150"/>
      <c r="AZ821" s="150"/>
      <c r="BA821" s="150"/>
      <c r="BB821" s="146"/>
      <c r="BC821" s="146"/>
      <c r="BD821" s="151"/>
      <c r="BE821" s="146"/>
      <c r="BF821" s="146"/>
      <c r="BH821" s="152" t="e">
        <f aca="false">_xlfn.xlookup(BG821,A:A,F:F)</f>
        <v>#NAME?</v>
      </c>
      <c r="BI821" s="153" t="e">
        <f aca="false">_xlfn.xlookup(BG821,A:A,J:J)</f>
        <v>#NAME?</v>
      </c>
      <c r="BJ821" s="153" t="e">
        <f aca="false">_xlfn.xlookup(BG821,A:A,N:N)+_xlfn.xlookup(BG821,A:A,O:O)</f>
        <v>#NAME?</v>
      </c>
      <c r="BK821" s="153" t="e">
        <f aca="false">_xlfn.xlookup(BG821,A770:A1764,AB770:AB1764)</f>
        <v>#NAME?</v>
      </c>
      <c r="BN821" s="146"/>
      <c r="BO821" s="150"/>
      <c r="BQ821" s="153" t="str">
        <f aca="false">IF(VALUE(MONTH(C821))&lt;10,YEAR(C821)&amp;"-0"&amp;MONTH(C821),YEAR(C821)&amp;"-"&amp;MONTH(C821))</f>
        <v>1900-01</v>
      </c>
      <c r="BR821" s="153" t="n">
        <f aca="false">J821</f>
        <v>0</v>
      </c>
      <c r="BS821" s="153" t="n">
        <f aca="false">IF(ISNUMBER(FIND("-", BR821)), LEFT(BR821, FIND("-", BR821) - 1), BR821)</f>
        <v>0</v>
      </c>
      <c r="BT821" s="189" t="n">
        <f aca="false">L821-M821+O821</f>
        <v>0</v>
      </c>
    </row>
    <row r="822" s="153" customFormat="true" ht="15" hidden="false" customHeight="false" outlineLevel="0" collapsed="false">
      <c r="AN822" s="153" t="e">
        <v>#NAME?</v>
      </c>
      <c r="AO822" s="153" t="e">
        <f aca="false">_xlfn.xlookup(AN822,A:A,F:F)</f>
        <v>#NAME?</v>
      </c>
      <c r="AP822" s="153" t="e">
        <f aca="false">_xlfn.xlookup(AN822,A:A,J:J)</f>
        <v>#NAME?</v>
      </c>
      <c r="AQ822" s="153" t="e">
        <f aca="false">_xlfn.xlookup(AN822,A:A,N:N)+_xlfn.xlookup(AN822,A:A,O:O)</f>
        <v>#NAME?</v>
      </c>
      <c r="AR822" s="150" t="e">
        <f aca="false">_xlfn.xlookup(AN822,A:A,AH:AH)</f>
        <v>#NAME?</v>
      </c>
      <c r="AS822" s="150" t="e">
        <f aca="false">_xlfn.xlookup(AN822,A:A,S:S)</f>
        <v>#NAME?</v>
      </c>
      <c r="AT822" s="150" t="e">
        <f aca="false">_xlfn.xlookup(AN822,A:A,AE:AE)</f>
        <v>#NAME?</v>
      </c>
      <c r="AU822" s="150" t="e">
        <f aca="false">_xlfn.xlookup(AN822,A:A,AF:AF)</f>
        <v>#NAME?</v>
      </c>
      <c r="AX822" s="146"/>
      <c r="AY822" s="150"/>
      <c r="AZ822" s="150"/>
      <c r="BA822" s="150"/>
      <c r="BB822" s="146"/>
      <c r="BC822" s="146"/>
      <c r="BD822" s="151"/>
      <c r="BE822" s="146"/>
      <c r="BF822" s="146"/>
      <c r="BH822" s="152" t="e">
        <f aca="false">_xlfn.xlookup(BG822,A:A,F:F)</f>
        <v>#NAME?</v>
      </c>
      <c r="BI822" s="153" t="e">
        <f aca="false">_xlfn.xlookup(BG822,A:A,J:J)</f>
        <v>#NAME?</v>
      </c>
      <c r="BJ822" s="153" t="e">
        <f aca="false">_xlfn.xlookup(BG822,A:A,N:N)+_xlfn.xlookup(BG822,A:A,O:O)</f>
        <v>#NAME?</v>
      </c>
      <c r="BK822" s="153" t="e">
        <f aca="false">_xlfn.xlookup(BG822,A771:A1765,AB771:AB1765)</f>
        <v>#NAME?</v>
      </c>
      <c r="BN822" s="146"/>
      <c r="BO822" s="150"/>
      <c r="BQ822" s="153" t="str">
        <f aca="false">IF(VALUE(MONTH(C822))&lt;10,YEAR(C822)&amp;"-0"&amp;MONTH(C822),YEAR(C822)&amp;"-"&amp;MONTH(C822))</f>
        <v>1900-01</v>
      </c>
      <c r="BR822" s="153" t="n">
        <f aca="false">J822</f>
        <v>0</v>
      </c>
      <c r="BS822" s="153" t="n">
        <f aca="false">IF(ISNUMBER(FIND("-", BR822)), LEFT(BR822, FIND("-", BR822) - 1), BR822)</f>
        <v>0</v>
      </c>
      <c r="BT822" s="189" t="n">
        <f aca="false">L822-M822+O822</f>
        <v>0</v>
      </c>
    </row>
    <row r="823" s="153" customFormat="true" ht="15" hidden="false" customHeight="false" outlineLevel="0" collapsed="false">
      <c r="AN823" s="153" t="e">
        <v>#NAME?</v>
      </c>
      <c r="AO823" s="153" t="e">
        <f aca="false">_xlfn.xlookup(AN823,A:A,F:F)</f>
        <v>#NAME?</v>
      </c>
      <c r="AP823" s="153" t="e">
        <f aca="false">_xlfn.xlookup(AN823,A:A,J:J)</f>
        <v>#NAME?</v>
      </c>
      <c r="AQ823" s="153" t="e">
        <f aca="false">_xlfn.xlookup(AN823,A:A,N:N)+_xlfn.xlookup(AN823,A:A,O:O)</f>
        <v>#NAME?</v>
      </c>
      <c r="AR823" s="150" t="e">
        <f aca="false">_xlfn.xlookup(AN823,A:A,AH:AH)</f>
        <v>#NAME?</v>
      </c>
      <c r="AS823" s="150" t="e">
        <f aca="false">_xlfn.xlookup(AN823,A:A,S:S)</f>
        <v>#NAME?</v>
      </c>
      <c r="AT823" s="150" t="e">
        <f aca="false">_xlfn.xlookup(AN823,A:A,AE:AE)</f>
        <v>#NAME?</v>
      </c>
      <c r="AU823" s="150" t="e">
        <f aca="false">_xlfn.xlookup(AN823,A:A,AF:AF)</f>
        <v>#NAME?</v>
      </c>
      <c r="AX823" s="146"/>
      <c r="AY823" s="150"/>
      <c r="AZ823" s="150"/>
      <c r="BA823" s="150"/>
      <c r="BB823" s="146"/>
      <c r="BC823" s="146"/>
      <c r="BD823" s="151"/>
      <c r="BE823" s="146"/>
      <c r="BF823" s="146"/>
      <c r="BH823" s="152" t="e">
        <f aca="false">_xlfn.xlookup(BG823,A:A,F:F)</f>
        <v>#NAME?</v>
      </c>
      <c r="BI823" s="153" t="e">
        <f aca="false">_xlfn.xlookup(BG823,A:A,J:J)</f>
        <v>#NAME?</v>
      </c>
      <c r="BJ823" s="153" t="e">
        <f aca="false">_xlfn.xlookup(BG823,A:A,N:N)+_xlfn.xlookup(BG823,A:A,O:O)</f>
        <v>#NAME?</v>
      </c>
      <c r="BK823" s="153" t="e">
        <f aca="false">_xlfn.xlookup(BG823,A772:A1766,AB772:AB1766)</f>
        <v>#NAME?</v>
      </c>
      <c r="BN823" s="146"/>
      <c r="BO823" s="150"/>
      <c r="BQ823" s="153" t="str">
        <f aca="false">IF(VALUE(MONTH(C823))&lt;10,YEAR(C823)&amp;"-0"&amp;MONTH(C823),YEAR(C823)&amp;"-"&amp;MONTH(C823))</f>
        <v>1900-01</v>
      </c>
      <c r="BR823" s="153" t="n">
        <f aca="false">J823</f>
        <v>0</v>
      </c>
      <c r="BS823" s="153" t="n">
        <f aca="false">IF(ISNUMBER(FIND("-", BR823)), LEFT(BR823, FIND("-", BR823) - 1), BR823)</f>
        <v>0</v>
      </c>
      <c r="BT823" s="189" t="n">
        <f aca="false">L823-M823+O823</f>
        <v>0</v>
      </c>
    </row>
    <row r="824" s="153" customFormat="true" ht="15" hidden="false" customHeight="false" outlineLevel="0" collapsed="false">
      <c r="AN824" s="153" t="e">
        <v>#NAME?</v>
      </c>
      <c r="AO824" s="153" t="e">
        <f aca="false">_xlfn.xlookup(AN824,A:A,F:F)</f>
        <v>#NAME?</v>
      </c>
      <c r="AP824" s="153" t="e">
        <f aca="false">_xlfn.xlookup(AN824,A:A,J:J)</f>
        <v>#NAME?</v>
      </c>
      <c r="AQ824" s="153" t="e">
        <f aca="false">_xlfn.xlookup(AN824,A:A,N:N)+_xlfn.xlookup(AN824,A:A,O:O)</f>
        <v>#NAME?</v>
      </c>
      <c r="AR824" s="150" t="e">
        <f aca="false">_xlfn.xlookup(AN824,A:A,AH:AH)</f>
        <v>#NAME?</v>
      </c>
      <c r="AS824" s="150" t="e">
        <f aca="false">_xlfn.xlookup(AN824,A:A,S:S)</f>
        <v>#NAME?</v>
      </c>
      <c r="AT824" s="150" t="e">
        <f aca="false">_xlfn.xlookup(AN824,A:A,AE:AE)</f>
        <v>#NAME?</v>
      </c>
      <c r="AU824" s="150" t="e">
        <f aca="false">_xlfn.xlookup(AN824,A:A,AF:AF)</f>
        <v>#NAME?</v>
      </c>
      <c r="AX824" s="146"/>
      <c r="AY824" s="150"/>
      <c r="AZ824" s="150"/>
      <c r="BA824" s="150"/>
      <c r="BB824" s="146"/>
      <c r="BC824" s="146"/>
      <c r="BD824" s="151"/>
      <c r="BE824" s="146"/>
      <c r="BF824" s="146"/>
      <c r="BH824" s="152" t="e">
        <f aca="false">_xlfn.xlookup(BG824,A:A,F:F)</f>
        <v>#NAME?</v>
      </c>
      <c r="BI824" s="153" t="e">
        <f aca="false">_xlfn.xlookup(BG824,A:A,J:J)</f>
        <v>#NAME?</v>
      </c>
      <c r="BJ824" s="153" t="e">
        <f aca="false">_xlfn.xlookup(BG824,A:A,N:N)+_xlfn.xlookup(BG824,A:A,O:O)</f>
        <v>#NAME?</v>
      </c>
      <c r="BK824" s="153" t="e">
        <f aca="false">_xlfn.xlookup(BG824,A773:A1767,AB773:AB1767)</f>
        <v>#NAME?</v>
      </c>
      <c r="BN824" s="146"/>
      <c r="BO824" s="150"/>
      <c r="BQ824" s="153" t="str">
        <f aca="false">IF(VALUE(MONTH(C824))&lt;10,YEAR(C824)&amp;"-0"&amp;MONTH(C824),YEAR(C824)&amp;"-"&amp;MONTH(C824))</f>
        <v>1900-01</v>
      </c>
      <c r="BR824" s="153" t="n">
        <f aca="false">J824</f>
        <v>0</v>
      </c>
      <c r="BS824" s="153" t="n">
        <f aca="false">IF(ISNUMBER(FIND("-", BR824)), LEFT(BR824, FIND("-", BR824) - 1), BR824)</f>
        <v>0</v>
      </c>
      <c r="BT824" s="189" t="n">
        <f aca="false">L824-M824+O824</f>
        <v>0</v>
      </c>
    </row>
    <row r="825" s="153" customFormat="true" ht="15" hidden="false" customHeight="false" outlineLevel="0" collapsed="false">
      <c r="AN825" s="153" t="e">
        <v>#NAME?</v>
      </c>
      <c r="AO825" s="153" t="e">
        <f aca="false">_xlfn.xlookup(AN825,A:A,F:F)</f>
        <v>#NAME?</v>
      </c>
      <c r="AP825" s="153" t="e">
        <f aca="false">_xlfn.xlookup(AN825,A:A,J:J)</f>
        <v>#NAME?</v>
      </c>
      <c r="AQ825" s="153" t="e">
        <f aca="false">_xlfn.xlookup(AN825,A:A,N:N)+_xlfn.xlookup(AN825,A:A,O:O)</f>
        <v>#NAME?</v>
      </c>
      <c r="AR825" s="150" t="e">
        <f aca="false">_xlfn.xlookup(AN825,A:A,AH:AH)</f>
        <v>#NAME?</v>
      </c>
      <c r="AS825" s="150" t="e">
        <f aca="false">_xlfn.xlookup(AN825,A:A,S:S)</f>
        <v>#NAME?</v>
      </c>
      <c r="AT825" s="150" t="e">
        <f aca="false">_xlfn.xlookup(AN825,A:A,AE:AE)</f>
        <v>#NAME?</v>
      </c>
      <c r="AU825" s="150" t="e">
        <f aca="false">_xlfn.xlookup(AN825,A:A,AF:AF)</f>
        <v>#NAME?</v>
      </c>
      <c r="AX825" s="146"/>
      <c r="AY825" s="150"/>
      <c r="AZ825" s="150"/>
      <c r="BA825" s="150"/>
      <c r="BB825" s="146"/>
      <c r="BC825" s="146"/>
      <c r="BD825" s="151"/>
      <c r="BE825" s="146"/>
      <c r="BF825" s="146"/>
      <c r="BH825" s="152" t="e">
        <f aca="false">_xlfn.xlookup(BG825,A:A,F:F)</f>
        <v>#NAME?</v>
      </c>
      <c r="BI825" s="153" t="e">
        <f aca="false">_xlfn.xlookup(BG825,A:A,J:J)</f>
        <v>#NAME?</v>
      </c>
      <c r="BJ825" s="153" t="e">
        <f aca="false">_xlfn.xlookup(BG825,A:A,N:N)+_xlfn.xlookup(BG825,A:A,O:O)</f>
        <v>#NAME?</v>
      </c>
      <c r="BK825" s="153" t="e">
        <f aca="false">_xlfn.xlookup(BG825,A774:A1768,AB774:AB1768)</f>
        <v>#NAME?</v>
      </c>
      <c r="BN825" s="146"/>
      <c r="BO825" s="150"/>
      <c r="BQ825" s="153" t="str">
        <f aca="false">IF(VALUE(MONTH(C825))&lt;10,YEAR(C825)&amp;"-0"&amp;MONTH(C825),YEAR(C825)&amp;"-"&amp;MONTH(C825))</f>
        <v>1900-01</v>
      </c>
      <c r="BR825" s="153" t="n">
        <f aca="false">J825</f>
        <v>0</v>
      </c>
      <c r="BS825" s="153" t="n">
        <f aca="false">IF(ISNUMBER(FIND("-", BR825)), LEFT(BR825, FIND("-", BR825) - 1), BR825)</f>
        <v>0</v>
      </c>
      <c r="BT825" s="189" t="n">
        <f aca="false">L825-M825+O825</f>
        <v>0</v>
      </c>
    </row>
    <row r="826" s="153" customFormat="true" ht="15" hidden="false" customHeight="false" outlineLevel="0" collapsed="false">
      <c r="AN826" s="153" t="e">
        <v>#NAME?</v>
      </c>
      <c r="AO826" s="153" t="e">
        <f aca="false">_xlfn.xlookup(AN826,A:A,F:F)</f>
        <v>#NAME?</v>
      </c>
      <c r="AP826" s="153" t="e">
        <f aca="false">_xlfn.xlookup(AN826,A:A,J:J)</f>
        <v>#NAME?</v>
      </c>
      <c r="AQ826" s="153" t="e">
        <f aca="false">_xlfn.xlookup(AN826,A:A,N:N)+_xlfn.xlookup(AN826,A:A,O:O)</f>
        <v>#NAME?</v>
      </c>
      <c r="AR826" s="150" t="e">
        <f aca="false">_xlfn.xlookup(AN826,A:A,AH:AH)</f>
        <v>#NAME?</v>
      </c>
      <c r="AS826" s="150" t="e">
        <f aca="false">_xlfn.xlookup(AN826,A:A,S:S)</f>
        <v>#NAME?</v>
      </c>
      <c r="AT826" s="150" t="e">
        <f aca="false">_xlfn.xlookup(AN826,A:A,AE:AE)</f>
        <v>#NAME?</v>
      </c>
      <c r="AU826" s="150" t="e">
        <f aca="false">_xlfn.xlookup(AN826,A:A,AF:AF)</f>
        <v>#NAME?</v>
      </c>
      <c r="AX826" s="146"/>
      <c r="AY826" s="150"/>
      <c r="AZ826" s="150"/>
      <c r="BA826" s="150"/>
      <c r="BB826" s="146"/>
      <c r="BC826" s="146"/>
      <c r="BD826" s="151"/>
      <c r="BE826" s="146"/>
      <c r="BF826" s="146"/>
      <c r="BH826" s="152" t="e">
        <f aca="false">_xlfn.xlookup(BG826,A:A,F:F)</f>
        <v>#NAME?</v>
      </c>
      <c r="BI826" s="153" t="e">
        <f aca="false">_xlfn.xlookup(BG826,A:A,J:J)</f>
        <v>#NAME?</v>
      </c>
      <c r="BJ826" s="153" t="e">
        <f aca="false">_xlfn.xlookup(BG826,A:A,N:N)+_xlfn.xlookup(BG826,A:A,O:O)</f>
        <v>#NAME?</v>
      </c>
      <c r="BK826" s="153" t="e">
        <f aca="false">_xlfn.xlookup(BG826,A775:A1769,AB775:AB1769)</f>
        <v>#NAME?</v>
      </c>
      <c r="BN826" s="146"/>
      <c r="BO826" s="150"/>
      <c r="BQ826" s="153" t="str">
        <f aca="false">IF(VALUE(MONTH(C826))&lt;10,YEAR(C826)&amp;"-0"&amp;MONTH(C826),YEAR(C826)&amp;"-"&amp;MONTH(C826))</f>
        <v>1900-01</v>
      </c>
      <c r="BR826" s="153" t="n">
        <f aca="false">J826</f>
        <v>0</v>
      </c>
      <c r="BS826" s="153" t="n">
        <f aca="false">IF(ISNUMBER(FIND("-", BR826)), LEFT(BR826, FIND("-", BR826) - 1), BR826)</f>
        <v>0</v>
      </c>
      <c r="BT826" s="189" t="n">
        <f aca="false">L826-M826+O826</f>
        <v>0</v>
      </c>
    </row>
    <row r="827" s="153" customFormat="true" ht="15" hidden="false" customHeight="false" outlineLevel="0" collapsed="false">
      <c r="AN827" s="153" t="e">
        <v>#NAME?</v>
      </c>
      <c r="AO827" s="153" t="e">
        <f aca="false">_xlfn.xlookup(AN827,A:A,F:F)</f>
        <v>#NAME?</v>
      </c>
      <c r="AP827" s="153" t="e">
        <f aca="false">_xlfn.xlookup(AN827,A:A,J:J)</f>
        <v>#NAME?</v>
      </c>
      <c r="AQ827" s="153" t="e">
        <f aca="false">_xlfn.xlookup(AN827,A:A,N:N)+_xlfn.xlookup(AN827,A:A,O:O)</f>
        <v>#NAME?</v>
      </c>
      <c r="AR827" s="150" t="e">
        <f aca="false">_xlfn.xlookup(AN827,A:A,AH:AH)</f>
        <v>#NAME?</v>
      </c>
      <c r="AS827" s="150" t="e">
        <f aca="false">_xlfn.xlookup(AN827,A:A,S:S)</f>
        <v>#NAME?</v>
      </c>
      <c r="AT827" s="150" t="e">
        <f aca="false">_xlfn.xlookup(AN827,A:A,AE:AE)</f>
        <v>#NAME?</v>
      </c>
      <c r="AU827" s="150" t="e">
        <f aca="false">_xlfn.xlookup(AN827,A:A,AF:AF)</f>
        <v>#NAME?</v>
      </c>
      <c r="AX827" s="146"/>
      <c r="AY827" s="150"/>
      <c r="AZ827" s="150"/>
      <c r="BA827" s="150"/>
      <c r="BB827" s="146"/>
      <c r="BC827" s="146"/>
      <c r="BD827" s="151"/>
      <c r="BE827" s="146"/>
      <c r="BF827" s="146"/>
      <c r="BH827" s="152" t="e">
        <f aca="false">_xlfn.xlookup(BG827,A:A,F:F)</f>
        <v>#NAME?</v>
      </c>
      <c r="BI827" s="153" t="e">
        <f aca="false">_xlfn.xlookup(BG827,A:A,J:J)</f>
        <v>#NAME?</v>
      </c>
      <c r="BJ827" s="153" t="e">
        <f aca="false">_xlfn.xlookup(BG827,A:A,N:N)+_xlfn.xlookup(BG827,A:A,O:O)</f>
        <v>#NAME?</v>
      </c>
      <c r="BK827" s="153" t="e">
        <f aca="false">_xlfn.xlookup(BG827,A776:A1770,AB776:AB1770)</f>
        <v>#NAME?</v>
      </c>
      <c r="BN827" s="146"/>
      <c r="BO827" s="150"/>
      <c r="BQ827" s="153" t="str">
        <f aca="false">IF(VALUE(MONTH(C827))&lt;10,YEAR(C827)&amp;"-0"&amp;MONTH(C827),YEAR(C827)&amp;"-"&amp;MONTH(C827))</f>
        <v>1900-01</v>
      </c>
      <c r="BR827" s="153" t="n">
        <f aca="false">J827</f>
        <v>0</v>
      </c>
      <c r="BS827" s="153" t="n">
        <f aca="false">IF(ISNUMBER(FIND("-", BR827)), LEFT(BR827, FIND("-", BR827) - 1), BR827)</f>
        <v>0</v>
      </c>
      <c r="BT827" s="189" t="n">
        <f aca="false">L827-M827+O827</f>
        <v>0</v>
      </c>
    </row>
    <row r="828" s="153" customFormat="true" ht="15" hidden="false" customHeight="false" outlineLevel="0" collapsed="false">
      <c r="AN828" s="153" t="e">
        <v>#NAME?</v>
      </c>
      <c r="AO828" s="153" t="e">
        <f aca="false">_xlfn.xlookup(AN828,A:A,F:F)</f>
        <v>#NAME?</v>
      </c>
      <c r="AP828" s="153" t="e">
        <f aca="false">_xlfn.xlookup(AN828,A:A,J:J)</f>
        <v>#NAME?</v>
      </c>
      <c r="AQ828" s="153" t="e">
        <f aca="false">_xlfn.xlookup(AN828,A:A,N:N)+_xlfn.xlookup(AN828,A:A,O:O)</f>
        <v>#NAME?</v>
      </c>
      <c r="AR828" s="150" t="e">
        <f aca="false">_xlfn.xlookup(AN828,A:A,AH:AH)</f>
        <v>#NAME?</v>
      </c>
      <c r="AS828" s="150" t="e">
        <f aca="false">_xlfn.xlookup(AN828,A:A,S:S)</f>
        <v>#NAME?</v>
      </c>
      <c r="AT828" s="150" t="e">
        <f aca="false">_xlfn.xlookup(AN828,A:A,AE:AE)</f>
        <v>#NAME?</v>
      </c>
      <c r="AU828" s="150" t="e">
        <f aca="false">_xlfn.xlookup(AN828,A:A,AF:AF)</f>
        <v>#NAME?</v>
      </c>
      <c r="AX828" s="146"/>
      <c r="AY828" s="150"/>
      <c r="AZ828" s="150"/>
      <c r="BA828" s="150"/>
      <c r="BB828" s="146"/>
      <c r="BC828" s="146"/>
      <c r="BD828" s="151"/>
      <c r="BE828" s="146"/>
      <c r="BF828" s="146"/>
      <c r="BH828" s="152" t="e">
        <f aca="false">_xlfn.xlookup(BG828,A:A,F:F)</f>
        <v>#NAME?</v>
      </c>
      <c r="BI828" s="153" t="e">
        <f aca="false">_xlfn.xlookup(BG828,A:A,J:J)</f>
        <v>#NAME?</v>
      </c>
      <c r="BJ828" s="153" t="e">
        <f aca="false">_xlfn.xlookup(BG828,A:A,N:N)+_xlfn.xlookup(BG828,A:A,O:O)</f>
        <v>#NAME?</v>
      </c>
      <c r="BK828" s="153" t="e">
        <f aca="false">_xlfn.xlookup(BG828,A777:A1771,AB777:AB1771)</f>
        <v>#NAME?</v>
      </c>
      <c r="BN828" s="146"/>
      <c r="BO828" s="150"/>
      <c r="BQ828" s="153" t="str">
        <f aca="false">IF(VALUE(MONTH(C828))&lt;10,YEAR(C828)&amp;"-0"&amp;MONTH(C828),YEAR(C828)&amp;"-"&amp;MONTH(C828))</f>
        <v>1900-01</v>
      </c>
      <c r="BR828" s="153" t="n">
        <f aca="false">J828</f>
        <v>0</v>
      </c>
      <c r="BS828" s="153" t="n">
        <f aca="false">IF(ISNUMBER(FIND("-", BR828)), LEFT(BR828, FIND("-", BR828) - 1), BR828)</f>
        <v>0</v>
      </c>
      <c r="BT828" s="189" t="n">
        <f aca="false">L828-M828+O828</f>
        <v>0</v>
      </c>
    </row>
    <row r="829" s="153" customFormat="true" ht="15" hidden="false" customHeight="false" outlineLevel="0" collapsed="false">
      <c r="AN829" s="153" t="e">
        <v>#NAME?</v>
      </c>
      <c r="AO829" s="153" t="e">
        <f aca="false">_xlfn.xlookup(AN829,A:A,F:F)</f>
        <v>#NAME?</v>
      </c>
      <c r="AP829" s="153" t="e">
        <f aca="false">_xlfn.xlookup(AN829,A:A,J:J)</f>
        <v>#NAME?</v>
      </c>
      <c r="AQ829" s="153" t="e">
        <f aca="false">_xlfn.xlookup(AN829,A:A,N:N)+_xlfn.xlookup(AN829,A:A,O:O)</f>
        <v>#NAME?</v>
      </c>
      <c r="AR829" s="150" t="e">
        <f aca="false">_xlfn.xlookup(AN829,A:A,AH:AH)</f>
        <v>#NAME?</v>
      </c>
      <c r="AS829" s="150" t="e">
        <f aca="false">_xlfn.xlookup(AN829,A:A,S:S)</f>
        <v>#NAME?</v>
      </c>
      <c r="AT829" s="150" t="e">
        <f aca="false">_xlfn.xlookup(AN829,A:A,AE:AE)</f>
        <v>#NAME?</v>
      </c>
      <c r="AU829" s="150" t="e">
        <f aca="false">_xlfn.xlookup(AN829,A:A,AF:AF)</f>
        <v>#NAME?</v>
      </c>
      <c r="AX829" s="146"/>
      <c r="AY829" s="150"/>
      <c r="AZ829" s="150"/>
      <c r="BA829" s="150"/>
      <c r="BB829" s="146"/>
      <c r="BC829" s="146"/>
      <c r="BD829" s="151"/>
      <c r="BE829" s="146"/>
      <c r="BF829" s="146"/>
      <c r="BH829" s="152" t="e">
        <f aca="false">_xlfn.xlookup(BG829,A:A,F:F)</f>
        <v>#NAME?</v>
      </c>
      <c r="BI829" s="153" t="e">
        <f aca="false">_xlfn.xlookup(BG829,A:A,J:J)</f>
        <v>#NAME?</v>
      </c>
      <c r="BJ829" s="153" t="e">
        <f aca="false">_xlfn.xlookup(BG829,A:A,N:N)+_xlfn.xlookup(BG829,A:A,O:O)</f>
        <v>#NAME?</v>
      </c>
      <c r="BK829" s="153" t="e">
        <f aca="false">_xlfn.xlookup(BG829,A778:A1772,AB778:AB1772)</f>
        <v>#NAME?</v>
      </c>
      <c r="BN829" s="146"/>
      <c r="BO829" s="150"/>
      <c r="BQ829" s="153" t="str">
        <f aca="false">IF(VALUE(MONTH(C829))&lt;10,YEAR(C829)&amp;"-0"&amp;MONTH(C829),YEAR(C829)&amp;"-"&amp;MONTH(C829))</f>
        <v>1900-01</v>
      </c>
      <c r="BR829" s="153" t="n">
        <f aca="false">J829</f>
        <v>0</v>
      </c>
      <c r="BS829" s="153" t="n">
        <f aca="false">IF(ISNUMBER(FIND("-", BR829)), LEFT(BR829, FIND("-", BR829) - 1), BR829)</f>
        <v>0</v>
      </c>
      <c r="BT829" s="189" t="n">
        <f aca="false">L829-M829+O829</f>
        <v>0</v>
      </c>
    </row>
    <row r="830" s="153" customFormat="true" ht="15" hidden="false" customHeight="false" outlineLevel="0" collapsed="false">
      <c r="AN830" s="153" t="e">
        <v>#NAME?</v>
      </c>
      <c r="AO830" s="153" t="e">
        <f aca="false">_xlfn.xlookup(AN830,A:A,F:F)</f>
        <v>#NAME?</v>
      </c>
      <c r="AP830" s="153" t="e">
        <f aca="false">_xlfn.xlookup(AN830,A:A,J:J)</f>
        <v>#NAME?</v>
      </c>
      <c r="AQ830" s="153" t="e">
        <f aca="false">_xlfn.xlookup(AN830,A:A,N:N)+_xlfn.xlookup(AN830,A:A,O:O)</f>
        <v>#NAME?</v>
      </c>
      <c r="AR830" s="150" t="e">
        <f aca="false">_xlfn.xlookup(AN830,A:A,AH:AH)</f>
        <v>#NAME?</v>
      </c>
      <c r="AS830" s="150" t="e">
        <f aca="false">_xlfn.xlookup(AN830,A:A,S:S)</f>
        <v>#NAME?</v>
      </c>
      <c r="AT830" s="150" t="e">
        <f aca="false">_xlfn.xlookup(AN830,A:A,AE:AE)</f>
        <v>#NAME?</v>
      </c>
      <c r="AU830" s="150" t="e">
        <f aca="false">_xlfn.xlookup(AN830,A:A,AF:AF)</f>
        <v>#NAME?</v>
      </c>
      <c r="AX830" s="146"/>
      <c r="AY830" s="150"/>
      <c r="AZ830" s="150"/>
      <c r="BA830" s="150"/>
      <c r="BB830" s="146"/>
      <c r="BC830" s="146"/>
      <c r="BD830" s="151"/>
      <c r="BE830" s="146"/>
      <c r="BF830" s="146"/>
      <c r="BH830" s="152" t="e">
        <f aca="false">_xlfn.xlookup(BG830,A:A,F:F)</f>
        <v>#NAME?</v>
      </c>
      <c r="BI830" s="153" t="e">
        <f aca="false">_xlfn.xlookup(BG830,A:A,J:J)</f>
        <v>#NAME?</v>
      </c>
      <c r="BJ830" s="153" t="e">
        <f aca="false">_xlfn.xlookup(BG830,A:A,N:N)+_xlfn.xlookup(BG830,A:A,O:O)</f>
        <v>#NAME?</v>
      </c>
      <c r="BK830" s="153" t="e">
        <f aca="false">_xlfn.xlookup(BG830,A779:A1773,AB779:AB1773)</f>
        <v>#NAME?</v>
      </c>
      <c r="BN830" s="146"/>
      <c r="BO830" s="150"/>
      <c r="BQ830" s="153" t="str">
        <f aca="false">IF(VALUE(MONTH(C830))&lt;10,YEAR(C830)&amp;"-0"&amp;MONTH(C830),YEAR(C830)&amp;"-"&amp;MONTH(C830))</f>
        <v>1900-01</v>
      </c>
      <c r="BR830" s="153" t="n">
        <f aca="false">J830</f>
        <v>0</v>
      </c>
      <c r="BS830" s="153" t="n">
        <f aca="false">IF(ISNUMBER(FIND("-", BR830)), LEFT(BR830, FIND("-", BR830) - 1), BR830)</f>
        <v>0</v>
      </c>
      <c r="BT830" s="189" t="n">
        <f aca="false">L830-M830+O830</f>
        <v>0</v>
      </c>
    </row>
    <row r="831" s="153" customFormat="true" ht="15" hidden="false" customHeight="false" outlineLevel="0" collapsed="false">
      <c r="AN831" s="153" t="e">
        <v>#NAME?</v>
      </c>
      <c r="AO831" s="153" t="e">
        <f aca="false">_xlfn.xlookup(AN831,A:A,F:F)</f>
        <v>#NAME?</v>
      </c>
      <c r="AP831" s="153" t="e">
        <f aca="false">_xlfn.xlookup(AN831,A:A,J:J)</f>
        <v>#NAME?</v>
      </c>
      <c r="AQ831" s="153" t="e">
        <f aca="false">_xlfn.xlookup(AN831,A:A,N:N)+_xlfn.xlookup(AN831,A:A,O:O)</f>
        <v>#NAME?</v>
      </c>
      <c r="AR831" s="150" t="e">
        <f aca="false">_xlfn.xlookup(AN831,A:A,AH:AH)</f>
        <v>#NAME?</v>
      </c>
      <c r="AS831" s="150" t="e">
        <f aca="false">_xlfn.xlookup(AN831,A:A,S:S)</f>
        <v>#NAME?</v>
      </c>
      <c r="AT831" s="150" t="e">
        <f aca="false">_xlfn.xlookup(AN831,A:A,AE:AE)</f>
        <v>#NAME?</v>
      </c>
      <c r="AU831" s="150" t="e">
        <f aca="false">_xlfn.xlookup(AN831,A:A,AF:AF)</f>
        <v>#NAME?</v>
      </c>
      <c r="AX831" s="146"/>
      <c r="AY831" s="150"/>
      <c r="AZ831" s="150"/>
      <c r="BA831" s="150"/>
      <c r="BB831" s="146"/>
      <c r="BC831" s="146"/>
      <c r="BD831" s="151"/>
      <c r="BE831" s="146"/>
      <c r="BF831" s="146"/>
      <c r="BH831" s="152" t="e">
        <f aca="false">_xlfn.xlookup(BG831,A:A,F:F)</f>
        <v>#NAME?</v>
      </c>
      <c r="BI831" s="153" t="e">
        <f aca="false">_xlfn.xlookup(BG831,A:A,J:J)</f>
        <v>#NAME?</v>
      </c>
      <c r="BJ831" s="153" t="e">
        <f aca="false">_xlfn.xlookup(BG831,A:A,N:N)+_xlfn.xlookup(BG831,A:A,O:O)</f>
        <v>#NAME?</v>
      </c>
      <c r="BK831" s="153" t="e">
        <f aca="false">_xlfn.xlookup(BG831,A780:A1774,AB780:AB1774)</f>
        <v>#NAME?</v>
      </c>
      <c r="BN831" s="146"/>
      <c r="BO831" s="150"/>
      <c r="BQ831" s="153" t="str">
        <f aca="false">IF(VALUE(MONTH(C831))&lt;10,YEAR(C831)&amp;"-0"&amp;MONTH(C831),YEAR(C831)&amp;"-"&amp;MONTH(C831))</f>
        <v>1900-01</v>
      </c>
      <c r="BR831" s="153" t="n">
        <f aca="false">J831</f>
        <v>0</v>
      </c>
      <c r="BS831" s="153" t="n">
        <f aca="false">IF(ISNUMBER(FIND("-", BR831)), LEFT(BR831, FIND("-", BR831) - 1), BR831)</f>
        <v>0</v>
      </c>
      <c r="BT831" s="189" t="n">
        <f aca="false">L831-M831+O831</f>
        <v>0</v>
      </c>
    </row>
    <row r="832" s="153" customFormat="true" ht="15" hidden="false" customHeight="false" outlineLevel="0" collapsed="false">
      <c r="AN832" s="153" t="e">
        <v>#NAME?</v>
      </c>
      <c r="AO832" s="153" t="e">
        <f aca="false">_xlfn.xlookup(AN832,A:A,F:F)</f>
        <v>#NAME?</v>
      </c>
      <c r="AP832" s="153" t="e">
        <f aca="false">_xlfn.xlookup(AN832,A:A,J:J)</f>
        <v>#NAME?</v>
      </c>
      <c r="AQ832" s="153" t="e">
        <f aca="false">_xlfn.xlookup(AN832,A:A,N:N)+_xlfn.xlookup(AN832,A:A,O:O)</f>
        <v>#NAME?</v>
      </c>
      <c r="AR832" s="150" t="e">
        <f aca="false">_xlfn.xlookup(AN832,A:A,AH:AH)</f>
        <v>#NAME?</v>
      </c>
      <c r="AS832" s="150" t="e">
        <f aca="false">_xlfn.xlookup(AN832,A:A,S:S)</f>
        <v>#NAME?</v>
      </c>
      <c r="AT832" s="150" t="e">
        <f aca="false">_xlfn.xlookup(AN832,A:A,AE:AE)</f>
        <v>#NAME?</v>
      </c>
      <c r="AU832" s="150" t="e">
        <f aca="false">_xlfn.xlookup(AN832,A:A,AF:AF)</f>
        <v>#NAME?</v>
      </c>
      <c r="AX832" s="146"/>
      <c r="AY832" s="150"/>
      <c r="AZ832" s="150"/>
      <c r="BA832" s="150"/>
      <c r="BB832" s="146"/>
      <c r="BC832" s="146"/>
      <c r="BD832" s="151"/>
      <c r="BE832" s="146"/>
      <c r="BF832" s="146"/>
      <c r="BH832" s="152" t="e">
        <f aca="false">_xlfn.xlookup(BG832,A:A,F:F)</f>
        <v>#NAME?</v>
      </c>
      <c r="BI832" s="153" t="e">
        <f aca="false">_xlfn.xlookup(BG832,A:A,J:J)</f>
        <v>#NAME?</v>
      </c>
      <c r="BJ832" s="153" t="e">
        <f aca="false">_xlfn.xlookup(BG832,A:A,N:N)+_xlfn.xlookup(BG832,A:A,O:O)</f>
        <v>#NAME?</v>
      </c>
      <c r="BK832" s="153" t="e">
        <f aca="false">_xlfn.xlookup(BG832,A781:A1775,AB781:AB1775)</f>
        <v>#NAME?</v>
      </c>
      <c r="BN832" s="146"/>
      <c r="BO832" s="150"/>
      <c r="BQ832" s="153" t="str">
        <f aca="false">IF(VALUE(MONTH(C832))&lt;10,YEAR(C832)&amp;"-0"&amp;MONTH(C832),YEAR(C832)&amp;"-"&amp;MONTH(C832))</f>
        <v>1900-01</v>
      </c>
      <c r="BR832" s="153" t="n">
        <f aca="false">J832</f>
        <v>0</v>
      </c>
      <c r="BS832" s="153" t="n">
        <f aca="false">IF(ISNUMBER(FIND("-", BR832)), LEFT(BR832, FIND("-", BR832) - 1), BR832)</f>
        <v>0</v>
      </c>
      <c r="BT832" s="189" t="n">
        <f aca="false">L832-M832+O832</f>
        <v>0</v>
      </c>
    </row>
    <row r="833" s="153" customFormat="true" ht="15" hidden="false" customHeight="false" outlineLevel="0" collapsed="false">
      <c r="AN833" s="153" t="e">
        <v>#NAME?</v>
      </c>
      <c r="AO833" s="153" t="e">
        <f aca="false">_xlfn.xlookup(AN833,A:A,F:F)</f>
        <v>#NAME?</v>
      </c>
      <c r="AP833" s="153" t="e">
        <f aca="false">_xlfn.xlookup(AN833,A:A,J:J)</f>
        <v>#NAME?</v>
      </c>
      <c r="AQ833" s="153" t="e">
        <f aca="false">_xlfn.xlookup(AN833,A:A,N:N)+_xlfn.xlookup(AN833,A:A,O:O)</f>
        <v>#NAME?</v>
      </c>
      <c r="AR833" s="150" t="e">
        <f aca="false">_xlfn.xlookup(AN833,A:A,AH:AH)</f>
        <v>#NAME?</v>
      </c>
      <c r="AS833" s="150" t="e">
        <f aca="false">_xlfn.xlookup(AN833,A:A,S:S)</f>
        <v>#NAME?</v>
      </c>
      <c r="AT833" s="150" t="e">
        <f aca="false">_xlfn.xlookup(AN833,A:A,AE:AE)</f>
        <v>#NAME?</v>
      </c>
      <c r="AU833" s="150" t="e">
        <f aca="false">_xlfn.xlookup(AN833,A:A,AF:AF)</f>
        <v>#NAME?</v>
      </c>
      <c r="AX833" s="146"/>
      <c r="AY833" s="150"/>
      <c r="AZ833" s="150"/>
      <c r="BA833" s="150"/>
      <c r="BB833" s="146"/>
      <c r="BC833" s="146"/>
      <c r="BD833" s="151"/>
      <c r="BE833" s="146"/>
      <c r="BF833" s="146"/>
      <c r="BH833" s="152" t="e">
        <f aca="false">_xlfn.xlookup(BG833,A:A,F:F)</f>
        <v>#NAME?</v>
      </c>
      <c r="BI833" s="153" t="e">
        <f aca="false">_xlfn.xlookup(BG833,A:A,J:J)</f>
        <v>#NAME?</v>
      </c>
      <c r="BJ833" s="153" t="e">
        <f aca="false">_xlfn.xlookup(BG833,A:A,N:N)+_xlfn.xlookup(BG833,A:A,O:O)</f>
        <v>#NAME?</v>
      </c>
      <c r="BK833" s="153" t="e">
        <f aca="false">_xlfn.xlookup(BG833,A782:A1776,AB782:AB1776)</f>
        <v>#NAME?</v>
      </c>
      <c r="BN833" s="146"/>
      <c r="BO833" s="150"/>
      <c r="BQ833" s="153" t="str">
        <f aca="false">IF(VALUE(MONTH(C833))&lt;10,YEAR(C833)&amp;"-0"&amp;MONTH(C833),YEAR(C833)&amp;"-"&amp;MONTH(C833))</f>
        <v>1900-01</v>
      </c>
      <c r="BR833" s="153" t="n">
        <f aca="false">J833</f>
        <v>0</v>
      </c>
      <c r="BS833" s="153" t="n">
        <f aca="false">IF(ISNUMBER(FIND("-", BR833)), LEFT(BR833, FIND("-", BR833) - 1), BR833)</f>
        <v>0</v>
      </c>
      <c r="BT833" s="189" t="n">
        <f aca="false">L833-M833+O833</f>
        <v>0</v>
      </c>
    </row>
    <row r="834" s="153" customFormat="true" ht="15" hidden="false" customHeight="false" outlineLevel="0" collapsed="false">
      <c r="AN834" s="153" t="e">
        <v>#NAME?</v>
      </c>
      <c r="AO834" s="153" t="e">
        <f aca="false">_xlfn.xlookup(AN834,A:A,F:F)</f>
        <v>#NAME?</v>
      </c>
      <c r="AP834" s="153" t="e">
        <f aca="false">_xlfn.xlookup(AN834,A:A,J:J)</f>
        <v>#NAME?</v>
      </c>
      <c r="AQ834" s="153" t="e">
        <f aca="false">_xlfn.xlookup(AN834,A:A,N:N)+_xlfn.xlookup(AN834,A:A,O:O)</f>
        <v>#NAME?</v>
      </c>
      <c r="AR834" s="150" t="e">
        <f aca="false">_xlfn.xlookup(AN834,A:A,AH:AH)</f>
        <v>#NAME?</v>
      </c>
      <c r="AS834" s="150" t="e">
        <f aca="false">_xlfn.xlookup(AN834,A:A,S:S)</f>
        <v>#NAME?</v>
      </c>
      <c r="AT834" s="150" t="e">
        <f aca="false">_xlfn.xlookup(AN834,A:A,AE:AE)</f>
        <v>#NAME?</v>
      </c>
      <c r="AU834" s="150" t="e">
        <f aca="false">_xlfn.xlookup(AN834,A:A,AF:AF)</f>
        <v>#NAME?</v>
      </c>
      <c r="AX834" s="146"/>
      <c r="AY834" s="150"/>
      <c r="AZ834" s="150"/>
      <c r="BA834" s="150"/>
      <c r="BB834" s="146"/>
      <c r="BC834" s="146"/>
      <c r="BD834" s="151"/>
      <c r="BE834" s="146"/>
      <c r="BF834" s="146"/>
      <c r="BH834" s="152" t="e">
        <f aca="false">_xlfn.xlookup(BG834,A:A,F:F)</f>
        <v>#NAME?</v>
      </c>
      <c r="BI834" s="153" t="e">
        <f aca="false">_xlfn.xlookup(BG834,A:A,J:J)</f>
        <v>#NAME?</v>
      </c>
      <c r="BJ834" s="153" t="e">
        <f aca="false">_xlfn.xlookup(BG834,A:A,N:N)+_xlfn.xlookup(BG834,A:A,O:O)</f>
        <v>#NAME?</v>
      </c>
      <c r="BK834" s="153" t="e">
        <f aca="false">_xlfn.xlookup(BG834,A783:A1777,AB783:AB1777)</f>
        <v>#NAME?</v>
      </c>
      <c r="BN834" s="146"/>
      <c r="BO834" s="150"/>
      <c r="BQ834" s="153" t="str">
        <f aca="false">IF(VALUE(MONTH(C834))&lt;10,YEAR(C834)&amp;"-0"&amp;MONTH(C834),YEAR(C834)&amp;"-"&amp;MONTH(C834))</f>
        <v>1900-01</v>
      </c>
      <c r="BR834" s="153" t="n">
        <f aca="false">J834</f>
        <v>0</v>
      </c>
      <c r="BS834" s="153" t="n">
        <f aca="false">IF(ISNUMBER(FIND("-", BR834)), LEFT(BR834, FIND("-", BR834) - 1), BR834)</f>
        <v>0</v>
      </c>
      <c r="BT834" s="189" t="n">
        <f aca="false">L834-M834+O834</f>
        <v>0</v>
      </c>
    </row>
    <row r="835" s="153" customFormat="true" ht="15" hidden="false" customHeight="false" outlineLevel="0" collapsed="false">
      <c r="AN835" s="153" t="e">
        <v>#NAME?</v>
      </c>
      <c r="AO835" s="153" t="e">
        <f aca="false">_xlfn.xlookup(AN835,A:A,F:F)</f>
        <v>#NAME?</v>
      </c>
      <c r="AP835" s="153" t="e">
        <f aca="false">_xlfn.xlookup(AN835,A:A,J:J)</f>
        <v>#NAME?</v>
      </c>
      <c r="AQ835" s="153" t="e">
        <f aca="false">_xlfn.xlookup(AN835,A:A,N:N)+_xlfn.xlookup(AN835,A:A,O:O)</f>
        <v>#NAME?</v>
      </c>
      <c r="AR835" s="150" t="e">
        <f aca="false">_xlfn.xlookup(AN835,A:A,AH:AH)</f>
        <v>#NAME?</v>
      </c>
      <c r="AS835" s="150" t="e">
        <f aca="false">_xlfn.xlookup(AN835,A:A,S:S)</f>
        <v>#NAME?</v>
      </c>
      <c r="AT835" s="150" t="e">
        <f aca="false">_xlfn.xlookup(AN835,A:A,AE:AE)</f>
        <v>#NAME?</v>
      </c>
      <c r="AU835" s="150" t="e">
        <f aca="false">_xlfn.xlookup(AN835,A:A,AF:AF)</f>
        <v>#NAME?</v>
      </c>
      <c r="AX835" s="146"/>
      <c r="AY835" s="150"/>
      <c r="AZ835" s="150"/>
      <c r="BA835" s="150"/>
      <c r="BB835" s="146"/>
      <c r="BC835" s="146"/>
      <c r="BD835" s="151"/>
      <c r="BE835" s="146"/>
      <c r="BF835" s="146"/>
      <c r="BH835" s="152" t="e">
        <f aca="false">_xlfn.xlookup(BG835,A:A,F:F)</f>
        <v>#NAME?</v>
      </c>
      <c r="BI835" s="153" t="e">
        <f aca="false">_xlfn.xlookup(BG835,A:A,J:J)</f>
        <v>#NAME?</v>
      </c>
      <c r="BJ835" s="153" t="e">
        <f aca="false">_xlfn.xlookup(BG835,A:A,N:N)+_xlfn.xlookup(BG835,A:A,O:O)</f>
        <v>#NAME?</v>
      </c>
      <c r="BK835" s="153" t="e">
        <f aca="false">_xlfn.xlookup(BG835,A784:A1778,AB784:AB1778)</f>
        <v>#NAME?</v>
      </c>
      <c r="BN835" s="146"/>
      <c r="BO835" s="150"/>
      <c r="BQ835" s="153" t="str">
        <f aca="false">IF(VALUE(MONTH(C835))&lt;10,YEAR(C835)&amp;"-0"&amp;MONTH(C835),YEAR(C835)&amp;"-"&amp;MONTH(C835))</f>
        <v>1900-01</v>
      </c>
      <c r="BR835" s="153" t="n">
        <f aca="false">J835</f>
        <v>0</v>
      </c>
      <c r="BS835" s="153" t="n">
        <f aca="false">IF(ISNUMBER(FIND("-", BR835)), LEFT(BR835, FIND("-", BR835) - 1), BR835)</f>
        <v>0</v>
      </c>
      <c r="BT835" s="189" t="n">
        <f aca="false">L835-M835+O835</f>
        <v>0</v>
      </c>
    </row>
    <row r="836" s="153" customFormat="true" ht="15" hidden="false" customHeight="false" outlineLevel="0" collapsed="false">
      <c r="AN836" s="153" t="e">
        <v>#NAME?</v>
      </c>
      <c r="AO836" s="153" t="e">
        <f aca="false">_xlfn.xlookup(AN836,A:A,F:F)</f>
        <v>#NAME?</v>
      </c>
      <c r="AP836" s="153" t="e">
        <f aca="false">_xlfn.xlookup(AN836,A:A,J:J)</f>
        <v>#NAME?</v>
      </c>
      <c r="AQ836" s="153" t="e">
        <f aca="false">_xlfn.xlookup(AN836,A:A,N:N)+_xlfn.xlookup(AN836,A:A,O:O)</f>
        <v>#NAME?</v>
      </c>
      <c r="AR836" s="150" t="e">
        <f aca="false">_xlfn.xlookup(AN836,A:A,AH:AH)</f>
        <v>#NAME?</v>
      </c>
      <c r="AS836" s="150" t="e">
        <f aca="false">_xlfn.xlookup(AN836,A:A,S:S)</f>
        <v>#NAME?</v>
      </c>
      <c r="AT836" s="150" t="e">
        <f aca="false">_xlfn.xlookup(AN836,A:A,AE:AE)</f>
        <v>#NAME?</v>
      </c>
      <c r="AU836" s="150" t="e">
        <f aca="false">_xlfn.xlookup(AN836,A:A,AF:AF)</f>
        <v>#NAME?</v>
      </c>
      <c r="AX836" s="146"/>
      <c r="AY836" s="150"/>
      <c r="AZ836" s="150"/>
      <c r="BA836" s="150"/>
      <c r="BB836" s="146"/>
      <c r="BC836" s="146"/>
      <c r="BD836" s="151"/>
      <c r="BE836" s="146"/>
      <c r="BF836" s="146"/>
      <c r="BH836" s="152" t="e">
        <f aca="false">_xlfn.xlookup(BG836,A:A,F:F)</f>
        <v>#NAME?</v>
      </c>
      <c r="BI836" s="153" t="e">
        <f aca="false">_xlfn.xlookup(BG836,A:A,J:J)</f>
        <v>#NAME?</v>
      </c>
      <c r="BJ836" s="153" t="e">
        <f aca="false">_xlfn.xlookup(BG836,A:A,N:N)+_xlfn.xlookup(BG836,A:A,O:O)</f>
        <v>#NAME?</v>
      </c>
      <c r="BK836" s="153" t="e">
        <f aca="false">_xlfn.xlookup(BG836,A785:A1779,AB785:AB1779)</f>
        <v>#NAME?</v>
      </c>
      <c r="BN836" s="146"/>
      <c r="BO836" s="150"/>
      <c r="BQ836" s="153" t="str">
        <f aca="false">IF(VALUE(MONTH(C836))&lt;10,YEAR(C836)&amp;"-0"&amp;MONTH(C836),YEAR(C836)&amp;"-"&amp;MONTH(C836))</f>
        <v>1900-01</v>
      </c>
      <c r="BR836" s="153" t="n">
        <f aca="false">J836</f>
        <v>0</v>
      </c>
      <c r="BS836" s="153" t="n">
        <f aca="false">IF(ISNUMBER(FIND("-", BR836)), LEFT(BR836, FIND("-", BR836) - 1), BR836)</f>
        <v>0</v>
      </c>
      <c r="BT836" s="189" t="n">
        <f aca="false">L836-M836+O836</f>
        <v>0</v>
      </c>
    </row>
    <row r="837" s="153" customFormat="true" ht="15" hidden="false" customHeight="false" outlineLevel="0" collapsed="false">
      <c r="AN837" s="153" t="e">
        <v>#NAME?</v>
      </c>
      <c r="AO837" s="153" t="e">
        <f aca="false">_xlfn.xlookup(AN837,A:A,F:F)</f>
        <v>#NAME?</v>
      </c>
      <c r="AP837" s="153" t="e">
        <f aca="false">_xlfn.xlookup(AN837,A:A,J:J)</f>
        <v>#NAME?</v>
      </c>
      <c r="AQ837" s="153" t="e">
        <f aca="false">_xlfn.xlookup(AN837,A:A,N:N)+_xlfn.xlookup(AN837,A:A,O:O)</f>
        <v>#NAME?</v>
      </c>
      <c r="AR837" s="150" t="e">
        <f aca="false">_xlfn.xlookup(AN837,A:A,AH:AH)</f>
        <v>#NAME?</v>
      </c>
      <c r="AS837" s="150" t="e">
        <f aca="false">_xlfn.xlookup(AN837,A:A,S:S)</f>
        <v>#NAME?</v>
      </c>
      <c r="AT837" s="150" t="e">
        <f aca="false">_xlfn.xlookup(AN837,A:A,AE:AE)</f>
        <v>#NAME?</v>
      </c>
      <c r="AU837" s="150" t="e">
        <f aca="false">_xlfn.xlookup(AN837,A:A,AF:AF)</f>
        <v>#NAME?</v>
      </c>
      <c r="AX837" s="146"/>
      <c r="AY837" s="150"/>
      <c r="AZ837" s="150"/>
      <c r="BA837" s="150"/>
      <c r="BB837" s="146"/>
      <c r="BC837" s="146"/>
      <c r="BD837" s="151"/>
      <c r="BE837" s="146"/>
      <c r="BF837" s="146"/>
      <c r="BH837" s="152" t="e">
        <f aca="false">_xlfn.xlookup(BG837,A:A,F:F)</f>
        <v>#NAME?</v>
      </c>
      <c r="BI837" s="153" t="e">
        <f aca="false">_xlfn.xlookup(BG837,A:A,J:J)</f>
        <v>#NAME?</v>
      </c>
      <c r="BJ837" s="153" t="e">
        <f aca="false">_xlfn.xlookup(BG837,A:A,N:N)+_xlfn.xlookup(BG837,A:A,O:O)</f>
        <v>#NAME?</v>
      </c>
      <c r="BK837" s="153" t="e">
        <f aca="false">_xlfn.xlookup(BG837,A786:A1780,AB786:AB1780)</f>
        <v>#NAME?</v>
      </c>
      <c r="BN837" s="146"/>
      <c r="BO837" s="150"/>
      <c r="BQ837" s="153" t="str">
        <f aca="false">IF(VALUE(MONTH(C837))&lt;10,YEAR(C837)&amp;"-0"&amp;MONTH(C837),YEAR(C837)&amp;"-"&amp;MONTH(C837))</f>
        <v>1900-01</v>
      </c>
      <c r="BR837" s="153" t="n">
        <f aca="false">J837</f>
        <v>0</v>
      </c>
      <c r="BS837" s="153" t="n">
        <f aca="false">IF(ISNUMBER(FIND("-", BR837)), LEFT(BR837, FIND("-", BR837) - 1), BR837)</f>
        <v>0</v>
      </c>
      <c r="BT837" s="189" t="n">
        <f aca="false">L837-M837+O837</f>
        <v>0</v>
      </c>
    </row>
    <row r="838" s="153" customFormat="true" ht="15" hidden="false" customHeight="false" outlineLevel="0" collapsed="false">
      <c r="AN838" s="153" t="e">
        <v>#NAME?</v>
      </c>
      <c r="AO838" s="153" t="e">
        <f aca="false">_xlfn.xlookup(AN838,A:A,F:F)</f>
        <v>#NAME?</v>
      </c>
      <c r="AP838" s="153" t="e">
        <f aca="false">_xlfn.xlookup(AN838,A:A,J:J)</f>
        <v>#NAME?</v>
      </c>
      <c r="AQ838" s="153" t="e">
        <f aca="false">_xlfn.xlookup(AN838,A:A,N:N)+_xlfn.xlookup(AN838,A:A,O:O)</f>
        <v>#NAME?</v>
      </c>
      <c r="AR838" s="150" t="e">
        <f aca="false">_xlfn.xlookup(AN838,A:A,AH:AH)</f>
        <v>#NAME?</v>
      </c>
      <c r="AS838" s="150" t="e">
        <f aca="false">_xlfn.xlookup(AN838,A:A,S:S)</f>
        <v>#NAME?</v>
      </c>
      <c r="AT838" s="150" t="e">
        <f aca="false">_xlfn.xlookup(AN838,A:A,AE:AE)</f>
        <v>#NAME?</v>
      </c>
      <c r="AU838" s="150" t="e">
        <f aca="false">_xlfn.xlookup(AN838,A:A,AF:AF)</f>
        <v>#NAME?</v>
      </c>
      <c r="AX838" s="146"/>
      <c r="AY838" s="150"/>
      <c r="AZ838" s="150"/>
      <c r="BA838" s="150"/>
      <c r="BB838" s="146"/>
      <c r="BC838" s="146"/>
      <c r="BD838" s="151"/>
      <c r="BE838" s="146"/>
      <c r="BF838" s="146"/>
      <c r="BH838" s="152" t="e">
        <f aca="false">_xlfn.xlookup(BG838,A:A,F:F)</f>
        <v>#NAME?</v>
      </c>
      <c r="BI838" s="153" t="e">
        <f aca="false">_xlfn.xlookup(BG838,A:A,J:J)</f>
        <v>#NAME?</v>
      </c>
      <c r="BJ838" s="153" t="e">
        <f aca="false">_xlfn.xlookup(BG838,A:A,N:N)+_xlfn.xlookup(BG838,A:A,O:O)</f>
        <v>#NAME?</v>
      </c>
      <c r="BK838" s="153" t="e">
        <f aca="false">_xlfn.xlookup(BG838,A787:A1781,AB787:AB1781)</f>
        <v>#NAME?</v>
      </c>
      <c r="BN838" s="146"/>
      <c r="BO838" s="150"/>
      <c r="BQ838" s="153" t="str">
        <f aca="false">IF(VALUE(MONTH(C838))&lt;10,YEAR(C838)&amp;"-0"&amp;MONTH(C838),YEAR(C838)&amp;"-"&amp;MONTH(C838))</f>
        <v>1900-01</v>
      </c>
      <c r="BR838" s="153" t="n">
        <f aca="false">J838</f>
        <v>0</v>
      </c>
      <c r="BS838" s="153" t="n">
        <f aca="false">IF(ISNUMBER(FIND("-", BR838)), LEFT(BR838, FIND("-", BR838) - 1), BR838)</f>
        <v>0</v>
      </c>
      <c r="BT838" s="189" t="n">
        <f aca="false">L838-M838+O838</f>
        <v>0</v>
      </c>
    </row>
    <row r="839" s="153" customFormat="true" ht="15" hidden="false" customHeight="false" outlineLevel="0" collapsed="false">
      <c r="AN839" s="153" t="e">
        <v>#NAME?</v>
      </c>
      <c r="AO839" s="153" t="e">
        <f aca="false">_xlfn.xlookup(AN839,A:A,F:F)</f>
        <v>#NAME?</v>
      </c>
      <c r="AP839" s="153" t="e">
        <f aca="false">_xlfn.xlookup(AN839,A:A,J:J)</f>
        <v>#NAME?</v>
      </c>
      <c r="AQ839" s="153" t="e">
        <f aca="false">_xlfn.xlookup(AN839,A:A,N:N)+_xlfn.xlookup(AN839,A:A,O:O)</f>
        <v>#NAME?</v>
      </c>
      <c r="AR839" s="150" t="e">
        <f aca="false">_xlfn.xlookup(AN839,A:A,AH:AH)</f>
        <v>#NAME?</v>
      </c>
      <c r="AS839" s="150" t="e">
        <f aca="false">_xlfn.xlookup(AN839,A:A,S:S)</f>
        <v>#NAME?</v>
      </c>
      <c r="AT839" s="150" t="e">
        <f aca="false">_xlfn.xlookup(AN839,A:A,AE:AE)</f>
        <v>#NAME?</v>
      </c>
      <c r="AU839" s="150" t="e">
        <f aca="false">_xlfn.xlookup(AN839,A:A,AF:AF)</f>
        <v>#NAME?</v>
      </c>
      <c r="AX839" s="146"/>
      <c r="AY839" s="150"/>
      <c r="AZ839" s="150"/>
      <c r="BA839" s="150"/>
      <c r="BB839" s="146"/>
      <c r="BC839" s="146"/>
      <c r="BD839" s="151"/>
      <c r="BE839" s="146"/>
      <c r="BF839" s="146"/>
      <c r="BH839" s="152" t="e">
        <f aca="false">_xlfn.xlookup(BG839,A:A,F:F)</f>
        <v>#NAME?</v>
      </c>
      <c r="BI839" s="153" t="e">
        <f aca="false">_xlfn.xlookup(BG839,A:A,J:J)</f>
        <v>#NAME?</v>
      </c>
      <c r="BJ839" s="153" t="e">
        <f aca="false">_xlfn.xlookup(BG839,A:A,N:N)+_xlfn.xlookup(BG839,A:A,O:O)</f>
        <v>#NAME?</v>
      </c>
      <c r="BK839" s="153" t="e">
        <f aca="false">_xlfn.xlookup(BG839,A788:A1782,AB788:AB1782)</f>
        <v>#NAME?</v>
      </c>
      <c r="BN839" s="146"/>
      <c r="BO839" s="150"/>
      <c r="BQ839" s="153" t="str">
        <f aca="false">IF(VALUE(MONTH(C839))&lt;10,YEAR(C839)&amp;"-0"&amp;MONTH(C839),YEAR(C839)&amp;"-"&amp;MONTH(C839))</f>
        <v>1900-01</v>
      </c>
      <c r="BR839" s="153" t="n">
        <f aca="false">J839</f>
        <v>0</v>
      </c>
      <c r="BS839" s="153" t="n">
        <f aca="false">IF(ISNUMBER(FIND("-", BR839)), LEFT(BR839, FIND("-", BR839) - 1), BR839)</f>
        <v>0</v>
      </c>
      <c r="BT839" s="189" t="n">
        <f aca="false">L839-M839+O839</f>
        <v>0</v>
      </c>
    </row>
    <row r="840" s="153" customFormat="true" ht="15" hidden="false" customHeight="false" outlineLevel="0" collapsed="false">
      <c r="AN840" s="153" t="e">
        <v>#NAME?</v>
      </c>
      <c r="AO840" s="153" t="e">
        <f aca="false">_xlfn.xlookup(AN840,A:A,F:F)</f>
        <v>#NAME?</v>
      </c>
      <c r="AP840" s="153" t="e">
        <f aca="false">_xlfn.xlookup(AN840,A:A,J:J)</f>
        <v>#NAME?</v>
      </c>
      <c r="AQ840" s="153" t="e">
        <f aca="false">_xlfn.xlookup(AN840,A:A,N:N)+_xlfn.xlookup(AN840,A:A,O:O)</f>
        <v>#NAME?</v>
      </c>
      <c r="AR840" s="150" t="e">
        <f aca="false">_xlfn.xlookup(AN840,A:A,AH:AH)</f>
        <v>#NAME?</v>
      </c>
      <c r="AS840" s="150" t="e">
        <f aca="false">_xlfn.xlookup(AN840,A:A,S:S)</f>
        <v>#NAME?</v>
      </c>
      <c r="AT840" s="150" t="e">
        <f aca="false">_xlfn.xlookup(AN840,A:A,AE:AE)</f>
        <v>#NAME?</v>
      </c>
      <c r="AU840" s="150" t="e">
        <f aca="false">_xlfn.xlookup(AN840,A:A,AF:AF)</f>
        <v>#NAME?</v>
      </c>
      <c r="AX840" s="146"/>
      <c r="AY840" s="150"/>
      <c r="AZ840" s="150"/>
      <c r="BA840" s="150"/>
      <c r="BB840" s="146"/>
      <c r="BC840" s="146"/>
      <c r="BD840" s="151"/>
      <c r="BE840" s="146"/>
      <c r="BF840" s="146"/>
      <c r="BH840" s="152" t="e">
        <f aca="false">_xlfn.xlookup(BG840,A:A,F:F)</f>
        <v>#NAME?</v>
      </c>
      <c r="BI840" s="153" t="e">
        <f aca="false">_xlfn.xlookup(BG840,A:A,J:J)</f>
        <v>#NAME?</v>
      </c>
      <c r="BJ840" s="153" t="e">
        <f aca="false">_xlfn.xlookup(BG840,A:A,N:N)+_xlfn.xlookup(BG840,A:A,O:O)</f>
        <v>#NAME?</v>
      </c>
      <c r="BK840" s="153" t="e">
        <f aca="false">_xlfn.xlookup(BG840,A789:A1783,AB789:AB1783)</f>
        <v>#NAME?</v>
      </c>
      <c r="BN840" s="146"/>
      <c r="BO840" s="150"/>
      <c r="BQ840" s="153" t="str">
        <f aca="false">IF(VALUE(MONTH(C840))&lt;10,YEAR(C840)&amp;"-0"&amp;MONTH(C840),YEAR(C840)&amp;"-"&amp;MONTH(C840))</f>
        <v>1900-01</v>
      </c>
      <c r="BR840" s="153" t="n">
        <f aca="false">J840</f>
        <v>0</v>
      </c>
      <c r="BS840" s="153" t="n">
        <f aca="false">IF(ISNUMBER(FIND("-", BR840)), LEFT(BR840, FIND("-", BR840) - 1), BR840)</f>
        <v>0</v>
      </c>
      <c r="BT840" s="189" t="n">
        <f aca="false">L840-M840+O840</f>
        <v>0</v>
      </c>
    </row>
    <row r="841" s="153" customFormat="true" ht="15" hidden="false" customHeight="false" outlineLevel="0" collapsed="false">
      <c r="AN841" s="153" t="e">
        <v>#NAME?</v>
      </c>
      <c r="AO841" s="153" t="e">
        <f aca="false">_xlfn.xlookup(AN841,A:A,F:F)</f>
        <v>#NAME?</v>
      </c>
      <c r="AP841" s="153" t="e">
        <f aca="false">_xlfn.xlookup(AN841,A:A,J:J)</f>
        <v>#NAME?</v>
      </c>
      <c r="AQ841" s="153" t="e">
        <f aca="false">_xlfn.xlookup(AN841,A:A,N:N)+_xlfn.xlookup(AN841,A:A,O:O)</f>
        <v>#NAME?</v>
      </c>
      <c r="AR841" s="150" t="e">
        <f aca="false">_xlfn.xlookup(AN841,A:A,AH:AH)</f>
        <v>#NAME?</v>
      </c>
      <c r="AS841" s="150" t="e">
        <f aca="false">_xlfn.xlookup(AN841,A:A,S:S)</f>
        <v>#NAME?</v>
      </c>
      <c r="AT841" s="150" t="e">
        <f aca="false">_xlfn.xlookup(AN841,A:A,AE:AE)</f>
        <v>#NAME?</v>
      </c>
      <c r="AU841" s="150" t="e">
        <f aca="false">_xlfn.xlookup(AN841,A:A,AF:AF)</f>
        <v>#NAME?</v>
      </c>
      <c r="AX841" s="146"/>
      <c r="AY841" s="150"/>
      <c r="AZ841" s="150"/>
      <c r="BA841" s="150"/>
      <c r="BB841" s="146"/>
      <c r="BC841" s="146"/>
      <c r="BD841" s="151"/>
      <c r="BE841" s="146"/>
      <c r="BF841" s="146"/>
      <c r="BH841" s="152" t="e">
        <f aca="false">_xlfn.xlookup(BG841,A:A,F:F)</f>
        <v>#NAME?</v>
      </c>
      <c r="BI841" s="153" t="e">
        <f aca="false">_xlfn.xlookup(BG841,A:A,J:J)</f>
        <v>#NAME?</v>
      </c>
      <c r="BJ841" s="153" t="e">
        <f aca="false">_xlfn.xlookup(BG841,A:A,N:N)+_xlfn.xlookup(BG841,A:A,O:O)</f>
        <v>#NAME?</v>
      </c>
      <c r="BK841" s="153" t="e">
        <f aca="false">_xlfn.xlookup(BG841,A790:A1784,AB790:AB1784)</f>
        <v>#NAME?</v>
      </c>
      <c r="BN841" s="146"/>
      <c r="BO841" s="150"/>
      <c r="BQ841" s="153" t="str">
        <f aca="false">IF(VALUE(MONTH(C841))&lt;10,YEAR(C841)&amp;"-0"&amp;MONTH(C841),YEAR(C841)&amp;"-"&amp;MONTH(C841))</f>
        <v>1900-01</v>
      </c>
      <c r="BR841" s="153" t="n">
        <f aca="false">J841</f>
        <v>0</v>
      </c>
      <c r="BS841" s="153" t="n">
        <f aca="false">IF(ISNUMBER(FIND("-", BR841)), LEFT(BR841, FIND("-", BR841) - 1), BR841)</f>
        <v>0</v>
      </c>
      <c r="BT841" s="189" t="n">
        <f aca="false">L841-M841+O841</f>
        <v>0</v>
      </c>
    </row>
    <row r="842" s="153" customFormat="true" ht="15" hidden="false" customHeight="false" outlineLevel="0" collapsed="false">
      <c r="AN842" s="153" t="e">
        <v>#NAME?</v>
      </c>
      <c r="AO842" s="153" t="e">
        <f aca="false">_xlfn.xlookup(AN842,A:A,F:F)</f>
        <v>#NAME?</v>
      </c>
      <c r="AP842" s="153" t="e">
        <f aca="false">_xlfn.xlookup(AN842,A:A,J:J)</f>
        <v>#NAME?</v>
      </c>
      <c r="AQ842" s="153" t="e">
        <f aca="false">_xlfn.xlookup(AN842,A:A,N:N)+_xlfn.xlookup(AN842,A:A,O:O)</f>
        <v>#NAME?</v>
      </c>
      <c r="AR842" s="150" t="e">
        <f aca="false">_xlfn.xlookup(AN842,A:A,AH:AH)</f>
        <v>#NAME?</v>
      </c>
      <c r="AS842" s="150" t="e">
        <f aca="false">_xlfn.xlookup(AN842,A:A,S:S)</f>
        <v>#NAME?</v>
      </c>
      <c r="AT842" s="150" t="e">
        <f aca="false">_xlfn.xlookup(AN842,A:A,AE:AE)</f>
        <v>#NAME?</v>
      </c>
      <c r="AU842" s="150" t="e">
        <f aca="false">_xlfn.xlookup(AN842,A:A,AF:AF)</f>
        <v>#NAME?</v>
      </c>
      <c r="AX842" s="146"/>
      <c r="AY842" s="150"/>
      <c r="AZ842" s="150"/>
      <c r="BA842" s="150"/>
      <c r="BB842" s="146"/>
      <c r="BC842" s="146"/>
      <c r="BD842" s="151"/>
      <c r="BE842" s="146"/>
      <c r="BF842" s="146"/>
      <c r="BH842" s="152" t="e">
        <f aca="false">_xlfn.xlookup(BG842,A:A,F:F)</f>
        <v>#NAME?</v>
      </c>
      <c r="BI842" s="153" t="e">
        <f aca="false">_xlfn.xlookup(BG842,A:A,J:J)</f>
        <v>#NAME?</v>
      </c>
      <c r="BJ842" s="153" t="e">
        <f aca="false">_xlfn.xlookup(BG842,A:A,N:N)+_xlfn.xlookup(BG842,A:A,O:O)</f>
        <v>#NAME?</v>
      </c>
      <c r="BK842" s="153" t="e">
        <f aca="false">_xlfn.xlookup(BG842,A791:A1785,AB791:AB1785)</f>
        <v>#NAME?</v>
      </c>
      <c r="BN842" s="146"/>
      <c r="BO842" s="150"/>
      <c r="BQ842" s="153" t="str">
        <f aca="false">IF(VALUE(MONTH(C842))&lt;10,YEAR(C842)&amp;"-0"&amp;MONTH(C842),YEAR(C842)&amp;"-"&amp;MONTH(C842))</f>
        <v>1900-01</v>
      </c>
      <c r="BR842" s="153" t="n">
        <f aca="false">J842</f>
        <v>0</v>
      </c>
      <c r="BS842" s="153" t="n">
        <f aca="false">IF(ISNUMBER(FIND("-", BR842)), LEFT(BR842, FIND("-", BR842) - 1), BR842)</f>
        <v>0</v>
      </c>
      <c r="BT842" s="189" t="n">
        <f aca="false">L842-M842+O842</f>
        <v>0</v>
      </c>
    </row>
    <row r="843" s="153" customFormat="true" ht="15" hidden="false" customHeight="false" outlineLevel="0" collapsed="false">
      <c r="AN843" s="153" t="e">
        <v>#NAME?</v>
      </c>
      <c r="AO843" s="153" t="e">
        <f aca="false">_xlfn.xlookup(AN843,A:A,F:F)</f>
        <v>#NAME?</v>
      </c>
      <c r="AP843" s="153" t="e">
        <f aca="false">_xlfn.xlookup(AN843,A:A,J:J)</f>
        <v>#NAME?</v>
      </c>
      <c r="AQ843" s="153" t="e">
        <f aca="false">_xlfn.xlookup(AN843,A:A,N:N)+_xlfn.xlookup(AN843,A:A,O:O)</f>
        <v>#NAME?</v>
      </c>
      <c r="AR843" s="150" t="e">
        <f aca="false">_xlfn.xlookup(AN843,A:A,AH:AH)</f>
        <v>#NAME?</v>
      </c>
      <c r="AS843" s="150" t="e">
        <f aca="false">_xlfn.xlookup(AN843,A:A,S:S)</f>
        <v>#NAME?</v>
      </c>
      <c r="AT843" s="150" t="e">
        <f aca="false">_xlfn.xlookup(AN843,A:A,AE:AE)</f>
        <v>#NAME?</v>
      </c>
      <c r="AU843" s="150" t="e">
        <f aca="false">_xlfn.xlookup(AN843,A:A,AF:AF)</f>
        <v>#NAME?</v>
      </c>
      <c r="AX843" s="146"/>
      <c r="AY843" s="150"/>
      <c r="AZ843" s="150"/>
      <c r="BA843" s="150"/>
      <c r="BB843" s="146"/>
      <c r="BC843" s="146"/>
      <c r="BD843" s="151"/>
      <c r="BE843" s="146"/>
      <c r="BF843" s="146"/>
      <c r="BH843" s="152" t="e">
        <f aca="false">_xlfn.xlookup(BG843,A:A,F:F)</f>
        <v>#NAME?</v>
      </c>
      <c r="BI843" s="153" t="e">
        <f aca="false">_xlfn.xlookup(BG843,A:A,J:J)</f>
        <v>#NAME?</v>
      </c>
      <c r="BJ843" s="153" t="e">
        <f aca="false">_xlfn.xlookup(BG843,A:A,N:N)+_xlfn.xlookup(BG843,A:A,O:O)</f>
        <v>#NAME?</v>
      </c>
      <c r="BK843" s="153" t="e">
        <f aca="false">_xlfn.xlookup(BG843,A792:A1786,AB792:AB1786)</f>
        <v>#NAME?</v>
      </c>
      <c r="BN843" s="146"/>
      <c r="BO843" s="150"/>
      <c r="BQ843" s="153" t="str">
        <f aca="false">IF(VALUE(MONTH(C843))&lt;10,YEAR(C843)&amp;"-0"&amp;MONTH(C843),YEAR(C843)&amp;"-"&amp;MONTH(C843))</f>
        <v>1900-01</v>
      </c>
      <c r="BR843" s="153" t="n">
        <f aca="false">J843</f>
        <v>0</v>
      </c>
      <c r="BS843" s="153" t="n">
        <f aca="false">IF(ISNUMBER(FIND("-", BR843)), LEFT(BR843, FIND("-", BR843) - 1), BR843)</f>
        <v>0</v>
      </c>
      <c r="BT843" s="189" t="n">
        <f aca="false">L843-M843+O843</f>
        <v>0</v>
      </c>
    </row>
    <row r="844" s="153" customFormat="true" ht="15" hidden="false" customHeight="false" outlineLevel="0" collapsed="false">
      <c r="AN844" s="153" t="e">
        <v>#NAME?</v>
      </c>
      <c r="AO844" s="153" t="e">
        <f aca="false">_xlfn.xlookup(AN844,A:A,F:F)</f>
        <v>#NAME?</v>
      </c>
      <c r="AP844" s="153" t="e">
        <f aca="false">_xlfn.xlookup(AN844,A:A,J:J)</f>
        <v>#NAME?</v>
      </c>
      <c r="AQ844" s="153" t="e">
        <f aca="false">_xlfn.xlookup(AN844,A:A,N:N)+_xlfn.xlookup(AN844,A:A,O:O)</f>
        <v>#NAME?</v>
      </c>
      <c r="AR844" s="150" t="e">
        <f aca="false">_xlfn.xlookup(AN844,A:A,AH:AH)</f>
        <v>#NAME?</v>
      </c>
      <c r="AS844" s="150" t="e">
        <f aca="false">_xlfn.xlookup(AN844,A:A,S:S)</f>
        <v>#NAME?</v>
      </c>
      <c r="AT844" s="150" t="e">
        <f aca="false">_xlfn.xlookup(AN844,A:A,AE:AE)</f>
        <v>#NAME?</v>
      </c>
      <c r="AU844" s="150" t="e">
        <f aca="false">_xlfn.xlookup(AN844,A:A,AF:AF)</f>
        <v>#NAME?</v>
      </c>
      <c r="AX844" s="146"/>
      <c r="AY844" s="150"/>
      <c r="AZ844" s="150"/>
      <c r="BA844" s="150"/>
      <c r="BB844" s="146"/>
      <c r="BC844" s="146"/>
      <c r="BD844" s="151"/>
      <c r="BE844" s="146"/>
      <c r="BF844" s="146"/>
      <c r="BH844" s="152" t="e">
        <f aca="false">_xlfn.xlookup(BG844,A:A,F:F)</f>
        <v>#NAME?</v>
      </c>
      <c r="BI844" s="153" t="e">
        <f aca="false">_xlfn.xlookup(BG844,A:A,J:J)</f>
        <v>#NAME?</v>
      </c>
      <c r="BJ844" s="153" t="e">
        <f aca="false">_xlfn.xlookup(BG844,A:A,N:N)+_xlfn.xlookup(BG844,A:A,O:O)</f>
        <v>#NAME?</v>
      </c>
      <c r="BK844" s="153" t="e">
        <f aca="false">_xlfn.xlookup(BG844,A793:A1787,AB793:AB1787)</f>
        <v>#NAME?</v>
      </c>
      <c r="BN844" s="146"/>
      <c r="BO844" s="150"/>
      <c r="BQ844" s="153" t="str">
        <f aca="false">IF(VALUE(MONTH(C844))&lt;10,YEAR(C844)&amp;"-0"&amp;MONTH(C844),YEAR(C844)&amp;"-"&amp;MONTH(C844))</f>
        <v>1900-01</v>
      </c>
      <c r="BR844" s="153" t="n">
        <f aca="false">J844</f>
        <v>0</v>
      </c>
      <c r="BS844" s="153" t="n">
        <f aca="false">IF(ISNUMBER(FIND("-", BR844)), LEFT(BR844, FIND("-", BR844) - 1), BR844)</f>
        <v>0</v>
      </c>
      <c r="BT844" s="189" t="n">
        <f aca="false">L844-M844+O844</f>
        <v>0</v>
      </c>
    </row>
    <row r="845" s="153" customFormat="true" ht="15" hidden="false" customHeight="false" outlineLevel="0" collapsed="false">
      <c r="AN845" s="153" t="e">
        <v>#NAME?</v>
      </c>
      <c r="AO845" s="153" t="e">
        <f aca="false">_xlfn.xlookup(AN845,A:A,F:F)</f>
        <v>#NAME?</v>
      </c>
      <c r="AP845" s="153" t="e">
        <f aca="false">_xlfn.xlookup(AN845,A:A,J:J)</f>
        <v>#NAME?</v>
      </c>
      <c r="AQ845" s="153" t="e">
        <f aca="false">_xlfn.xlookup(AN845,A:A,N:N)+_xlfn.xlookup(AN845,A:A,O:O)</f>
        <v>#NAME?</v>
      </c>
      <c r="AR845" s="150" t="e">
        <f aca="false">_xlfn.xlookup(AN845,A:A,AH:AH)</f>
        <v>#NAME?</v>
      </c>
      <c r="AS845" s="150" t="e">
        <f aca="false">_xlfn.xlookup(AN845,A:A,S:S)</f>
        <v>#NAME?</v>
      </c>
      <c r="AT845" s="150" t="e">
        <f aca="false">_xlfn.xlookup(AN845,A:A,AE:AE)</f>
        <v>#NAME?</v>
      </c>
      <c r="AU845" s="150" t="e">
        <f aca="false">_xlfn.xlookup(AN845,A:A,AF:AF)</f>
        <v>#NAME?</v>
      </c>
      <c r="AX845" s="146"/>
      <c r="AY845" s="150"/>
      <c r="AZ845" s="150"/>
      <c r="BA845" s="150"/>
      <c r="BB845" s="146"/>
      <c r="BC845" s="146"/>
      <c r="BD845" s="151"/>
      <c r="BE845" s="146"/>
      <c r="BF845" s="146"/>
      <c r="BH845" s="152" t="e">
        <f aca="false">_xlfn.xlookup(BG845,A:A,F:F)</f>
        <v>#NAME?</v>
      </c>
      <c r="BI845" s="153" t="e">
        <f aca="false">_xlfn.xlookup(BG845,A:A,J:J)</f>
        <v>#NAME?</v>
      </c>
      <c r="BJ845" s="153" t="e">
        <f aca="false">_xlfn.xlookup(BG845,A:A,N:N)+_xlfn.xlookup(BG845,A:A,O:O)</f>
        <v>#NAME?</v>
      </c>
      <c r="BK845" s="153" t="e">
        <f aca="false">_xlfn.xlookup(BG845,A794:A1788,AB794:AB1788)</f>
        <v>#NAME?</v>
      </c>
      <c r="BN845" s="146"/>
      <c r="BO845" s="150"/>
      <c r="BQ845" s="153" t="str">
        <f aca="false">IF(VALUE(MONTH(C845))&lt;10,YEAR(C845)&amp;"-0"&amp;MONTH(C845),YEAR(C845)&amp;"-"&amp;MONTH(C845))</f>
        <v>1900-01</v>
      </c>
      <c r="BR845" s="153" t="n">
        <f aca="false">J845</f>
        <v>0</v>
      </c>
      <c r="BS845" s="153" t="n">
        <f aca="false">IF(ISNUMBER(FIND("-", BR845)), LEFT(BR845, FIND("-", BR845) - 1), BR845)</f>
        <v>0</v>
      </c>
      <c r="BT845" s="189" t="n">
        <f aca="false">L845-M845+O845</f>
        <v>0</v>
      </c>
    </row>
    <row r="846" s="153" customFormat="true" ht="15" hidden="false" customHeight="false" outlineLevel="0" collapsed="false">
      <c r="AN846" s="153" t="e">
        <v>#NAME?</v>
      </c>
      <c r="AO846" s="153" t="e">
        <f aca="false">_xlfn.xlookup(AN846,A:A,F:F)</f>
        <v>#NAME?</v>
      </c>
      <c r="AP846" s="153" t="e">
        <f aca="false">_xlfn.xlookup(AN846,A:A,J:J)</f>
        <v>#NAME?</v>
      </c>
      <c r="AQ846" s="153" t="e">
        <f aca="false">_xlfn.xlookup(AN846,A:A,N:N)+_xlfn.xlookup(AN846,A:A,O:O)</f>
        <v>#NAME?</v>
      </c>
      <c r="AR846" s="150" t="e">
        <f aca="false">_xlfn.xlookup(AN846,A:A,AH:AH)</f>
        <v>#NAME?</v>
      </c>
      <c r="AS846" s="150" t="e">
        <f aca="false">_xlfn.xlookup(AN846,A:A,S:S)</f>
        <v>#NAME?</v>
      </c>
      <c r="AT846" s="150" t="e">
        <f aca="false">_xlfn.xlookup(AN846,A:A,AE:AE)</f>
        <v>#NAME?</v>
      </c>
      <c r="AU846" s="150" t="e">
        <f aca="false">_xlfn.xlookup(AN846,A:A,AF:AF)</f>
        <v>#NAME?</v>
      </c>
      <c r="AX846" s="146"/>
      <c r="AY846" s="150"/>
      <c r="AZ846" s="150"/>
      <c r="BA846" s="150"/>
      <c r="BB846" s="146"/>
      <c r="BC846" s="146"/>
      <c r="BD846" s="151"/>
      <c r="BE846" s="146"/>
      <c r="BF846" s="146"/>
      <c r="BH846" s="152" t="e">
        <f aca="false">_xlfn.xlookup(BG846,A:A,F:F)</f>
        <v>#NAME?</v>
      </c>
      <c r="BI846" s="153" t="e">
        <f aca="false">_xlfn.xlookup(BG846,A:A,J:J)</f>
        <v>#NAME?</v>
      </c>
      <c r="BJ846" s="153" t="e">
        <f aca="false">_xlfn.xlookup(BG846,A:A,N:N)+_xlfn.xlookup(BG846,A:A,O:O)</f>
        <v>#NAME?</v>
      </c>
      <c r="BK846" s="153" t="e">
        <f aca="false">_xlfn.xlookup(BG846,A795:A1789,AB795:AB1789)</f>
        <v>#NAME?</v>
      </c>
      <c r="BN846" s="146"/>
      <c r="BO846" s="150"/>
      <c r="BQ846" s="153" t="str">
        <f aca="false">IF(VALUE(MONTH(C846))&lt;10,YEAR(C846)&amp;"-0"&amp;MONTH(C846),YEAR(C846)&amp;"-"&amp;MONTH(C846))</f>
        <v>1900-01</v>
      </c>
      <c r="BR846" s="153" t="n">
        <f aca="false">J846</f>
        <v>0</v>
      </c>
      <c r="BS846" s="153" t="n">
        <f aca="false">IF(ISNUMBER(FIND("-", BR846)), LEFT(BR846, FIND("-", BR846) - 1), BR846)</f>
        <v>0</v>
      </c>
      <c r="BT846" s="189" t="n">
        <f aca="false">L846-M846+O846</f>
        <v>0</v>
      </c>
    </row>
    <row r="847" s="153" customFormat="true" ht="15" hidden="false" customHeight="false" outlineLevel="0" collapsed="false">
      <c r="AN847" s="153" t="e">
        <v>#NAME?</v>
      </c>
      <c r="AO847" s="153" t="e">
        <f aca="false">_xlfn.xlookup(AN847,A:A,F:F)</f>
        <v>#NAME?</v>
      </c>
      <c r="AP847" s="153" t="e">
        <f aca="false">_xlfn.xlookup(AN847,A:A,J:J)</f>
        <v>#NAME?</v>
      </c>
      <c r="AQ847" s="153" t="e">
        <f aca="false">_xlfn.xlookup(AN847,A:A,N:N)+_xlfn.xlookup(AN847,A:A,O:O)</f>
        <v>#NAME?</v>
      </c>
      <c r="AR847" s="150" t="e">
        <f aca="false">_xlfn.xlookup(AN847,A:A,AH:AH)</f>
        <v>#NAME?</v>
      </c>
      <c r="AS847" s="150" t="e">
        <f aca="false">_xlfn.xlookup(AN847,A:A,S:S)</f>
        <v>#NAME?</v>
      </c>
      <c r="AT847" s="150" t="e">
        <f aca="false">_xlfn.xlookup(AN847,A:A,AE:AE)</f>
        <v>#NAME?</v>
      </c>
      <c r="AU847" s="150" t="e">
        <f aca="false">_xlfn.xlookup(AN847,A:A,AF:AF)</f>
        <v>#NAME?</v>
      </c>
      <c r="AX847" s="146"/>
      <c r="AY847" s="150"/>
      <c r="AZ847" s="150"/>
      <c r="BA847" s="150"/>
      <c r="BB847" s="146"/>
      <c r="BC847" s="146"/>
      <c r="BD847" s="151"/>
      <c r="BE847" s="146"/>
      <c r="BF847" s="146"/>
      <c r="BH847" s="152" t="e">
        <f aca="false">_xlfn.xlookup(BG847,A:A,F:F)</f>
        <v>#NAME?</v>
      </c>
      <c r="BI847" s="153" t="e">
        <f aca="false">_xlfn.xlookup(BG847,A:A,J:J)</f>
        <v>#NAME?</v>
      </c>
      <c r="BJ847" s="153" t="e">
        <f aca="false">_xlfn.xlookup(BG847,A:A,N:N)+_xlfn.xlookup(BG847,A:A,O:O)</f>
        <v>#NAME?</v>
      </c>
      <c r="BK847" s="153" t="e">
        <f aca="false">_xlfn.xlookup(BG847,A796:A1790,AB796:AB1790)</f>
        <v>#NAME?</v>
      </c>
      <c r="BN847" s="146"/>
      <c r="BO847" s="150"/>
      <c r="BQ847" s="153" t="str">
        <f aca="false">IF(VALUE(MONTH(C847))&lt;10,YEAR(C847)&amp;"-0"&amp;MONTH(C847),YEAR(C847)&amp;"-"&amp;MONTH(C847))</f>
        <v>1900-01</v>
      </c>
      <c r="BR847" s="153" t="n">
        <f aca="false">J847</f>
        <v>0</v>
      </c>
      <c r="BS847" s="153" t="n">
        <f aca="false">IF(ISNUMBER(FIND("-", BR847)), LEFT(BR847, FIND("-", BR847) - 1), BR847)</f>
        <v>0</v>
      </c>
      <c r="BT847" s="189" t="n">
        <f aca="false">L847-M847+O847</f>
        <v>0</v>
      </c>
    </row>
    <row r="848" s="153" customFormat="true" ht="15" hidden="false" customHeight="false" outlineLevel="0" collapsed="false">
      <c r="AN848" s="153" t="e">
        <v>#NAME?</v>
      </c>
      <c r="AO848" s="153" t="e">
        <f aca="false">_xlfn.xlookup(AN848,A:A,F:F)</f>
        <v>#NAME?</v>
      </c>
      <c r="AP848" s="153" t="e">
        <f aca="false">_xlfn.xlookup(AN848,A:A,J:J)</f>
        <v>#NAME?</v>
      </c>
      <c r="AQ848" s="153" t="e">
        <f aca="false">_xlfn.xlookup(AN848,A:A,N:N)+_xlfn.xlookup(AN848,A:A,O:O)</f>
        <v>#NAME?</v>
      </c>
      <c r="AR848" s="150" t="e">
        <f aca="false">_xlfn.xlookup(AN848,A:A,AH:AH)</f>
        <v>#NAME?</v>
      </c>
      <c r="AS848" s="150" t="e">
        <f aca="false">_xlfn.xlookup(AN848,A:A,S:S)</f>
        <v>#NAME?</v>
      </c>
      <c r="AT848" s="150" t="e">
        <f aca="false">_xlfn.xlookup(AN848,A:A,AE:AE)</f>
        <v>#NAME?</v>
      </c>
      <c r="AU848" s="150" t="e">
        <f aca="false">_xlfn.xlookup(AN848,A:A,AF:AF)</f>
        <v>#NAME?</v>
      </c>
      <c r="AX848" s="146"/>
      <c r="AY848" s="150"/>
      <c r="AZ848" s="150"/>
      <c r="BA848" s="150"/>
      <c r="BB848" s="146"/>
      <c r="BC848" s="146"/>
      <c r="BD848" s="151"/>
      <c r="BE848" s="146"/>
      <c r="BF848" s="146"/>
      <c r="BH848" s="152" t="e">
        <f aca="false">_xlfn.xlookup(BG848,A:A,F:F)</f>
        <v>#NAME?</v>
      </c>
      <c r="BI848" s="153" t="e">
        <f aca="false">_xlfn.xlookup(BG848,A:A,J:J)</f>
        <v>#NAME?</v>
      </c>
      <c r="BJ848" s="153" t="e">
        <f aca="false">_xlfn.xlookup(BG848,A:A,N:N)+_xlfn.xlookup(BG848,A:A,O:O)</f>
        <v>#NAME?</v>
      </c>
      <c r="BK848" s="153" t="e">
        <f aca="false">_xlfn.xlookup(BG848,A797:A1791,AB797:AB1791)</f>
        <v>#NAME?</v>
      </c>
      <c r="BN848" s="146"/>
      <c r="BO848" s="150"/>
      <c r="BQ848" s="153" t="str">
        <f aca="false">IF(VALUE(MONTH(C848))&lt;10,YEAR(C848)&amp;"-0"&amp;MONTH(C848),YEAR(C848)&amp;"-"&amp;MONTH(C848))</f>
        <v>1900-01</v>
      </c>
      <c r="BR848" s="153" t="n">
        <f aca="false">J848</f>
        <v>0</v>
      </c>
      <c r="BS848" s="153" t="n">
        <f aca="false">IF(ISNUMBER(FIND("-", BR848)), LEFT(BR848, FIND("-", BR848) - 1), BR848)</f>
        <v>0</v>
      </c>
      <c r="BT848" s="189" t="n">
        <f aca="false">L848-M848+O848</f>
        <v>0</v>
      </c>
    </row>
    <row r="849" s="153" customFormat="true" ht="15" hidden="false" customHeight="false" outlineLevel="0" collapsed="false">
      <c r="AN849" s="153" t="e">
        <v>#NAME?</v>
      </c>
      <c r="AO849" s="153" t="e">
        <f aca="false">_xlfn.xlookup(AN849,A:A,F:F)</f>
        <v>#NAME?</v>
      </c>
      <c r="AP849" s="153" t="e">
        <f aca="false">_xlfn.xlookup(AN849,A:A,J:J)</f>
        <v>#NAME?</v>
      </c>
      <c r="AQ849" s="153" t="e">
        <f aca="false">_xlfn.xlookup(AN849,A:A,N:N)+_xlfn.xlookup(AN849,A:A,O:O)</f>
        <v>#NAME?</v>
      </c>
      <c r="AR849" s="150" t="e">
        <f aca="false">_xlfn.xlookup(AN849,A:A,AH:AH)</f>
        <v>#NAME?</v>
      </c>
      <c r="AS849" s="150" t="e">
        <f aca="false">_xlfn.xlookup(AN849,A:A,S:S)</f>
        <v>#NAME?</v>
      </c>
      <c r="AT849" s="150" t="e">
        <f aca="false">_xlfn.xlookup(AN849,A:A,AE:AE)</f>
        <v>#NAME?</v>
      </c>
      <c r="AU849" s="150" t="e">
        <f aca="false">_xlfn.xlookup(AN849,A:A,AF:AF)</f>
        <v>#NAME?</v>
      </c>
      <c r="AX849" s="146"/>
      <c r="AY849" s="150"/>
      <c r="AZ849" s="150"/>
      <c r="BA849" s="150"/>
      <c r="BB849" s="146"/>
      <c r="BC849" s="146"/>
      <c r="BD849" s="151"/>
      <c r="BE849" s="146"/>
      <c r="BF849" s="146"/>
      <c r="BH849" s="152" t="e">
        <f aca="false">_xlfn.xlookup(BG849,A:A,F:F)</f>
        <v>#NAME?</v>
      </c>
      <c r="BI849" s="153" t="e">
        <f aca="false">_xlfn.xlookup(BG849,A:A,J:J)</f>
        <v>#NAME?</v>
      </c>
      <c r="BJ849" s="153" t="e">
        <f aca="false">_xlfn.xlookup(BG849,A:A,N:N)+_xlfn.xlookup(BG849,A:A,O:O)</f>
        <v>#NAME?</v>
      </c>
      <c r="BK849" s="153" t="e">
        <f aca="false">_xlfn.xlookup(BG849,A798:A1792,AB798:AB1792)</f>
        <v>#NAME?</v>
      </c>
      <c r="BN849" s="146"/>
      <c r="BO849" s="150"/>
      <c r="BQ849" s="153" t="str">
        <f aca="false">IF(VALUE(MONTH(C849))&lt;10,YEAR(C849)&amp;"-0"&amp;MONTH(C849),YEAR(C849)&amp;"-"&amp;MONTH(C849))</f>
        <v>1900-01</v>
      </c>
      <c r="BR849" s="153" t="n">
        <f aca="false">J849</f>
        <v>0</v>
      </c>
      <c r="BS849" s="153" t="n">
        <f aca="false">IF(ISNUMBER(FIND("-", BR849)), LEFT(BR849, FIND("-", BR849) - 1), BR849)</f>
        <v>0</v>
      </c>
      <c r="BT849" s="189" t="n">
        <f aca="false">L849-M849+O849</f>
        <v>0</v>
      </c>
    </row>
    <row r="850" s="153" customFormat="true" ht="15" hidden="false" customHeight="false" outlineLevel="0" collapsed="false">
      <c r="AN850" s="153" t="e">
        <v>#NAME?</v>
      </c>
      <c r="AO850" s="153" t="e">
        <f aca="false">_xlfn.xlookup(AN850,A:A,F:F)</f>
        <v>#NAME?</v>
      </c>
      <c r="AP850" s="153" t="e">
        <f aca="false">_xlfn.xlookup(AN850,A:A,J:J)</f>
        <v>#NAME?</v>
      </c>
      <c r="AQ850" s="153" t="e">
        <f aca="false">_xlfn.xlookup(AN850,A:A,N:N)+_xlfn.xlookup(AN850,A:A,O:O)</f>
        <v>#NAME?</v>
      </c>
      <c r="AR850" s="150" t="e">
        <f aca="false">_xlfn.xlookup(AN850,A:A,AH:AH)</f>
        <v>#NAME?</v>
      </c>
      <c r="AS850" s="150" t="e">
        <f aca="false">_xlfn.xlookup(AN850,A:A,S:S)</f>
        <v>#NAME?</v>
      </c>
      <c r="AT850" s="150" t="e">
        <f aca="false">_xlfn.xlookup(AN850,A:A,AE:AE)</f>
        <v>#NAME?</v>
      </c>
      <c r="AU850" s="150" t="e">
        <f aca="false">_xlfn.xlookup(AN850,A:A,AF:AF)</f>
        <v>#NAME?</v>
      </c>
      <c r="AX850" s="146"/>
      <c r="AY850" s="150"/>
      <c r="AZ850" s="150"/>
      <c r="BA850" s="150"/>
      <c r="BB850" s="146"/>
      <c r="BC850" s="146"/>
      <c r="BD850" s="151"/>
      <c r="BE850" s="146"/>
      <c r="BF850" s="146"/>
      <c r="BH850" s="152" t="e">
        <f aca="false">_xlfn.xlookup(BG850,A:A,F:F)</f>
        <v>#NAME?</v>
      </c>
      <c r="BI850" s="153" t="e">
        <f aca="false">_xlfn.xlookup(BG850,A:A,J:J)</f>
        <v>#NAME?</v>
      </c>
      <c r="BJ850" s="153" t="e">
        <f aca="false">_xlfn.xlookup(BG850,A:A,N:N)+_xlfn.xlookup(BG850,A:A,O:O)</f>
        <v>#NAME?</v>
      </c>
      <c r="BK850" s="153" t="e">
        <f aca="false">_xlfn.xlookup(BG850,A799:A1793,AB799:AB1793)</f>
        <v>#NAME?</v>
      </c>
      <c r="BN850" s="146"/>
      <c r="BO850" s="150"/>
      <c r="BQ850" s="153" t="str">
        <f aca="false">IF(VALUE(MONTH(C850))&lt;10,YEAR(C850)&amp;"-0"&amp;MONTH(C850),YEAR(C850)&amp;"-"&amp;MONTH(C850))</f>
        <v>1900-01</v>
      </c>
      <c r="BR850" s="153" t="n">
        <f aca="false">J850</f>
        <v>0</v>
      </c>
      <c r="BS850" s="153" t="n">
        <f aca="false">IF(ISNUMBER(FIND("-", BR850)), LEFT(BR850, FIND("-", BR850) - 1), BR850)</f>
        <v>0</v>
      </c>
      <c r="BT850" s="189" t="n">
        <f aca="false">L850-M850+O850</f>
        <v>0</v>
      </c>
    </row>
    <row r="851" s="153" customFormat="true" ht="15" hidden="false" customHeight="false" outlineLevel="0" collapsed="false">
      <c r="AN851" s="153" t="e">
        <v>#NAME?</v>
      </c>
      <c r="AO851" s="153" t="e">
        <f aca="false">_xlfn.xlookup(AN851,A:A,F:F)</f>
        <v>#NAME?</v>
      </c>
      <c r="AP851" s="153" t="e">
        <f aca="false">_xlfn.xlookup(AN851,A:A,J:J)</f>
        <v>#NAME?</v>
      </c>
      <c r="AQ851" s="153" t="e">
        <f aca="false">_xlfn.xlookup(AN851,A:A,N:N)+_xlfn.xlookup(AN851,A:A,O:O)</f>
        <v>#NAME?</v>
      </c>
      <c r="AR851" s="150" t="e">
        <f aca="false">_xlfn.xlookup(AN851,A:A,AH:AH)</f>
        <v>#NAME?</v>
      </c>
      <c r="AS851" s="150" t="e">
        <f aca="false">_xlfn.xlookup(AN851,A:A,S:S)</f>
        <v>#NAME?</v>
      </c>
      <c r="AT851" s="150" t="e">
        <f aca="false">_xlfn.xlookup(AN851,A:A,AE:AE)</f>
        <v>#NAME?</v>
      </c>
      <c r="AU851" s="150" t="e">
        <f aca="false">_xlfn.xlookup(AN851,A:A,AF:AF)</f>
        <v>#NAME?</v>
      </c>
      <c r="AX851" s="146"/>
      <c r="AY851" s="150"/>
      <c r="AZ851" s="150"/>
      <c r="BA851" s="150"/>
      <c r="BB851" s="146"/>
      <c r="BC851" s="146"/>
      <c r="BD851" s="151"/>
      <c r="BE851" s="146"/>
      <c r="BF851" s="146"/>
      <c r="BH851" s="152" t="e">
        <f aca="false">_xlfn.xlookup(BG851,A:A,F:F)</f>
        <v>#NAME?</v>
      </c>
      <c r="BI851" s="153" t="e">
        <f aca="false">_xlfn.xlookup(BG851,A:A,J:J)</f>
        <v>#NAME?</v>
      </c>
      <c r="BJ851" s="153" t="e">
        <f aca="false">_xlfn.xlookup(BG851,A:A,N:N)+_xlfn.xlookup(BG851,A:A,O:O)</f>
        <v>#NAME?</v>
      </c>
      <c r="BK851" s="153" t="e">
        <f aca="false">_xlfn.xlookup(BG851,A800:A1794,AB800:AB1794)</f>
        <v>#NAME?</v>
      </c>
      <c r="BN851" s="146"/>
      <c r="BO851" s="150"/>
      <c r="BQ851" s="153" t="str">
        <f aca="false">IF(VALUE(MONTH(C851))&lt;10,YEAR(C851)&amp;"-0"&amp;MONTH(C851),YEAR(C851)&amp;"-"&amp;MONTH(C851))</f>
        <v>1900-01</v>
      </c>
      <c r="BR851" s="153" t="n">
        <f aca="false">J851</f>
        <v>0</v>
      </c>
      <c r="BS851" s="153" t="n">
        <f aca="false">IF(ISNUMBER(FIND("-", BR851)), LEFT(BR851, FIND("-", BR851) - 1), BR851)</f>
        <v>0</v>
      </c>
      <c r="BT851" s="189" t="n">
        <f aca="false">L851-M851+O851</f>
        <v>0</v>
      </c>
    </row>
    <row r="852" s="153" customFormat="true" ht="15" hidden="false" customHeight="false" outlineLevel="0" collapsed="false">
      <c r="AN852" s="153" t="e">
        <v>#NAME?</v>
      </c>
      <c r="AO852" s="153" t="e">
        <f aca="false">_xlfn.xlookup(AN852,A:A,F:F)</f>
        <v>#NAME?</v>
      </c>
      <c r="AP852" s="153" t="e">
        <f aca="false">_xlfn.xlookup(AN852,A:A,J:J)</f>
        <v>#NAME?</v>
      </c>
      <c r="AQ852" s="153" t="e">
        <f aca="false">_xlfn.xlookup(AN852,A:A,N:N)+_xlfn.xlookup(AN852,A:A,O:O)</f>
        <v>#NAME?</v>
      </c>
      <c r="AR852" s="150" t="e">
        <f aca="false">_xlfn.xlookup(AN852,A:A,AH:AH)</f>
        <v>#NAME?</v>
      </c>
      <c r="AS852" s="150" t="e">
        <f aca="false">_xlfn.xlookup(AN852,A:A,S:S)</f>
        <v>#NAME?</v>
      </c>
      <c r="AT852" s="150" t="e">
        <f aca="false">_xlfn.xlookup(AN852,A:A,AE:AE)</f>
        <v>#NAME?</v>
      </c>
      <c r="AU852" s="150" t="e">
        <f aca="false">_xlfn.xlookup(AN852,A:A,AF:AF)</f>
        <v>#NAME?</v>
      </c>
      <c r="AX852" s="146"/>
      <c r="AY852" s="150"/>
      <c r="AZ852" s="150"/>
      <c r="BA852" s="150"/>
      <c r="BB852" s="146"/>
      <c r="BC852" s="146"/>
      <c r="BD852" s="151"/>
      <c r="BE852" s="146"/>
      <c r="BF852" s="146"/>
      <c r="BH852" s="152" t="e">
        <f aca="false">_xlfn.xlookup(BG852,A:A,F:F)</f>
        <v>#NAME?</v>
      </c>
      <c r="BI852" s="153" t="e">
        <f aca="false">_xlfn.xlookup(BG852,A:A,J:J)</f>
        <v>#NAME?</v>
      </c>
      <c r="BJ852" s="153" t="e">
        <f aca="false">_xlfn.xlookup(BG852,A:A,N:N)+_xlfn.xlookup(BG852,A:A,O:O)</f>
        <v>#NAME?</v>
      </c>
      <c r="BK852" s="153" t="e">
        <f aca="false">_xlfn.xlookup(BG852,A801:A1795,AB801:AB1795)</f>
        <v>#NAME?</v>
      </c>
      <c r="BN852" s="146"/>
      <c r="BO852" s="150"/>
      <c r="BQ852" s="153" t="str">
        <f aca="false">IF(VALUE(MONTH(C852))&lt;10,YEAR(C852)&amp;"-0"&amp;MONTH(C852),YEAR(C852)&amp;"-"&amp;MONTH(C852))</f>
        <v>1900-01</v>
      </c>
      <c r="BR852" s="153" t="n">
        <f aca="false">J852</f>
        <v>0</v>
      </c>
      <c r="BS852" s="153" t="n">
        <f aca="false">IF(ISNUMBER(FIND("-", BR852)), LEFT(BR852, FIND("-", BR852) - 1), BR852)</f>
        <v>0</v>
      </c>
      <c r="BT852" s="189" t="n">
        <f aca="false">L852-M852+O852</f>
        <v>0</v>
      </c>
    </row>
    <row r="853" s="153" customFormat="true" ht="15" hidden="false" customHeight="false" outlineLevel="0" collapsed="false">
      <c r="AN853" s="153" t="e">
        <v>#NAME?</v>
      </c>
      <c r="AO853" s="153" t="e">
        <f aca="false">_xlfn.xlookup(AN853,A:A,F:F)</f>
        <v>#NAME?</v>
      </c>
      <c r="AP853" s="153" t="e">
        <f aca="false">_xlfn.xlookup(AN853,A:A,J:J)</f>
        <v>#NAME?</v>
      </c>
      <c r="AQ853" s="153" t="e">
        <f aca="false">_xlfn.xlookup(AN853,A:A,N:N)+_xlfn.xlookup(AN853,A:A,O:O)</f>
        <v>#NAME?</v>
      </c>
      <c r="AR853" s="150" t="e">
        <f aca="false">_xlfn.xlookup(AN853,A:A,AH:AH)</f>
        <v>#NAME?</v>
      </c>
      <c r="AS853" s="150" t="e">
        <f aca="false">_xlfn.xlookup(AN853,A:A,S:S)</f>
        <v>#NAME?</v>
      </c>
      <c r="AT853" s="150" t="e">
        <f aca="false">_xlfn.xlookup(AN853,A:A,AE:AE)</f>
        <v>#NAME?</v>
      </c>
      <c r="AU853" s="150" t="e">
        <f aca="false">_xlfn.xlookup(AN853,A:A,AF:AF)</f>
        <v>#NAME?</v>
      </c>
      <c r="AX853" s="146"/>
      <c r="AY853" s="150"/>
      <c r="AZ853" s="150"/>
      <c r="BA853" s="150"/>
      <c r="BB853" s="146"/>
      <c r="BC853" s="146"/>
      <c r="BD853" s="151"/>
      <c r="BE853" s="146"/>
      <c r="BF853" s="146"/>
      <c r="BH853" s="152" t="e">
        <f aca="false">_xlfn.xlookup(BG853,A:A,F:F)</f>
        <v>#NAME?</v>
      </c>
      <c r="BI853" s="153" t="e">
        <f aca="false">_xlfn.xlookup(BG853,A:A,J:J)</f>
        <v>#NAME?</v>
      </c>
      <c r="BJ853" s="153" t="e">
        <f aca="false">_xlfn.xlookup(BG853,A:A,N:N)+_xlfn.xlookup(BG853,A:A,O:O)</f>
        <v>#NAME?</v>
      </c>
      <c r="BK853" s="153" t="e">
        <f aca="false">_xlfn.xlookup(BG853,A802:A1796,AB802:AB1796)</f>
        <v>#NAME?</v>
      </c>
      <c r="BN853" s="146"/>
      <c r="BO853" s="150"/>
      <c r="BQ853" s="153" t="str">
        <f aca="false">IF(VALUE(MONTH(C853))&lt;10,YEAR(C853)&amp;"-0"&amp;MONTH(C853),YEAR(C853)&amp;"-"&amp;MONTH(C853))</f>
        <v>1900-01</v>
      </c>
      <c r="BR853" s="153" t="n">
        <f aca="false">J853</f>
        <v>0</v>
      </c>
      <c r="BS853" s="153" t="n">
        <f aca="false">IF(ISNUMBER(FIND("-", BR853)), LEFT(BR853, FIND("-", BR853) - 1), BR853)</f>
        <v>0</v>
      </c>
      <c r="BT853" s="189" t="n">
        <f aca="false">L853-M853+O853</f>
        <v>0</v>
      </c>
    </row>
    <row r="854" s="153" customFormat="true" ht="15" hidden="false" customHeight="false" outlineLevel="0" collapsed="false">
      <c r="AN854" s="153" t="e">
        <v>#NAME?</v>
      </c>
      <c r="AO854" s="153" t="e">
        <f aca="false">_xlfn.xlookup(AN854,A:A,F:F)</f>
        <v>#NAME?</v>
      </c>
      <c r="AP854" s="153" t="e">
        <f aca="false">_xlfn.xlookup(AN854,A:A,J:J)</f>
        <v>#NAME?</v>
      </c>
      <c r="AQ854" s="153" t="e">
        <f aca="false">_xlfn.xlookup(AN854,A:A,N:N)+_xlfn.xlookup(AN854,A:A,O:O)</f>
        <v>#NAME?</v>
      </c>
      <c r="AR854" s="150" t="e">
        <f aca="false">_xlfn.xlookup(AN854,A:A,AH:AH)</f>
        <v>#NAME?</v>
      </c>
      <c r="AS854" s="150" t="e">
        <f aca="false">_xlfn.xlookup(AN854,A:A,S:S)</f>
        <v>#NAME?</v>
      </c>
      <c r="AT854" s="150" t="e">
        <f aca="false">_xlfn.xlookup(AN854,A:A,AE:AE)</f>
        <v>#NAME?</v>
      </c>
      <c r="AU854" s="150" t="e">
        <f aca="false">_xlfn.xlookup(AN854,A:A,AF:AF)</f>
        <v>#NAME?</v>
      </c>
      <c r="AX854" s="146"/>
      <c r="AY854" s="150"/>
      <c r="AZ854" s="150"/>
      <c r="BA854" s="150"/>
      <c r="BB854" s="146"/>
      <c r="BC854" s="146"/>
      <c r="BD854" s="151"/>
      <c r="BE854" s="146"/>
      <c r="BF854" s="146"/>
      <c r="BH854" s="152" t="e">
        <f aca="false">_xlfn.xlookup(BG854,A:A,F:F)</f>
        <v>#NAME?</v>
      </c>
      <c r="BI854" s="153" t="e">
        <f aca="false">_xlfn.xlookup(BG854,A:A,J:J)</f>
        <v>#NAME?</v>
      </c>
      <c r="BJ854" s="153" t="e">
        <f aca="false">_xlfn.xlookup(BG854,A:A,N:N)+_xlfn.xlookup(BG854,A:A,O:O)</f>
        <v>#NAME?</v>
      </c>
      <c r="BK854" s="153" t="e">
        <f aca="false">_xlfn.xlookup(BG854,A803:A1797,AB803:AB1797)</f>
        <v>#NAME?</v>
      </c>
      <c r="BN854" s="146"/>
      <c r="BO854" s="150"/>
      <c r="BQ854" s="153" t="str">
        <f aca="false">IF(VALUE(MONTH(C854))&lt;10,YEAR(C854)&amp;"-0"&amp;MONTH(C854),YEAR(C854)&amp;"-"&amp;MONTH(C854))</f>
        <v>1900-01</v>
      </c>
      <c r="BR854" s="153" t="n">
        <f aca="false">J854</f>
        <v>0</v>
      </c>
      <c r="BS854" s="153" t="n">
        <f aca="false">IF(ISNUMBER(FIND("-", BR854)), LEFT(BR854, FIND("-", BR854) - 1), BR854)</f>
        <v>0</v>
      </c>
      <c r="BT854" s="189" t="n">
        <f aca="false">L854-M854+O854</f>
        <v>0</v>
      </c>
    </row>
    <row r="855" s="153" customFormat="true" ht="15" hidden="false" customHeight="false" outlineLevel="0" collapsed="false">
      <c r="AN855" s="153" t="e">
        <v>#NAME?</v>
      </c>
      <c r="AO855" s="153" t="e">
        <f aca="false">_xlfn.xlookup(AN855,A:A,F:F)</f>
        <v>#NAME?</v>
      </c>
      <c r="AP855" s="153" t="e">
        <f aca="false">_xlfn.xlookup(AN855,A:A,J:J)</f>
        <v>#NAME?</v>
      </c>
      <c r="AQ855" s="153" t="e">
        <f aca="false">_xlfn.xlookup(AN855,A:A,N:N)+_xlfn.xlookup(AN855,A:A,O:O)</f>
        <v>#NAME?</v>
      </c>
      <c r="AR855" s="150" t="e">
        <f aca="false">_xlfn.xlookup(AN855,A:A,AH:AH)</f>
        <v>#NAME?</v>
      </c>
      <c r="AS855" s="150" t="e">
        <f aca="false">_xlfn.xlookup(AN855,A:A,S:S)</f>
        <v>#NAME?</v>
      </c>
      <c r="AT855" s="150" t="e">
        <f aca="false">_xlfn.xlookup(AN855,A:A,AE:AE)</f>
        <v>#NAME?</v>
      </c>
      <c r="AU855" s="150" t="e">
        <f aca="false">_xlfn.xlookup(AN855,A:A,AF:AF)</f>
        <v>#NAME?</v>
      </c>
      <c r="AX855" s="146"/>
      <c r="AY855" s="150"/>
      <c r="AZ855" s="150"/>
      <c r="BA855" s="150"/>
      <c r="BB855" s="146"/>
      <c r="BC855" s="146"/>
      <c r="BD855" s="151"/>
      <c r="BE855" s="146"/>
      <c r="BF855" s="146"/>
      <c r="BH855" s="152" t="e">
        <f aca="false">_xlfn.xlookup(BG855,A:A,F:F)</f>
        <v>#NAME?</v>
      </c>
      <c r="BI855" s="153" t="e">
        <f aca="false">_xlfn.xlookup(BG855,A:A,J:J)</f>
        <v>#NAME?</v>
      </c>
      <c r="BJ855" s="153" t="e">
        <f aca="false">_xlfn.xlookup(BG855,A:A,N:N)+_xlfn.xlookup(BG855,A:A,O:O)</f>
        <v>#NAME?</v>
      </c>
      <c r="BK855" s="153" t="e">
        <f aca="false">_xlfn.xlookup(BG855,A804:A1798,AB804:AB1798)</f>
        <v>#NAME?</v>
      </c>
      <c r="BN855" s="146"/>
      <c r="BO855" s="150"/>
      <c r="BQ855" s="153" t="str">
        <f aca="false">IF(VALUE(MONTH(C855))&lt;10,YEAR(C855)&amp;"-0"&amp;MONTH(C855),YEAR(C855)&amp;"-"&amp;MONTH(C855))</f>
        <v>1900-01</v>
      </c>
      <c r="BR855" s="153" t="n">
        <f aca="false">J855</f>
        <v>0</v>
      </c>
      <c r="BS855" s="153" t="n">
        <f aca="false">IF(ISNUMBER(FIND("-", BR855)), LEFT(BR855, FIND("-", BR855) - 1), BR855)</f>
        <v>0</v>
      </c>
      <c r="BT855" s="189" t="n">
        <f aca="false">L855-M855+O855</f>
        <v>0</v>
      </c>
    </row>
    <row r="856" s="153" customFormat="true" ht="15" hidden="false" customHeight="false" outlineLevel="0" collapsed="false">
      <c r="AN856" s="153" t="e">
        <v>#NAME?</v>
      </c>
      <c r="AO856" s="153" t="e">
        <f aca="false">_xlfn.xlookup(AN856,A:A,F:F)</f>
        <v>#NAME?</v>
      </c>
      <c r="AP856" s="153" t="e">
        <f aca="false">_xlfn.xlookup(AN856,A:A,J:J)</f>
        <v>#NAME?</v>
      </c>
      <c r="AQ856" s="153" t="e">
        <f aca="false">_xlfn.xlookup(AN856,A:A,N:N)+_xlfn.xlookup(AN856,A:A,O:O)</f>
        <v>#NAME?</v>
      </c>
      <c r="AR856" s="150" t="e">
        <f aca="false">_xlfn.xlookup(AN856,A:A,AH:AH)</f>
        <v>#NAME?</v>
      </c>
      <c r="AS856" s="150" t="e">
        <f aca="false">_xlfn.xlookup(AN856,A:A,S:S)</f>
        <v>#NAME?</v>
      </c>
      <c r="AT856" s="150" t="e">
        <f aca="false">_xlfn.xlookup(AN856,A:A,AE:AE)</f>
        <v>#NAME?</v>
      </c>
      <c r="AU856" s="150" t="e">
        <f aca="false">_xlfn.xlookup(AN856,A:A,AF:AF)</f>
        <v>#NAME?</v>
      </c>
      <c r="AX856" s="146"/>
      <c r="AY856" s="150"/>
      <c r="AZ856" s="150"/>
      <c r="BA856" s="150"/>
      <c r="BB856" s="146"/>
      <c r="BC856" s="146"/>
      <c r="BD856" s="151"/>
      <c r="BE856" s="146"/>
      <c r="BF856" s="146"/>
      <c r="BH856" s="152" t="e">
        <f aca="false">_xlfn.xlookup(BG856,A:A,F:F)</f>
        <v>#NAME?</v>
      </c>
      <c r="BI856" s="153" t="e">
        <f aca="false">_xlfn.xlookup(BG856,A:A,J:J)</f>
        <v>#NAME?</v>
      </c>
      <c r="BJ856" s="153" t="e">
        <f aca="false">_xlfn.xlookup(BG856,A:A,N:N)+_xlfn.xlookup(BG856,A:A,O:O)</f>
        <v>#NAME?</v>
      </c>
      <c r="BK856" s="153" t="e">
        <f aca="false">_xlfn.xlookup(BG856,A805:A1799,AB805:AB1799)</f>
        <v>#NAME?</v>
      </c>
      <c r="BN856" s="146"/>
      <c r="BO856" s="150"/>
      <c r="BQ856" s="153" t="str">
        <f aca="false">IF(VALUE(MONTH(C856))&lt;10,YEAR(C856)&amp;"-0"&amp;MONTH(C856),YEAR(C856)&amp;"-"&amp;MONTH(C856))</f>
        <v>1900-01</v>
      </c>
      <c r="BR856" s="153" t="n">
        <f aca="false">J856</f>
        <v>0</v>
      </c>
      <c r="BS856" s="153" t="n">
        <f aca="false">IF(ISNUMBER(FIND("-", BR856)), LEFT(BR856, FIND("-", BR856) - 1), BR856)</f>
        <v>0</v>
      </c>
      <c r="BT856" s="189" t="n">
        <f aca="false">L856-M856+O856</f>
        <v>0</v>
      </c>
    </row>
    <row r="857" s="153" customFormat="true" ht="15" hidden="false" customHeight="false" outlineLevel="0" collapsed="false">
      <c r="AN857" s="153" t="e">
        <v>#NAME?</v>
      </c>
      <c r="AO857" s="153" t="e">
        <f aca="false">_xlfn.xlookup(AN857,A:A,F:F)</f>
        <v>#NAME?</v>
      </c>
      <c r="AP857" s="153" t="e">
        <f aca="false">_xlfn.xlookup(AN857,A:A,J:J)</f>
        <v>#NAME?</v>
      </c>
      <c r="AQ857" s="153" t="e">
        <f aca="false">_xlfn.xlookup(AN857,A:A,N:N)+_xlfn.xlookup(AN857,A:A,O:O)</f>
        <v>#NAME?</v>
      </c>
      <c r="AR857" s="150" t="e">
        <f aca="false">_xlfn.xlookup(AN857,A:A,AH:AH)</f>
        <v>#NAME?</v>
      </c>
      <c r="AS857" s="150" t="e">
        <f aca="false">_xlfn.xlookup(AN857,A:A,S:S)</f>
        <v>#NAME?</v>
      </c>
      <c r="AT857" s="150" t="e">
        <f aca="false">_xlfn.xlookup(AN857,A:A,AE:AE)</f>
        <v>#NAME?</v>
      </c>
      <c r="AU857" s="150" t="e">
        <f aca="false">_xlfn.xlookup(AN857,A:A,AF:AF)</f>
        <v>#NAME?</v>
      </c>
      <c r="AX857" s="146"/>
      <c r="AY857" s="150"/>
      <c r="AZ857" s="150"/>
      <c r="BA857" s="150"/>
      <c r="BB857" s="146"/>
      <c r="BC857" s="146"/>
      <c r="BD857" s="151"/>
      <c r="BE857" s="146"/>
      <c r="BF857" s="146"/>
      <c r="BH857" s="152" t="e">
        <f aca="false">_xlfn.xlookup(BG857,A:A,F:F)</f>
        <v>#NAME?</v>
      </c>
      <c r="BI857" s="153" t="e">
        <f aca="false">_xlfn.xlookup(BG857,A:A,J:J)</f>
        <v>#NAME?</v>
      </c>
      <c r="BJ857" s="153" t="e">
        <f aca="false">_xlfn.xlookup(BG857,A:A,N:N)+_xlfn.xlookup(BG857,A:A,O:O)</f>
        <v>#NAME?</v>
      </c>
      <c r="BK857" s="153" t="e">
        <f aca="false">_xlfn.xlookup(BG857,A806:A1800,AB806:AB1800)</f>
        <v>#NAME?</v>
      </c>
      <c r="BN857" s="146"/>
      <c r="BO857" s="150"/>
      <c r="BQ857" s="153" t="str">
        <f aca="false">IF(VALUE(MONTH(C857))&lt;10,YEAR(C857)&amp;"-0"&amp;MONTH(C857),YEAR(C857)&amp;"-"&amp;MONTH(C857))</f>
        <v>1900-01</v>
      </c>
      <c r="BR857" s="153" t="n">
        <f aca="false">J857</f>
        <v>0</v>
      </c>
      <c r="BS857" s="153" t="n">
        <f aca="false">IF(ISNUMBER(FIND("-", BR857)), LEFT(BR857, FIND("-", BR857) - 1), BR857)</f>
        <v>0</v>
      </c>
      <c r="BT857" s="189" t="n">
        <f aca="false">L857-M857+O857</f>
        <v>0</v>
      </c>
    </row>
    <row r="858" s="153" customFormat="true" ht="15" hidden="false" customHeight="false" outlineLevel="0" collapsed="false">
      <c r="AN858" s="153" t="e">
        <v>#NAME?</v>
      </c>
      <c r="AO858" s="153" t="e">
        <f aca="false">_xlfn.xlookup(AN858,A:A,F:F)</f>
        <v>#NAME?</v>
      </c>
      <c r="AP858" s="153" t="e">
        <f aca="false">_xlfn.xlookup(AN858,A:A,J:J)</f>
        <v>#NAME?</v>
      </c>
      <c r="AQ858" s="153" t="e">
        <f aca="false">_xlfn.xlookup(AN858,A:A,N:N)+_xlfn.xlookup(AN858,A:A,O:O)</f>
        <v>#NAME?</v>
      </c>
      <c r="AR858" s="150" t="e">
        <f aca="false">_xlfn.xlookup(AN858,A:A,AH:AH)</f>
        <v>#NAME?</v>
      </c>
      <c r="AS858" s="150" t="e">
        <f aca="false">_xlfn.xlookup(AN858,A:A,S:S)</f>
        <v>#NAME?</v>
      </c>
      <c r="AT858" s="150" t="e">
        <f aca="false">_xlfn.xlookup(AN858,A:A,AE:AE)</f>
        <v>#NAME?</v>
      </c>
      <c r="AU858" s="150" t="e">
        <f aca="false">_xlfn.xlookup(AN858,A:A,AF:AF)</f>
        <v>#NAME?</v>
      </c>
      <c r="AX858" s="146"/>
      <c r="AY858" s="150"/>
      <c r="AZ858" s="150"/>
      <c r="BA858" s="150"/>
      <c r="BB858" s="146"/>
      <c r="BC858" s="146"/>
      <c r="BD858" s="151"/>
      <c r="BE858" s="146"/>
      <c r="BF858" s="146"/>
      <c r="BH858" s="152" t="e">
        <f aca="false">_xlfn.xlookup(BG858,A:A,F:F)</f>
        <v>#NAME?</v>
      </c>
      <c r="BI858" s="153" t="e">
        <f aca="false">_xlfn.xlookup(BG858,A:A,J:J)</f>
        <v>#NAME?</v>
      </c>
      <c r="BJ858" s="153" t="e">
        <f aca="false">_xlfn.xlookup(BG858,A:A,N:N)+_xlfn.xlookup(BG858,A:A,O:O)</f>
        <v>#NAME?</v>
      </c>
      <c r="BK858" s="153" t="e">
        <f aca="false">_xlfn.xlookup(BG858,A807:A1801,AB807:AB1801)</f>
        <v>#NAME?</v>
      </c>
      <c r="BN858" s="146"/>
      <c r="BO858" s="150"/>
      <c r="BQ858" s="153" t="str">
        <f aca="false">IF(VALUE(MONTH(C858))&lt;10,YEAR(C858)&amp;"-0"&amp;MONTH(C858),YEAR(C858)&amp;"-"&amp;MONTH(C858))</f>
        <v>1900-01</v>
      </c>
      <c r="BR858" s="153" t="n">
        <f aca="false">J858</f>
        <v>0</v>
      </c>
      <c r="BS858" s="153" t="n">
        <f aca="false">IF(ISNUMBER(FIND("-", BR858)), LEFT(BR858, FIND("-", BR858) - 1), BR858)</f>
        <v>0</v>
      </c>
      <c r="BT858" s="189" t="n">
        <f aca="false">L858-M858+O858</f>
        <v>0</v>
      </c>
    </row>
    <row r="859" s="153" customFormat="true" ht="15" hidden="false" customHeight="false" outlineLevel="0" collapsed="false">
      <c r="AN859" s="153" t="e">
        <v>#NAME?</v>
      </c>
      <c r="AO859" s="153" t="e">
        <f aca="false">_xlfn.xlookup(AN859,A:A,F:F)</f>
        <v>#NAME?</v>
      </c>
      <c r="AP859" s="153" t="e">
        <f aca="false">_xlfn.xlookup(AN859,A:A,J:J)</f>
        <v>#NAME?</v>
      </c>
      <c r="AQ859" s="153" t="e">
        <f aca="false">_xlfn.xlookup(AN859,A:A,N:N)+_xlfn.xlookup(AN859,A:A,O:O)</f>
        <v>#NAME?</v>
      </c>
      <c r="AR859" s="150" t="e">
        <f aca="false">_xlfn.xlookup(AN859,A:A,AH:AH)</f>
        <v>#NAME?</v>
      </c>
      <c r="AS859" s="150" t="e">
        <f aca="false">_xlfn.xlookup(AN859,A:A,S:S)</f>
        <v>#NAME?</v>
      </c>
      <c r="AT859" s="150" t="e">
        <f aca="false">_xlfn.xlookup(AN859,A:A,AE:AE)</f>
        <v>#NAME?</v>
      </c>
      <c r="AU859" s="150" t="e">
        <f aca="false">_xlfn.xlookup(AN859,A:A,AF:AF)</f>
        <v>#NAME?</v>
      </c>
      <c r="AX859" s="146"/>
      <c r="AY859" s="150"/>
      <c r="AZ859" s="150"/>
      <c r="BA859" s="150"/>
      <c r="BB859" s="146"/>
      <c r="BC859" s="146"/>
      <c r="BD859" s="151"/>
      <c r="BE859" s="146"/>
      <c r="BF859" s="146"/>
      <c r="BH859" s="152" t="e">
        <f aca="false">_xlfn.xlookup(BG859,A:A,F:F)</f>
        <v>#NAME?</v>
      </c>
      <c r="BI859" s="153" t="e">
        <f aca="false">_xlfn.xlookup(BG859,A:A,J:J)</f>
        <v>#NAME?</v>
      </c>
      <c r="BJ859" s="153" t="e">
        <f aca="false">_xlfn.xlookup(BG859,A:A,N:N)+_xlfn.xlookup(BG859,A:A,O:O)</f>
        <v>#NAME?</v>
      </c>
      <c r="BK859" s="153" t="e">
        <f aca="false">_xlfn.xlookup(BG859,A808:A1802,AB808:AB1802)</f>
        <v>#NAME?</v>
      </c>
      <c r="BN859" s="146"/>
      <c r="BO859" s="150"/>
      <c r="BQ859" s="153" t="str">
        <f aca="false">IF(VALUE(MONTH(C859))&lt;10,YEAR(C859)&amp;"-0"&amp;MONTH(C859),YEAR(C859)&amp;"-"&amp;MONTH(C859))</f>
        <v>1900-01</v>
      </c>
      <c r="BR859" s="153" t="n">
        <f aca="false">J859</f>
        <v>0</v>
      </c>
      <c r="BS859" s="153" t="n">
        <f aca="false">IF(ISNUMBER(FIND("-", BR859)), LEFT(BR859, FIND("-", BR859) - 1), BR859)</f>
        <v>0</v>
      </c>
      <c r="BT859" s="189" t="n">
        <f aca="false">L859-M859+O859</f>
        <v>0</v>
      </c>
    </row>
    <row r="860" s="153" customFormat="true" ht="15" hidden="false" customHeight="false" outlineLevel="0" collapsed="false">
      <c r="AN860" s="153" t="e">
        <v>#NAME?</v>
      </c>
      <c r="AO860" s="153" t="e">
        <f aca="false">_xlfn.xlookup(AN860,A:A,F:F)</f>
        <v>#NAME?</v>
      </c>
      <c r="AP860" s="153" t="e">
        <f aca="false">_xlfn.xlookup(AN860,A:A,J:J)</f>
        <v>#NAME?</v>
      </c>
      <c r="AQ860" s="153" t="e">
        <f aca="false">_xlfn.xlookup(AN860,A:A,N:N)+_xlfn.xlookup(AN860,A:A,O:O)</f>
        <v>#NAME?</v>
      </c>
      <c r="AR860" s="150" t="e">
        <f aca="false">_xlfn.xlookup(AN860,A:A,AH:AH)</f>
        <v>#NAME?</v>
      </c>
      <c r="AS860" s="150" t="e">
        <f aca="false">_xlfn.xlookup(AN860,A:A,S:S)</f>
        <v>#NAME?</v>
      </c>
      <c r="AT860" s="150" t="e">
        <f aca="false">_xlfn.xlookup(AN860,A:A,AE:AE)</f>
        <v>#NAME?</v>
      </c>
      <c r="AU860" s="150" t="e">
        <f aca="false">_xlfn.xlookup(AN860,A:A,AF:AF)</f>
        <v>#NAME?</v>
      </c>
      <c r="AX860" s="146"/>
      <c r="AY860" s="150"/>
      <c r="AZ860" s="150"/>
      <c r="BA860" s="150"/>
      <c r="BB860" s="146"/>
      <c r="BC860" s="146"/>
      <c r="BD860" s="151"/>
      <c r="BE860" s="146"/>
      <c r="BF860" s="146"/>
      <c r="BH860" s="152" t="e">
        <f aca="false">_xlfn.xlookup(BG860,A:A,F:F)</f>
        <v>#NAME?</v>
      </c>
      <c r="BI860" s="153" t="e">
        <f aca="false">_xlfn.xlookup(BG860,A:A,J:J)</f>
        <v>#NAME?</v>
      </c>
      <c r="BJ860" s="153" t="e">
        <f aca="false">_xlfn.xlookup(BG860,A:A,N:N)+_xlfn.xlookup(BG860,A:A,O:O)</f>
        <v>#NAME?</v>
      </c>
      <c r="BK860" s="153" t="e">
        <f aca="false">_xlfn.xlookup(BG860,A809:A1803,AB809:AB1803)</f>
        <v>#NAME?</v>
      </c>
      <c r="BN860" s="146"/>
      <c r="BO860" s="150"/>
      <c r="BQ860" s="153" t="str">
        <f aca="false">IF(VALUE(MONTH(C860))&lt;10,YEAR(C860)&amp;"-0"&amp;MONTH(C860),YEAR(C860)&amp;"-"&amp;MONTH(C860))</f>
        <v>1900-01</v>
      </c>
      <c r="BR860" s="153" t="n">
        <f aca="false">J860</f>
        <v>0</v>
      </c>
      <c r="BS860" s="153" t="n">
        <f aca="false">IF(ISNUMBER(FIND("-", BR860)), LEFT(BR860, FIND("-", BR860) - 1), BR860)</f>
        <v>0</v>
      </c>
      <c r="BT860" s="189" t="n">
        <f aca="false">L860-M860+O860</f>
        <v>0</v>
      </c>
    </row>
    <row r="861" s="153" customFormat="true" ht="15" hidden="false" customHeight="false" outlineLevel="0" collapsed="false">
      <c r="AN861" s="153" t="e">
        <v>#NAME?</v>
      </c>
      <c r="AO861" s="153" t="e">
        <f aca="false">_xlfn.xlookup(AN861,A:A,F:F)</f>
        <v>#NAME?</v>
      </c>
      <c r="AP861" s="153" t="e">
        <f aca="false">_xlfn.xlookup(AN861,A:A,J:J)</f>
        <v>#NAME?</v>
      </c>
      <c r="AQ861" s="153" t="e">
        <f aca="false">_xlfn.xlookup(AN861,A:A,N:N)+_xlfn.xlookup(AN861,A:A,O:O)</f>
        <v>#NAME?</v>
      </c>
      <c r="AR861" s="150" t="e">
        <f aca="false">_xlfn.xlookup(AN861,A:A,AH:AH)</f>
        <v>#NAME?</v>
      </c>
      <c r="AS861" s="150" t="e">
        <f aca="false">_xlfn.xlookup(AN861,A:A,S:S)</f>
        <v>#NAME?</v>
      </c>
      <c r="AT861" s="150" t="e">
        <f aca="false">_xlfn.xlookup(AN861,A:A,AE:AE)</f>
        <v>#NAME?</v>
      </c>
      <c r="AU861" s="150" t="e">
        <f aca="false">_xlfn.xlookup(AN861,A:A,AF:AF)</f>
        <v>#NAME?</v>
      </c>
      <c r="AX861" s="146"/>
      <c r="AY861" s="150"/>
      <c r="AZ861" s="150"/>
      <c r="BA861" s="150"/>
      <c r="BB861" s="146"/>
      <c r="BC861" s="146"/>
      <c r="BD861" s="151"/>
      <c r="BE861" s="146"/>
      <c r="BF861" s="146"/>
      <c r="BH861" s="152" t="e">
        <f aca="false">_xlfn.xlookup(BG861,A:A,F:F)</f>
        <v>#NAME?</v>
      </c>
      <c r="BI861" s="153" t="e">
        <f aca="false">_xlfn.xlookup(BG861,A:A,J:J)</f>
        <v>#NAME?</v>
      </c>
      <c r="BJ861" s="153" t="e">
        <f aca="false">_xlfn.xlookup(BG861,A:A,N:N)+_xlfn.xlookup(BG861,A:A,O:O)</f>
        <v>#NAME?</v>
      </c>
      <c r="BK861" s="153" t="e">
        <f aca="false">_xlfn.xlookup(BG861,A810:A1804,AB810:AB1804)</f>
        <v>#NAME?</v>
      </c>
      <c r="BN861" s="146"/>
      <c r="BO861" s="150"/>
      <c r="BQ861" s="153" t="str">
        <f aca="false">IF(VALUE(MONTH(C861))&lt;10,YEAR(C861)&amp;"-0"&amp;MONTH(C861),YEAR(C861)&amp;"-"&amp;MONTH(C861))</f>
        <v>1900-01</v>
      </c>
      <c r="BR861" s="153" t="n">
        <f aca="false">J861</f>
        <v>0</v>
      </c>
      <c r="BS861" s="153" t="n">
        <f aca="false">IF(ISNUMBER(FIND("-", BR861)), LEFT(BR861, FIND("-", BR861) - 1), BR861)</f>
        <v>0</v>
      </c>
      <c r="BT861" s="189" t="n">
        <f aca="false">L861-M861+O861</f>
        <v>0</v>
      </c>
    </row>
    <row r="862" s="153" customFormat="true" ht="15" hidden="false" customHeight="false" outlineLevel="0" collapsed="false">
      <c r="AN862" s="153" t="e">
        <v>#NAME?</v>
      </c>
      <c r="AO862" s="153" t="e">
        <f aca="false">_xlfn.xlookup(AN862,A:A,F:F)</f>
        <v>#NAME?</v>
      </c>
      <c r="AP862" s="153" t="e">
        <f aca="false">_xlfn.xlookup(AN862,A:A,J:J)</f>
        <v>#NAME?</v>
      </c>
      <c r="AQ862" s="153" t="e">
        <f aca="false">_xlfn.xlookup(AN862,A:A,N:N)+_xlfn.xlookup(AN862,A:A,O:O)</f>
        <v>#NAME?</v>
      </c>
      <c r="AR862" s="150" t="e">
        <f aca="false">_xlfn.xlookup(AN862,A:A,AH:AH)</f>
        <v>#NAME?</v>
      </c>
      <c r="AS862" s="150" t="e">
        <f aca="false">_xlfn.xlookup(AN862,A:A,S:S)</f>
        <v>#NAME?</v>
      </c>
      <c r="AT862" s="150" t="e">
        <f aca="false">_xlfn.xlookup(AN862,A:A,AE:AE)</f>
        <v>#NAME?</v>
      </c>
      <c r="AU862" s="150" t="e">
        <f aca="false">_xlfn.xlookup(AN862,A:A,AF:AF)</f>
        <v>#NAME?</v>
      </c>
      <c r="AX862" s="146"/>
      <c r="AY862" s="150"/>
      <c r="AZ862" s="150"/>
      <c r="BA862" s="150"/>
      <c r="BB862" s="146"/>
      <c r="BC862" s="146"/>
      <c r="BD862" s="151"/>
      <c r="BE862" s="146"/>
      <c r="BF862" s="146"/>
      <c r="BH862" s="152" t="e">
        <f aca="false">_xlfn.xlookup(BG862,A:A,F:F)</f>
        <v>#NAME?</v>
      </c>
      <c r="BI862" s="153" t="e">
        <f aca="false">_xlfn.xlookup(BG862,A:A,J:J)</f>
        <v>#NAME?</v>
      </c>
      <c r="BJ862" s="153" t="e">
        <f aca="false">_xlfn.xlookup(BG862,A:A,N:N)+_xlfn.xlookup(BG862,A:A,O:O)</f>
        <v>#NAME?</v>
      </c>
      <c r="BK862" s="153" t="e">
        <f aca="false">_xlfn.xlookup(BG862,A811:A1805,AB811:AB1805)</f>
        <v>#NAME?</v>
      </c>
      <c r="BN862" s="146"/>
      <c r="BO862" s="150"/>
      <c r="BQ862" s="153" t="str">
        <f aca="false">IF(VALUE(MONTH(C862))&lt;10,YEAR(C862)&amp;"-0"&amp;MONTH(C862),YEAR(C862)&amp;"-"&amp;MONTH(C862))</f>
        <v>1900-01</v>
      </c>
      <c r="BR862" s="153" t="n">
        <f aca="false">J862</f>
        <v>0</v>
      </c>
      <c r="BS862" s="153" t="n">
        <f aca="false">IF(ISNUMBER(FIND("-", BR862)), LEFT(BR862, FIND("-", BR862) - 1), BR862)</f>
        <v>0</v>
      </c>
      <c r="BT862" s="189" t="n">
        <f aca="false">L862-M862+O862</f>
        <v>0</v>
      </c>
    </row>
    <row r="863" s="153" customFormat="true" ht="15" hidden="false" customHeight="false" outlineLevel="0" collapsed="false">
      <c r="AN863" s="153" t="e">
        <v>#NAME?</v>
      </c>
      <c r="AO863" s="153" t="e">
        <f aca="false">_xlfn.xlookup(AN863,A:A,F:F)</f>
        <v>#NAME?</v>
      </c>
      <c r="AP863" s="153" t="e">
        <f aca="false">_xlfn.xlookup(AN863,A:A,J:J)</f>
        <v>#NAME?</v>
      </c>
      <c r="AQ863" s="153" t="e">
        <f aca="false">_xlfn.xlookup(AN863,A:A,N:N)+_xlfn.xlookup(AN863,A:A,O:O)</f>
        <v>#NAME?</v>
      </c>
      <c r="AR863" s="150" t="e">
        <f aca="false">_xlfn.xlookup(AN863,A:A,AH:AH)</f>
        <v>#NAME?</v>
      </c>
      <c r="AS863" s="150" t="e">
        <f aca="false">_xlfn.xlookup(AN863,A:A,S:S)</f>
        <v>#NAME?</v>
      </c>
      <c r="AT863" s="150" t="e">
        <f aca="false">_xlfn.xlookup(AN863,A:A,AE:AE)</f>
        <v>#NAME?</v>
      </c>
      <c r="AU863" s="150" t="e">
        <f aca="false">_xlfn.xlookup(AN863,A:A,AF:AF)</f>
        <v>#NAME?</v>
      </c>
      <c r="AX863" s="146"/>
      <c r="AY863" s="150"/>
      <c r="AZ863" s="150"/>
      <c r="BA863" s="150"/>
      <c r="BB863" s="146"/>
      <c r="BC863" s="146"/>
      <c r="BD863" s="151"/>
      <c r="BE863" s="146"/>
      <c r="BF863" s="146"/>
      <c r="BH863" s="152" t="e">
        <f aca="false">_xlfn.xlookup(BG863,A:A,F:F)</f>
        <v>#NAME?</v>
      </c>
      <c r="BI863" s="153" t="e">
        <f aca="false">_xlfn.xlookup(BG863,A:A,J:J)</f>
        <v>#NAME?</v>
      </c>
      <c r="BJ863" s="153" t="e">
        <f aca="false">_xlfn.xlookup(BG863,A:A,N:N)+_xlfn.xlookup(BG863,A:A,O:O)</f>
        <v>#NAME?</v>
      </c>
      <c r="BK863" s="153" t="e">
        <f aca="false">_xlfn.xlookup(BG863,A812:A1806,AB812:AB1806)</f>
        <v>#NAME?</v>
      </c>
      <c r="BN863" s="146"/>
      <c r="BO863" s="150"/>
      <c r="BQ863" s="153" t="str">
        <f aca="false">IF(VALUE(MONTH(C863))&lt;10,YEAR(C863)&amp;"-0"&amp;MONTH(C863),YEAR(C863)&amp;"-"&amp;MONTH(C863))</f>
        <v>1900-01</v>
      </c>
      <c r="BR863" s="153" t="n">
        <f aca="false">J863</f>
        <v>0</v>
      </c>
      <c r="BS863" s="153" t="n">
        <f aca="false">IF(ISNUMBER(FIND("-", BR863)), LEFT(BR863, FIND("-", BR863) - 1), BR863)</f>
        <v>0</v>
      </c>
      <c r="BT863" s="189" t="n">
        <f aca="false">L863-M863+O863</f>
        <v>0</v>
      </c>
    </row>
    <row r="864" s="153" customFormat="true" ht="15" hidden="false" customHeight="false" outlineLevel="0" collapsed="false">
      <c r="AN864" s="153" t="e">
        <v>#NAME?</v>
      </c>
      <c r="AO864" s="153" t="e">
        <f aca="false">_xlfn.xlookup(AN864,A:A,F:F)</f>
        <v>#NAME?</v>
      </c>
      <c r="AP864" s="153" t="e">
        <f aca="false">_xlfn.xlookup(AN864,A:A,J:J)</f>
        <v>#NAME?</v>
      </c>
      <c r="AQ864" s="153" t="e">
        <f aca="false">_xlfn.xlookup(AN864,A:A,N:N)+_xlfn.xlookup(AN864,A:A,O:O)</f>
        <v>#NAME?</v>
      </c>
      <c r="AR864" s="150" t="e">
        <f aca="false">_xlfn.xlookup(AN864,A:A,AH:AH)</f>
        <v>#NAME?</v>
      </c>
      <c r="AS864" s="150" t="e">
        <f aca="false">_xlfn.xlookup(AN864,A:A,S:S)</f>
        <v>#NAME?</v>
      </c>
      <c r="AT864" s="150" t="e">
        <f aca="false">_xlfn.xlookup(AN864,A:A,AE:AE)</f>
        <v>#NAME?</v>
      </c>
      <c r="AU864" s="150" t="e">
        <f aca="false">_xlfn.xlookup(AN864,A:A,AF:AF)</f>
        <v>#NAME?</v>
      </c>
      <c r="AX864" s="146"/>
      <c r="AY864" s="150"/>
      <c r="AZ864" s="150"/>
      <c r="BA864" s="150"/>
      <c r="BB864" s="146"/>
      <c r="BC864" s="146"/>
      <c r="BD864" s="151"/>
      <c r="BE864" s="146"/>
      <c r="BF864" s="146"/>
      <c r="BH864" s="152" t="e">
        <f aca="false">_xlfn.xlookup(BG864,A:A,F:F)</f>
        <v>#NAME?</v>
      </c>
      <c r="BI864" s="153" t="e">
        <f aca="false">_xlfn.xlookup(BG864,A:A,J:J)</f>
        <v>#NAME?</v>
      </c>
      <c r="BJ864" s="153" t="e">
        <f aca="false">_xlfn.xlookup(BG864,A:A,N:N)+_xlfn.xlookup(BG864,A:A,O:O)</f>
        <v>#NAME?</v>
      </c>
      <c r="BK864" s="153" t="e">
        <f aca="false">_xlfn.xlookup(BG864,A813:A1807,AB813:AB1807)</f>
        <v>#NAME?</v>
      </c>
      <c r="BN864" s="146"/>
      <c r="BO864" s="150"/>
      <c r="BQ864" s="153" t="str">
        <f aca="false">IF(VALUE(MONTH(C864))&lt;10,YEAR(C864)&amp;"-0"&amp;MONTH(C864),YEAR(C864)&amp;"-"&amp;MONTH(C864))</f>
        <v>1900-01</v>
      </c>
      <c r="BR864" s="153" t="n">
        <f aca="false">J864</f>
        <v>0</v>
      </c>
      <c r="BS864" s="153" t="n">
        <f aca="false">IF(ISNUMBER(FIND("-", BR864)), LEFT(BR864, FIND("-", BR864) - 1), BR864)</f>
        <v>0</v>
      </c>
      <c r="BT864" s="189" t="n">
        <f aca="false">L864-M864+O864</f>
        <v>0</v>
      </c>
    </row>
    <row r="865" s="153" customFormat="true" ht="15" hidden="false" customHeight="false" outlineLevel="0" collapsed="false">
      <c r="AN865" s="153" t="e">
        <v>#NAME?</v>
      </c>
      <c r="AO865" s="153" t="e">
        <f aca="false">_xlfn.xlookup(AN865,A:A,F:F)</f>
        <v>#NAME?</v>
      </c>
      <c r="AP865" s="153" t="e">
        <f aca="false">_xlfn.xlookup(AN865,A:A,J:J)</f>
        <v>#NAME?</v>
      </c>
      <c r="AQ865" s="153" t="e">
        <f aca="false">_xlfn.xlookup(AN865,A:A,N:N)+_xlfn.xlookup(AN865,A:A,O:O)</f>
        <v>#NAME?</v>
      </c>
      <c r="AR865" s="150" t="e">
        <f aca="false">_xlfn.xlookup(AN865,A:A,AH:AH)</f>
        <v>#NAME?</v>
      </c>
      <c r="AS865" s="150" t="e">
        <f aca="false">_xlfn.xlookup(AN865,A:A,S:S)</f>
        <v>#NAME?</v>
      </c>
      <c r="AT865" s="150" t="e">
        <f aca="false">_xlfn.xlookup(AN865,A:A,AE:AE)</f>
        <v>#NAME?</v>
      </c>
      <c r="AU865" s="150" t="e">
        <f aca="false">_xlfn.xlookup(AN865,A:A,AF:AF)</f>
        <v>#NAME?</v>
      </c>
      <c r="AX865" s="146"/>
      <c r="AY865" s="150"/>
      <c r="AZ865" s="150"/>
      <c r="BA865" s="150"/>
      <c r="BB865" s="146"/>
      <c r="BC865" s="146"/>
      <c r="BD865" s="151"/>
      <c r="BE865" s="146"/>
      <c r="BF865" s="146"/>
      <c r="BH865" s="152" t="e">
        <f aca="false">_xlfn.xlookup(BG865,A:A,F:F)</f>
        <v>#NAME?</v>
      </c>
      <c r="BI865" s="153" t="e">
        <f aca="false">_xlfn.xlookup(BG865,A:A,J:J)</f>
        <v>#NAME?</v>
      </c>
      <c r="BJ865" s="153" t="e">
        <f aca="false">_xlfn.xlookup(BG865,A:A,N:N)+_xlfn.xlookup(BG865,A:A,O:O)</f>
        <v>#NAME?</v>
      </c>
      <c r="BK865" s="153" t="e">
        <f aca="false">_xlfn.xlookup(BG865,A814:A1808,AB814:AB1808)</f>
        <v>#NAME?</v>
      </c>
      <c r="BN865" s="146"/>
      <c r="BO865" s="150"/>
      <c r="BQ865" s="153" t="str">
        <f aca="false">IF(VALUE(MONTH(C865))&lt;10,YEAR(C865)&amp;"-0"&amp;MONTH(C865),YEAR(C865)&amp;"-"&amp;MONTH(C865))</f>
        <v>1900-01</v>
      </c>
      <c r="BR865" s="153" t="n">
        <f aca="false">J865</f>
        <v>0</v>
      </c>
      <c r="BS865" s="153" t="n">
        <f aca="false">IF(ISNUMBER(FIND("-", BR865)), LEFT(BR865, FIND("-", BR865) - 1), BR865)</f>
        <v>0</v>
      </c>
      <c r="BT865" s="189" t="n">
        <f aca="false">L865-M865+O865</f>
        <v>0</v>
      </c>
    </row>
    <row r="866" s="153" customFormat="true" ht="15" hidden="false" customHeight="false" outlineLevel="0" collapsed="false">
      <c r="AN866" s="153" t="e">
        <v>#NAME?</v>
      </c>
      <c r="AO866" s="153" t="e">
        <f aca="false">_xlfn.xlookup(AN866,A:A,F:F)</f>
        <v>#NAME?</v>
      </c>
      <c r="AP866" s="153" t="e">
        <f aca="false">_xlfn.xlookup(AN866,A:A,J:J)</f>
        <v>#NAME?</v>
      </c>
      <c r="AQ866" s="153" t="e">
        <f aca="false">_xlfn.xlookup(AN866,A:A,N:N)+_xlfn.xlookup(AN866,A:A,O:O)</f>
        <v>#NAME?</v>
      </c>
      <c r="AR866" s="150" t="e">
        <f aca="false">_xlfn.xlookup(AN866,A:A,AH:AH)</f>
        <v>#NAME?</v>
      </c>
      <c r="AS866" s="150" t="e">
        <f aca="false">_xlfn.xlookup(AN866,A:A,S:S)</f>
        <v>#NAME?</v>
      </c>
      <c r="AT866" s="150" t="e">
        <f aca="false">_xlfn.xlookup(AN866,A:A,AE:AE)</f>
        <v>#NAME?</v>
      </c>
      <c r="AU866" s="150" t="e">
        <f aca="false">_xlfn.xlookup(AN866,A:A,AF:AF)</f>
        <v>#NAME?</v>
      </c>
      <c r="AX866" s="146"/>
      <c r="AY866" s="150"/>
      <c r="AZ866" s="150"/>
      <c r="BA866" s="150"/>
      <c r="BB866" s="146"/>
      <c r="BC866" s="146"/>
      <c r="BD866" s="151"/>
      <c r="BE866" s="146"/>
      <c r="BF866" s="146"/>
      <c r="BH866" s="152" t="e">
        <f aca="false">_xlfn.xlookup(BG866,A:A,F:F)</f>
        <v>#NAME?</v>
      </c>
      <c r="BI866" s="153" t="e">
        <f aca="false">_xlfn.xlookup(BG866,A:A,J:J)</f>
        <v>#NAME?</v>
      </c>
      <c r="BJ866" s="153" t="e">
        <f aca="false">_xlfn.xlookup(BG866,A:A,N:N)+_xlfn.xlookup(BG866,A:A,O:O)</f>
        <v>#NAME?</v>
      </c>
      <c r="BK866" s="153" t="e">
        <f aca="false">_xlfn.xlookup(BG866,A815:A1809,AB815:AB1809)</f>
        <v>#NAME?</v>
      </c>
      <c r="BN866" s="146"/>
      <c r="BO866" s="150"/>
      <c r="BQ866" s="153" t="str">
        <f aca="false">IF(VALUE(MONTH(C866))&lt;10,YEAR(C866)&amp;"-0"&amp;MONTH(C866),YEAR(C866)&amp;"-"&amp;MONTH(C866))</f>
        <v>1900-01</v>
      </c>
      <c r="BR866" s="153" t="n">
        <f aca="false">J866</f>
        <v>0</v>
      </c>
      <c r="BS866" s="153" t="n">
        <f aca="false">IF(ISNUMBER(FIND("-", BR866)), LEFT(BR866, FIND("-", BR866) - 1), BR866)</f>
        <v>0</v>
      </c>
      <c r="BT866" s="189" t="n">
        <f aca="false">L866-M866+O866</f>
        <v>0</v>
      </c>
    </row>
    <row r="867" s="153" customFormat="true" ht="15" hidden="false" customHeight="false" outlineLevel="0" collapsed="false">
      <c r="AN867" s="153" t="e">
        <v>#NAME?</v>
      </c>
      <c r="AO867" s="153" t="e">
        <f aca="false">_xlfn.xlookup(AN867,A:A,F:F)</f>
        <v>#NAME?</v>
      </c>
      <c r="AP867" s="153" t="e">
        <f aca="false">_xlfn.xlookup(AN867,A:A,J:J)</f>
        <v>#NAME?</v>
      </c>
      <c r="AQ867" s="153" t="e">
        <f aca="false">_xlfn.xlookup(AN867,A:A,N:N)+_xlfn.xlookup(AN867,A:A,O:O)</f>
        <v>#NAME?</v>
      </c>
      <c r="AR867" s="150" t="e">
        <f aca="false">_xlfn.xlookup(AN867,A:A,AH:AH)</f>
        <v>#NAME?</v>
      </c>
      <c r="AS867" s="150" t="e">
        <f aca="false">_xlfn.xlookup(AN867,A:A,S:S)</f>
        <v>#NAME?</v>
      </c>
      <c r="AT867" s="150" t="e">
        <f aca="false">_xlfn.xlookup(AN867,A:A,AE:AE)</f>
        <v>#NAME?</v>
      </c>
      <c r="AU867" s="150" t="e">
        <f aca="false">_xlfn.xlookup(AN867,A:A,AF:AF)</f>
        <v>#NAME?</v>
      </c>
      <c r="AX867" s="146"/>
      <c r="AY867" s="150"/>
      <c r="AZ867" s="150"/>
      <c r="BA867" s="150"/>
      <c r="BB867" s="146"/>
      <c r="BC867" s="146"/>
      <c r="BD867" s="151"/>
      <c r="BE867" s="146"/>
      <c r="BF867" s="146"/>
      <c r="BH867" s="152" t="e">
        <f aca="false">_xlfn.xlookup(BG867,A:A,F:F)</f>
        <v>#NAME?</v>
      </c>
      <c r="BI867" s="153" t="e">
        <f aca="false">_xlfn.xlookup(BG867,A:A,J:J)</f>
        <v>#NAME?</v>
      </c>
      <c r="BJ867" s="153" t="e">
        <f aca="false">_xlfn.xlookup(BG867,A:A,N:N)+_xlfn.xlookup(BG867,A:A,O:O)</f>
        <v>#NAME?</v>
      </c>
      <c r="BK867" s="153" t="e">
        <f aca="false">_xlfn.xlookup(BG867,A816:A1810,AB816:AB1810)</f>
        <v>#NAME?</v>
      </c>
      <c r="BN867" s="146"/>
      <c r="BO867" s="150"/>
      <c r="BQ867" s="153" t="str">
        <f aca="false">IF(VALUE(MONTH(C867))&lt;10,YEAR(C867)&amp;"-0"&amp;MONTH(C867),YEAR(C867)&amp;"-"&amp;MONTH(C867))</f>
        <v>1900-01</v>
      </c>
      <c r="BR867" s="153" t="n">
        <f aca="false">J867</f>
        <v>0</v>
      </c>
      <c r="BS867" s="153" t="n">
        <f aca="false">IF(ISNUMBER(FIND("-", BR867)), LEFT(BR867, FIND("-", BR867) - 1), BR867)</f>
        <v>0</v>
      </c>
      <c r="BT867" s="189" t="n">
        <f aca="false">L867-M867+O867</f>
        <v>0</v>
      </c>
    </row>
    <row r="868" s="153" customFormat="true" ht="15" hidden="false" customHeight="false" outlineLevel="0" collapsed="false">
      <c r="AN868" s="153" t="e">
        <v>#NAME?</v>
      </c>
      <c r="AO868" s="153" t="e">
        <f aca="false">_xlfn.xlookup(AN868,A:A,F:F)</f>
        <v>#NAME?</v>
      </c>
      <c r="AP868" s="153" t="e">
        <f aca="false">_xlfn.xlookup(AN868,A:A,J:J)</f>
        <v>#NAME?</v>
      </c>
      <c r="AQ868" s="153" t="e">
        <f aca="false">_xlfn.xlookup(AN868,A:A,N:N)+_xlfn.xlookup(AN868,A:A,O:O)</f>
        <v>#NAME?</v>
      </c>
      <c r="AR868" s="150" t="e">
        <f aca="false">_xlfn.xlookup(AN868,A:A,AH:AH)</f>
        <v>#NAME?</v>
      </c>
      <c r="AS868" s="150" t="e">
        <f aca="false">_xlfn.xlookup(AN868,A:A,S:S)</f>
        <v>#NAME?</v>
      </c>
      <c r="AT868" s="150" t="e">
        <f aca="false">_xlfn.xlookup(AN868,A:A,AE:AE)</f>
        <v>#NAME?</v>
      </c>
      <c r="AU868" s="150" t="e">
        <f aca="false">_xlfn.xlookup(AN868,A:A,AF:AF)</f>
        <v>#NAME?</v>
      </c>
      <c r="AX868" s="146"/>
      <c r="AY868" s="150"/>
      <c r="AZ868" s="150"/>
      <c r="BA868" s="150"/>
      <c r="BB868" s="146"/>
      <c r="BC868" s="146"/>
      <c r="BD868" s="151"/>
      <c r="BE868" s="146"/>
      <c r="BF868" s="146"/>
      <c r="BH868" s="152" t="e">
        <f aca="false">_xlfn.xlookup(BG868,A:A,F:F)</f>
        <v>#NAME?</v>
      </c>
      <c r="BI868" s="153" t="e">
        <f aca="false">_xlfn.xlookup(BG868,A:A,J:J)</f>
        <v>#NAME?</v>
      </c>
      <c r="BJ868" s="153" t="e">
        <f aca="false">_xlfn.xlookup(BG868,A:A,N:N)+_xlfn.xlookup(BG868,A:A,O:O)</f>
        <v>#NAME?</v>
      </c>
      <c r="BK868" s="153" t="e">
        <f aca="false">_xlfn.xlookup(BG868,A817:A1811,AB817:AB1811)</f>
        <v>#NAME?</v>
      </c>
      <c r="BN868" s="146"/>
      <c r="BO868" s="150"/>
      <c r="BQ868" s="153" t="str">
        <f aca="false">IF(VALUE(MONTH(C868))&lt;10,YEAR(C868)&amp;"-0"&amp;MONTH(C868),YEAR(C868)&amp;"-"&amp;MONTH(C868))</f>
        <v>1900-01</v>
      </c>
      <c r="BR868" s="153" t="n">
        <f aca="false">J868</f>
        <v>0</v>
      </c>
      <c r="BS868" s="153" t="n">
        <f aca="false">IF(ISNUMBER(FIND("-", BR868)), LEFT(BR868, FIND("-", BR868) - 1), BR868)</f>
        <v>0</v>
      </c>
      <c r="BT868" s="189" t="n">
        <f aca="false">L868-M868+O868</f>
        <v>0</v>
      </c>
    </row>
    <row r="869" s="153" customFormat="true" ht="15" hidden="false" customHeight="false" outlineLevel="0" collapsed="false">
      <c r="AN869" s="153" t="e">
        <v>#NAME?</v>
      </c>
      <c r="AO869" s="153" t="e">
        <f aca="false">_xlfn.xlookup(AN869,A:A,F:F)</f>
        <v>#NAME?</v>
      </c>
      <c r="AP869" s="153" t="e">
        <f aca="false">_xlfn.xlookup(AN869,A:A,J:J)</f>
        <v>#NAME?</v>
      </c>
      <c r="AQ869" s="153" t="e">
        <f aca="false">_xlfn.xlookup(AN869,A:A,N:N)+_xlfn.xlookup(AN869,A:A,O:O)</f>
        <v>#NAME?</v>
      </c>
      <c r="AR869" s="150" t="e">
        <f aca="false">_xlfn.xlookup(AN869,A:A,AH:AH)</f>
        <v>#NAME?</v>
      </c>
      <c r="AS869" s="150" t="e">
        <f aca="false">_xlfn.xlookup(AN869,A:A,S:S)</f>
        <v>#NAME?</v>
      </c>
      <c r="AT869" s="150" t="e">
        <f aca="false">_xlfn.xlookup(AN869,A:A,AE:AE)</f>
        <v>#NAME?</v>
      </c>
      <c r="AU869" s="150" t="e">
        <f aca="false">_xlfn.xlookup(AN869,A:A,AF:AF)</f>
        <v>#NAME?</v>
      </c>
      <c r="AX869" s="146"/>
      <c r="AY869" s="150"/>
      <c r="AZ869" s="150"/>
      <c r="BA869" s="150"/>
      <c r="BB869" s="146"/>
      <c r="BC869" s="146"/>
      <c r="BD869" s="151"/>
      <c r="BE869" s="146"/>
      <c r="BF869" s="146"/>
      <c r="BH869" s="152" t="e">
        <f aca="false">_xlfn.xlookup(BG869,A:A,F:F)</f>
        <v>#NAME?</v>
      </c>
      <c r="BI869" s="153" t="e">
        <f aca="false">_xlfn.xlookup(BG869,A:A,J:J)</f>
        <v>#NAME?</v>
      </c>
      <c r="BJ869" s="153" t="e">
        <f aca="false">_xlfn.xlookup(BG869,A:A,N:N)+_xlfn.xlookup(BG869,A:A,O:O)</f>
        <v>#NAME?</v>
      </c>
      <c r="BK869" s="153" t="e">
        <f aca="false">_xlfn.xlookup(BG869,A818:A1812,AB818:AB1812)</f>
        <v>#NAME?</v>
      </c>
      <c r="BN869" s="146"/>
      <c r="BO869" s="150"/>
      <c r="BQ869" s="153" t="str">
        <f aca="false">IF(VALUE(MONTH(C869))&lt;10,YEAR(C869)&amp;"-0"&amp;MONTH(C869),YEAR(C869)&amp;"-"&amp;MONTH(C869))</f>
        <v>1900-01</v>
      </c>
      <c r="BR869" s="153" t="n">
        <f aca="false">J869</f>
        <v>0</v>
      </c>
      <c r="BS869" s="153" t="n">
        <f aca="false">IF(ISNUMBER(FIND("-", BR869)), LEFT(BR869, FIND("-", BR869) - 1), BR869)</f>
        <v>0</v>
      </c>
      <c r="BT869" s="189" t="n">
        <f aca="false">L869-M869+O869</f>
        <v>0</v>
      </c>
    </row>
    <row r="870" s="153" customFormat="true" ht="15" hidden="false" customHeight="false" outlineLevel="0" collapsed="false">
      <c r="AN870" s="153" t="e">
        <v>#NAME?</v>
      </c>
      <c r="AO870" s="153" t="e">
        <f aca="false">_xlfn.xlookup(AN870,A:A,F:F)</f>
        <v>#NAME?</v>
      </c>
      <c r="AP870" s="153" t="e">
        <f aca="false">_xlfn.xlookup(AN870,A:A,J:J)</f>
        <v>#NAME?</v>
      </c>
      <c r="AQ870" s="153" t="e">
        <f aca="false">_xlfn.xlookup(AN870,A:A,N:N)+_xlfn.xlookup(AN870,A:A,O:O)</f>
        <v>#NAME?</v>
      </c>
      <c r="AR870" s="150" t="e">
        <f aca="false">_xlfn.xlookup(AN870,A:A,AH:AH)</f>
        <v>#NAME?</v>
      </c>
      <c r="AS870" s="150" t="e">
        <f aca="false">_xlfn.xlookup(AN870,A:A,S:S)</f>
        <v>#NAME?</v>
      </c>
      <c r="AT870" s="150" t="e">
        <f aca="false">_xlfn.xlookup(AN870,A:A,AE:AE)</f>
        <v>#NAME?</v>
      </c>
      <c r="AU870" s="150" t="e">
        <f aca="false">_xlfn.xlookup(AN870,A:A,AF:AF)</f>
        <v>#NAME?</v>
      </c>
      <c r="AX870" s="146"/>
      <c r="AY870" s="150"/>
      <c r="AZ870" s="150"/>
      <c r="BA870" s="150"/>
      <c r="BB870" s="146"/>
      <c r="BC870" s="146"/>
      <c r="BD870" s="151"/>
      <c r="BE870" s="146"/>
      <c r="BF870" s="146"/>
      <c r="BH870" s="152" t="e">
        <f aca="false">_xlfn.xlookup(BG870,A:A,F:F)</f>
        <v>#NAME?</v>
      </c>
      <c r="BI870" s="153" t="e">
        <f aca="false">_xlfn.xlookup(BG870,A:A,J:J)</f>
        <v>#NAME?</v>
      </c>
      <c r="BJ870" s="153" t="e">
        <f aca="false">_xlfn.xlookup(BG870,A:A,N:N)+_xlfn.xlookup(BG870,A:A,O:O)</f>
        <v>#NAME?</v>
      </c>
      <c r="BK870" s="153" t="e">
        <f aca="false">_xlfn.xlookup(BG870,A819:A1813,AB819:AB1813)</f>
        <v>#NAME?</v>
      </c>
      <c r="BN870" s="146"/>
      <c r="BO870" s="150"/>
      <c r="BQ870" s="153" t="str">
        <f aca="false">IF(VALUE(MONTH(C870))&lt;10,YEAR(C870)&amp;"-0"&amp;MONTH(C870),YEAR(C870)&amp;"-"&amp;MONTH(C870))</f>
        <v>1900-01</v>
      </c>
      <c r="BR870" s="153" t="n">
        <f aca="false">J870</f>
        <v>0</v>
      </c>
      <c r="BS870" s="153" t="n">
        <f aca="false">IF(ISNUMBER(FIND("-", BR870)), LEFT(BR870, FIND("-", BR870) - 1), BR870)</f>
        <v>0</v>
      </c>
      <c r="BT870" s="189" t="n">
        <f aca="false">L870-M870+O870</f>
        <v>0</v>
      </c>
    </row>
    <row r="871" s="153" customFormat="true" ht="15" hidden="false" customHeight="false" outlineLevel="0" collapsed="false">
      <c r="AN871" s="153" t="e">
        <v>#NAME?</v>
      </c>
      <c r="AO871" s="153" t="e">
        <f aca="false">_xlfn.xlookup(AN871,A:A,F:F)</f>
        <v>#NAME?</v>
      </c>
      <c r="AP871" s="153" t="e">
        <f aca="false">_xlfn.xlookup(AN871,A:A,J:J)</f>
        <v>#NAME?</v>
      </c>
      <c r="AQ871" s="153" t="e">
        <f aca="false">_xlfn.xlookup(AN871,A:A,N:N)+_xlfn.xlookup(AN871,A:A,O:O)</f>
        <v>#NAME?</v>
      </c>
      <c r="AR871" s="150" t="e">
        <f aca="false">_xlfn.xlookup(AN871,A:A,AH:AH)</f>
        <v>#NAME?</v>
      </c>
      <c r="AS871" s="150" t="e">
        <f aca="false">_xlfn.xlookup(AN871,A:A,S:S)</f>
        <v>#NAME?</v>
      </c>
      <c r="AT871" s="150" t="e">
        <f aca="false">_xlfn.xlookup(AN871,A:A,AE:AE)</f>
        <v>#NAME?</v>
      </c>
      <c r="AU871" s="150" t="e">
        <f aca="false">_xlfn.xlookup(AN871,A:A,AF:AF)</f>
        <v>#NAME?</v>
      </c>
      <c r="AX871" s="146"/>
      <c r="AY871" s="150"/>
      <c r="AZ871" s="150"/>
      <c r="BA871" s="150"/>
      <c r="BB871" s="146"/>
      <c r="BC871" s="146"/>
      <c r="BD871" s="151"/>
      <c r="BE871" s="146"/>
      <c r="BF871" s="146"/>
      <c r="BH871" s="152" t="e">
        <f aca="false">_xlfn.xlookup(BG871,A:A,F:F)</f>
        <v>#NAME?</v>
      </c>
      <c r="BI871" s="153" t="e">
        <f aca="false">_xlfn.xlookup(BG871,A:A,J:J)</f>
        <v>#NAME?</v>
      </c>
      <c r="BJ871" s="153" t="e">
        <f aca="false">_xlfn.xlookup(BG871,A:A,N:N)+_xlfn.xlookup(BG871,A:A,O:O)</f>
        <v>#NAME?</v>
      </c>
      <c r="BK871" s="153" t="e">
        <f aca="false">_xlfn.xlookup(BG871,A820:A1814,AB820:AB1814)</f>
        <v>#NAME?</v>
      </c>
      <c r="BN871" s="146"/>
      <c r="BO871" s="150"/>
      <c r="BQ871" s="153" t="str">
        <f aca="false">IF(VALUE(MONTH(C871))&lt;10,YEAR(C871)&amp;"-0"&amp;MONTH(C871),YEAR(C871)&amp;"-"&amp;MONTH(C871))</f>
        <v>1900-01</v>
      </c>
      <c r="BR871" s="153" t="n">
        <f aca="false">J871</f>
        <v>0</v>
      </c>
      <c r="BS871" s="153" t="n">
        <f aca="false">IF(ISNUMBER(FIND("-", BR871)), LEFT(BR871, FIND("-", BR871) - 1), BR871)</f>
        <v>0</v>
      </c>
      <c r="BT871" s="189" t="n">
        <f aca="false">L871-M871+O871</f>
        <v>0</v>
      </c>
    </row>
    <row r="872" s="153" customFormat="true" ht="15" hidden="false" customHeight="false" outlineLevel="0" collapsed="false">
      <c r="AN872" s="153" t="e">
        <v>#NAME?</v>
      </c>
      <c r="AO872" s="153" t="e">
        <f aca="false">_xlfn.xlookup(AN872,A:A,F:F)</f>
        <v>#NAME?</v>
      </c>
      <c r="AP872" s="153" t="e">
        <f aca="false">_xlfn.xlookup(AN872,A:A,J:J)</f>
        <v>#NAME?</v>
      </c>
      <c r="AQ872" s="153" t="e">
        <f aca="false">_xlfn.xlookup(AN872,A:A,N:N)+_xlfn.xlookup(AN872,A:A,O:O)</f>
        <v>#NAME?</v>
      </c>
      <c r="AR872" s="150" t="e">
        <f aca="false">_xlfn.xlookup(AN872,A:A,AH:AH)</f>
        <v>#NAME?</v>
      </c>
      <c r="AS872" s="150" t="e">
        <f aca="false">_xlfn.xlookup(AN872,A:A,S:S)</f>
        <v>#NAME?</v>
      </c>
      <c r="AT872" s="150" t="e">
        <f aca="false">_xlfn.xlookup(AN872,A:A,AE:AE)</f>
        <v>#NAME?</v>
      </c>
      <c r="AU872" s="150" t="e">
        <f aca="false">_xlfn.xlookup(AN872,A:A,AF:AF)</f>
        <v>#NAME?</v>
      </c>
      <c r="AX872" s="146"/>
      <c r="AY872" s="150"/>
      <c r="AZ872" s="150"/>
      <c r="BA872" s="150"/>
      <c r="BB872" s="146"/>
      <c r="BC872" s="146"/>
      <c r="BD872" s="151"/>
      <c r="BE872" s="146"/>
      <c r="BF872" s="146"/>
      <c r="BH872" s="152" t="e">
        <f aca="false">_xlfn.xlookup(BG872,A:A,F:F)</f>
        <v>#NAME?</v>
      </c>
      <c r="BI872" s="153" t="e">
        <f aca="false">_xlfn.xlookup(BG872,A:A,J:J)</f>
        <v>#NAME?</v>
      </c>
      <c r="BJ872" s="153" t="e">
        <f aca="false">_xlfn.xlookup(BG872,A:A,N:N)+_xlfn.xlookup(BG872,A:A,O:O)</f>
        <v>#NAME?</v>
      </c>
      <c r="BK872" s="153" t="e">
        <f aca="false">_xlfn.xlookup(BG872,A821:A1815,AB821:AB1815)</f>
        <v>#NAME?</v>
      </c>
      <c r="BN872" s="146"/>
      <c r="BO872" s="150"/>
      <c r="BQ872" s="153" t="str">
        <f aca="false">IF(VALUE(MONTH(C872))&lt;10,YEAR(C872)&amp;"-0"&amp;MONTH(C872),YEAR(C872)&amp;"-"&amp;MONTH(C872))</f>
        <v>1900-01</v>
      </c>
      <c r="BR872" s="153" t="n">
        <f aca="false">J872</f>
        <v>0</v>
      </c>
      <c r="BS872" s="153" t="n">
        <f aca="false">IF(ISNUMBER(FIND("-", BR872)), LEFT(BR872, FIND("-", BR872) - 1), BR872)</f>
        <v>0</v>
      </c>
      <c r="BT872" s="189" t="n">
        <f aca="false">L872-M872+O872</f>
        <v>0</v>
      </c>
    </row>
    <row r="873" s="153" customFormat="true" ht="15" hidden="false" customHeight="false" outlineLevel="0" collapsed="false">
      <c r="AN873" s="153" t="e">
        <v>#NAME?</v>
      </c>
      <c r="AO873" s="153" t="e">
        <f aca="false">_xlfn.xlookup(AN873,A:A,F:F)</f>
        <v>#NAME?</v>
      </c>
      <c r="AP873" s="153" t="e">
        <f aca="false">_xlfn.xlookup(AN873,A:A,J:J)</f>
        <v>#NAME?</v>
      </c>
      <c r="AQ873" s="153" t="e">
        <f aca="false">_xlfn.xlookup(AN873,A:A,N:N)+_xlfn.xlookup(AN873,A:A,O:O)</f>
        <v>#NAME?</v>
      </c>
      <c r="AR873" s="150" t="e">
        <f aca="false">_xlfn.xlookup(AN873,A:A,AH:AH)</f>
        <v>#NAME?</v>
      </c>
      <c r="AS873" s="150" t="e">
        <f aca="false">_xlfn.xlookup(AN873,A:A,S:S)</f>
        <v>#NAME?</v>
      </c>
      <c r="AT873" s="150" t="e">
        <f aca="false">_xlfn.xlookup(AN873,A:A,AE:AE)</f>
        <v>#NAME?</v>
      </c>
      <c r="AU873" s="150" t="e">
        <f aca="false">_xlfn.xlookup(AN873,A:A,AF:AF)</f>
        <v>#NAME?</v>
      </c>
      <c r="AX873" s="146"/>
      <c r="AY873" s="150"/>
      <c r="AZ873" s="150"/>
      <c r="BA873" s="150"/>
      <c r="BB873" s="146"/>
      <c r="BC873" s="146"/>
      <c r="BD873" s="151"/>
      <c r="BE873" s="146"/>
      <c r="BF873" s="146"/>
      <c r="BH873" s="152" t="e">
        <f aca="false">_xlfn.xlookup(BG873,A:A,F:F)</f>
        <v>#NAME?</v>
      </c>
      <c r="BI873" s="153" t="e">
        <f aca="false">_xlfn.xlookup(BG873,A:A,J:J)</f>
        <v>#NAME?</v>
      </c>
      <c r="BJ873" s="153" t="e">
        <f aca="false">_xlfn.xlookup(BG873,A:A,N:N)+_xlfn.xlookup(BG873,A:A,O:O)</f>
        <v>#NAME?</v>
      </c>
      <c r="BK873" s="153" t="e">
        <f aca="false">_xlfn.xlookup(BG873,A822:A1816,AB822:AB1816)</f>
        <v>#NAME?</v>
      </c>
      <c r="BN873" s="146"/>
      <c r="BO873" s="150"/>
      <c r="BQ873" s="153" t="str">
        <f aca="false">IF(VALUE(MONTH(C873))&lt;10,YEAR(C873)&amp;"-0"&amp;MONTH(C873),YEAR(C873)&amp;"-"&amp;MONTH(C873))</f>
        <v>1900-01</v>
      </c>
      <c r="BR873" s="153" t="n">
        <f aca="false">J873</f>
        <v>0</v>
      </c>
      <c r="BS873" s="153" t="n">
        <f aca="false">IF(ISNUMBER(FIND("-", BR873)), LEFT(BR873, FIND("-", BR873) - 1), BR873)</f>
        <v>0</v>
      </c>
      <c r="BT873" s="189" t="n">
        <f aca="false">L873-M873+O873</f>
        <v>0</v>
      </c>
    </row>
    <row r="874" s="153" customFormat="true" ht="15" hidden="false" customHeight="false" outlineLevel="0" collapsed="false">
      <c r="AN874" s="153" t="e">
        <v>#NAME?</v>
      </c>
      <c r="AO874" s="153" t="e">
        <f aca="false">_xlfn.xlookup(AN874,A:A,F:F)</f>
        <v>#NAME?</v>
      </c>
      <c r="AP874" s="153" t="e">
        <f aca="false">_xlfn.xlookup(AN874,A:A,J:J)</f>
        <v>#NAME?</v>
      </c>
      <c r="AQ874" s="153" t="e">
        <f aca="false">_xlfn.xlookup(AN874,A:A,N:N)+_xlfn.xlookup(AN874,A:A,O:O)</f>
        <v>#NAME?</v>
      </c>
      <c r="AR874" s="150" t="e">
        <f aca="false">_xlfn.xlookup(AN874,A:A,AH:AH)</f>
        <v>#NAME?</v>
      </c>
      <c r="AS874" s="150" t="e">
        <f aca="false">_xlfn.xlookup(AN874,A:A,S:S)</f>
        <v>#NAME?</v>
      </c>
      <c r="AT874" s="150" t="e">
        <f aca="false">_xlfn.xlookup(AN874,A:A,AE:AE)</f>
        <v>#NAME?</v>
      </c>
      <c r="AU874" s="150" t="e">
        <f aca="false">_xlfn.xlookup(AN874,A:A,AF:AF)</f>
        <v>#NAME?</v>
      </c>
      <c r="AX874" s="146"/>
      <c r="AY874" s="150"/>
      <c r="AZ874" s="150"/>
      <c r="BA874" s="150"/>
      <c r="BB874" s="146"/>
      <c r="BC874" s="146"/>
      <c r="BD874" s="151"/>
      <c r="BE874" s="146"/>
      <c r="BF874" s="146"/>
      <c r="BH874" s="152" t="e">
        <f aca="false">_xlfn.xlookup(BG874,A:A,F:F)</f>
        <v>#NAME?</v>
      </c>
      <c r="BI874" s="153" t="e">
        <f aca="false">_xlfn.xlookup(BG874,A:A,J:J)</f>
        <v>#NAME?</v>
      </c>
      <c r="BJ874" s="153" t="e">
        <f aca="false">_xlfn.xlookup(BG874,A:A,N:N)+_xlfn.xlookup(BG874,A:A,O:O)</f>
        <v>#NAME?</v>
      </c>
      <c r="BK874" s="153" t="e">
        <f aca="false">_xlfn.xlookup(BG874,A823:A1817,AB823:AB1817)</f>
        <v>#NAME?</v>
      </c>
      <c r="BN874" s="146"/>
      <c r="BO874" s="150"/>
      <c r="BQ874" s="153" t="str">
        <f aca="false">IF(VALUE(MONTH(C874))&lt;10,YEAR(C874)&amp;"-0"&amp;MONTH(C874),YEAR(C874)&amp;"-"&amp;MONTH(C874))</f>
        <v>1900-01</v>
      </c>
      <c r="BR874" s="153" t="n">
        <f aca="false">J874</f>
        <v>0</v>
      </c>
      <c r="BS874" s="153" t="n">
        <f aca="false">IF(ISNUMBER(FIND("-", BR874)), LEFT(BR874, FIND("-", BR874) - 1), BR874)</f>
        <v>0</v>
      </c>
      <c r="BT874" s="189" t="n">
        <f aca="false">L874-M874+O874</f>
        <v>0</v>
      </c>
    </row>
    <row r="875" s="153" customFormat="true" ht="15" hidden="false" customHeight="false" outlineLevel="0" collapsed="false">
      <c r="AN875" s="153" t="e">
        <v>#NAME?</v>
      </c>
      <c r="AO875" s="153" t="e">
        <f aca="false">_xlfn.xlookup(AN875,A:A,F:F)</f>
        <v>#NAME?</v>
      </c>
      <c r="AP875" s="153" t="e">
        <f aca="false">_xlfn.xlookup(AN875,A:A,J:J)</f>
        <v>#NAME?</v>
      </c>
      <c r="AQ875" s="153" t="e">
        <f aca="false">_xlfn.xlookup(AN875,A:A,N:N)+_xlfn.xlookup(AN875,A:A,O:O)</f>
        <v>#NAME?</v>
      </c>
      <c r="AR875" s="150" t="e">
        <f aca="false">_xlfn.xlookup(AN875,A:A,AH:AH)</f>
        <v>#NAME?</v>
      </c>
      <c r="AS875" s="150" t="e">
        <f aca="false">_xlfn.xlookup(AN875,A:A,S:S)</f>
        <v>#NAME?</v>
      </c>
      <c r="AT875" s="150" t="e">
        <f aca="false">_xlfn.xlookup(AN875,A:A,AE:AE)</f>
        <v>#NAME?</v>
      </c>
      <c r="AU875" s="150" t="e">
        <f aca="false">_xlfn.xlookup(AN875,A:A,AF:AF)</f>
        <v>#NAME?</v>
      </c>
      <c r="AX875" s="146"/>
      <c r="AY875" s="150"/>
      <c r="AZ875" s="150"/>
      <c r="BA875" s="150"/>
      <c r="BB875" s="146"/>
      <c r="BC875" s="146"/>
      <c r="BD875" s="151"/>
      <c r="BE875" s="146"/>
      <c r="BF875" s="146"/>
      <c r="BH875" s="152" t="e">
        <f aca="false">_xlfn.xlookup(BG875,A:A,F:F)</f>
        <v>#NAME?</v>
      </c>
      <c r="BI875" s="153" t="e">
        <f aca="false">_xlfn.xlookup(BG875,A:A,J:J)</f>
        <v>#NAME?</v>
      </c>
      <c r="BJ875" s="153" t="e">
        <f aca="false">_xlfn.xlookup(BG875,A:A,N:N)+_xlfn.xlookup(BG875,A:A,O:O)</f>
        <v>#NAME?</v>
      </c>
      <c r="BK875" s="153" t="e">
        <f aca="false">_xlfn.xlookup(BG875,A824:A1818,AB824:AB1818)</f>
        <v>#NAME?</v>
      </c>
      <c r="BN875" s="146"/>
      <c r="BO875" s="150"/>
      <c r="BQ875" s="153" t="str">
        <f aca="false">IF(VALUE(MONTH(C875))&lt;10,YEAR(C875)&amp;"-0"&amp;MONTH(C875),YEAR(C875)&amp;"-"&amp;MONTH(C875))</f>
        <v>1900-01</v>
      </c>
      <c r="BR875" s="153" t="n">
        <f aca="false">J875</f>
        <v>0</v>
      </c>
      <c r="BS875" s="153" t="n">
        <f aca="false">IF(ISNUMBER(FIND("-", BR875)), LEFT(BR875, FIND("-", BR875) - 1), BR875)</f>
        <v>0</v>
      </c>
      <c r="BT875" s="189" t="n">
        <f aca="false">L875-M875+O875</f>
        <v>0</v>
      </c>
    </row>
    <row r="876" s="153" customFormat="true" ht="15" hidden="false" customHeight="false" outlineLevel="0" collapsed="false">
      <c r="AN876" s="153" t="e">
        <v>#NAME?</v>
      </c>
      <c r="AO876" s="153" t="e">
        <f aca="false">_xlfn.xlookup(AN876,A:A,F:F)</f>
        <v>#NAME?</v>
      </c>
      <c r="AP876" s="153" t="e">
        <f aca="false">_xlfn.xlookup(AN876,A:A,J:J)</f>
        <v>#NAME?</v>
      </c>
      <c r="AQ876" s="153" t="e">
        <f aca="false">_xlfn.xlookup(AN876,A:A,N:N)+_xlfn.xlookup(AN876,A:A,O:O)</f>
        <v>#NAME?</v>
      </c>
      <c r="AR876" s="150" t="e">
        <f aca="false">_xlfn.xlookup(AN876,A:A,AH:AH)</f>
        <v>#NAME?</v>
      </c>
      <c r="AS876" s="150" t="e">
        <f aca="false">_xlfn.xlookup(AN876,A:A,S:S)</f>
        <v>#NAME?</v>
      </c>
      <c r="AT876" s="150" t="e">
        <f aca="false">_xlfn.xlookup(AN876,A:A,AE:AE)</f>
        <v>#NAME?</v>
      </c>
      <c r="AU876" s="150" t="e">
        <f aca="false">_xlfn.xlookup(AN876,A:A,AF:AF)</f>
        <v>#NAME?</v>
      </c>
      <c r="AX876" s="146"/>
      <c r="AY876" s="150"/>
      <c r="AZ876" s="150"/>
      <c r="BA876" s="150"/>
      <c r="BB876" s="146"/>
      <c r="BC876" s="146"/>
      <c r="BD876" s="151"/>
      <c r="BE876" s="146"/>
      <c r="BF876" s="146"/>
      <c r="BH876" s="152" t="e">
        <f aca="false">_xlfn.xlookup(BG876,A:A,F:F)</f>
        <v>#NAME?</v>
      </c>
      <c r="BI876" s="153" t="e">
        <f aca="false">_xlfn.xlookup(BG876,A:A,J:J)</f>
        <v>#NAME?</v>
      </c>
      <c r="BJ876" s="153" t="e">
        <f aca="false">_xlfn.xlookup(BG876,A:A,N:N)+_xlfn.xlookup(BG876,A:A,O:O)</f>
        <v>#NAME?</v>
      </c>
      <c r="BK876" s="153" t="e">
        <f aca="false">_xlfn.xlookup(BG876,A825:A1819,AB825:AB1819)</f>
        <v>#NAME?</v>
      </c>
      <c r="BN876" s="146"/>
      <c r="BO876" s="150"/>
      <c r="BQ876" s="153" t="str">
        <f aca="false">IF(VALUE(MONTH(C876))&lt;10,YEAR(C876)&amp;"-0"&amp;MONTH(C876),YEAR(C876)&amp;"-"&amp;MONTH(C876))</f>
        <v>1900-01</v>
      </c>
      <c r="BR876" s="153" t="n">
        <f aca="false">J876</f>
        <v>0</v>
      </c>
      <c r="BS876" s="153" t="n">
        <f aca="false">IF(ISNUMBER(FIND("-", BR876)), LEFT(BR876, FIND("-", BR876) - 1), BR876)</f>
        <v>0</v>
      </c>
      <c r="BT876" s="189" t="n">
        <f aca="false">L876-M876+O876</f>
        <v>0</v>
      </c>
    </row>
    <row r="877" s="153" customFormat="true" ht="15" hidden="false" customHeight="false" outlineLevel="0" collapsed="false">
      <c r="AN877" s="153" t="e">
        <v>#NAME?</v>
      </c>
      <c r="AO877" s="153" t="e">
        <f aca="false">_xlfn.xlookup(AN877,A:A,F:F)</f>
        <v>#NAME?</v>
      </c>
      <c r="AP877" s="153" t="e">
        <f aca="false">_xlfn.xlookup(AN877,A:A,J:J)</f>
        <v>#NAME?</v>
      </c>
      <c r="AQ877" s="153" t="e">
        <f aca="false">_xlfn.xlookup(AN877,A:A,N:N)+_xlfn.xlookup(AN877,A:A,O:O)</f>
        <v>#NAME?</v>
      </c>
      <c r="AR877" s="150" t="e">
        <f aca="false">_xlfn.xlookup(AN877,A:A,AH:AH)</f>
        <v>#NAME?</v>
      </c>
      <c r="AS877" s="150" t="e">
        <f aca="false">_xlfn.xlookup(AN877,A:A,S:S)</f>
        <v>#NAME?</v>
      </c>
      <c r="AT877" s="150" t="e">
        <f aca="false">_xlfn.xlookup(AN877,A:A,AE:AE)</f>
        <v>#NAME?</v>
      </c>
      <c r="AU877" s="150" t="e">
        <f aca="false">_xlfn.xlookup(AN877,A:A,AF:AF)</f>
        <v>#NAME?</v>
      </c>
      <c r="AX877" s="146"/>
      <c r="AY877" s="150"/>
      <c r="AZ877" s="150"/>
      <c r="BA877" s="150"/>
      <c r="BB877" s="146"/>
      <c r="BC877" s="146"/>
      <c r="BD877" s="151"/>
      <c r="BE877" s="146"/>
      <c r="BF877" s="146"/>
      <c r="BH877" s="152" t="e">
        <f aca="false">_xlfn.xlookup(BG877,A:A,F:F)</f>
        <v>#NAME?</v>
      </c>
      <c r="BI877" s="153" t="e">
        <f aca="false">_xlfn.xlookup(BG877,A:A,J:J)</f>
        <v>#NAME?</v>
      </c>
      <c r="BJ877" s="153" t="e">
        <f aca="false">_xlfn.xlookup(BG877,A:A,N:N)+_xlfn.xlookup(BG877,A:A,O:O)</f>
        <v>#NAME?</v>
      </c>
      <c r="BK877" s="153" t="e">
        <f aca="false">_xlfn.xlookup(BG877,A826:A1820,AB826:AB1820)</f>
        <v>#NAME?</v>
      </c>
      <c r="BN877" s="146"/>
      <c r="BO877" s="150"/>
      <c r="BQ877" s="153" t="str">
        <f aca="false">IF(VALUE(MONTH(C877))&lt;10,YEAR(C877)&amp;"-0"&amp;MONTH(C877),YEAR(C877)&amp;"-"&amp;MONTH(C877))</f>
        <v>1900-01</v>
      </c>
      <c r="BR877" s="153" t="n">
        <f aca="false">J877</f>
        <v>0</v>
      </c>
      <c r="BS877" s="153" t="n">
        <f aca="false">IF(ISNUMBER(FIND("-", BR877)), LEFT(BR877, FIND("-", BR877) - 1), BR877)</f>
        <v>0</v>
      </c>
      <c r="BT877" s="189" t="n">
        <f aca="false">L877-M877+O877</f>
        <v>0</v>
      </c>
    </row>
    <row r="878" s="153" customFormat="true" ht="15" hidden="false" customHeight="false" outlineLevel="0" collapsed="false">
      <c r="AN878" s="153" t="e">
        <v>#NAME?</v>
      </c>
      <c r="AO878" s="153" t="e">
        <f aca="false">_xlfn.xlookup(AN878,A:A,F:F)</f>
        <v>#NAME?</v>
      </c>
      <c r="AP878" s="153" t="e">
        <f aca="false">_xlfn.xlookup(AN878,A:A,J:J)</f>
        <v>#NAME?</v>
      </c>
      <c r="AQ878" s="153" t="e">
        <f aca="false">_xlfn.xlookup(AN878,A:A,N:N)+_xlfn.xlookup(AN878,A:A,O:O)</f>
        <v>#NAME?</v>
      </c>
      <c r="AR878" s="150" t="e">
        <f aca="false">_xlfn.xlookup(AN878,A:A,AH:AH)</f>
        <v>#NAME?</v>
      </c>
      <c r="AS878" s="150" t="e">
        <f aca="false">_xlfn.xlookup(AN878,A:A,S:S)</f>
        <v>#NAME?</v>
      </c>
      <c r="AT878" s="150" t="e">
        <f aca="false">_xlfn.xlookup(AN878,A:A,AE:AE)</f>
        <v>#NAME?</v>
      </c>
      <c r="AU878" s="150" t="e">
        <f aca="false">_xlfn.xlookup(AN878,A:A,AF:AF)</f>
        <v>#NAME?</v>
      </c>
      <c r="AX878" s="146"/>
      <c r="AY878" s="150"/>
      <c r="AZ878" s="150"/>
      <c r="BA878" s="150"/>
      <c r="BB878" s="146"/>
      <c r="BC878" s="146"/>
      <c r="BD878" s="151"/>
      <c r="BE878" s="146"/>
      <c r="BF878" s="146"/>
      <c r="BH878" s="152" t="e">
        <f aca="false">_xlfn.xlookup(BG878,A:A,F:F)</f>
        <v>#NAME?</v>
      </c>
      <c r="BI878" s="153" t="e">
        <f aca="false">_xlfn.xlookup(BG878,A:A,J:J)</f>
        <v>#NAME?</v>
      </c>
      <c r="BJ878" s="153" t="e">
        <f aca="false">_xlfn.xlookup(BG878,A:A,N:N)+_xlfn.xlookup(BG878,A:A,O:O)</f>
        <v>#NAME?</v>
      </c>
      <c r="BK878" s="153" t="e">
        <f aca="false">_xlfn.xlookup(BG878,A827:A1821,AB827:AB1821)</f>
        <v>#NAME?</v>
      </c>
      <c r="BN878" s="146"/>
      <c r="BO878" s="150"/>
      <c r="BQ878" s="153" t="str">
        <f aca="false">IF(VALUE(MONTH(C878))&lt;10,YEAR(C878)&amp;"-0"&amp;MONTH(C878),YEAR(C878)&amp;"-"&amp;MONTH(C878))</f>
        <v>1900-01</v>
      </c>
      <c r="BR878" s="153" t="n">
        <f aca="false">J878</f>
        <v>0</v>
      </c>
      <c r="BS878" s="153" t="n">
        <f aca="false">IF(ISNUMBER(FIND("-", BR878)), LEFT(BR878, FIND("-", BR878) - 1), BR878)</f>
        <v>0</v>
      </c>
      <c r="BT878" s="189" t="n">
        <f aca="false">L878-M878+O878</f>
        <v>0</v>
      </c>
    </row>
    <row r="879" s="153" customFormat="true" ht="15" hidden="false" customHeight="false" outlineLevel="0" collapsed="false">
      <c r="AN879" s="153" t="e">
        <v>#NAME?</v>
      </c>
      <c r="AO879" s="153" t="e">
        <f aca="false">_xlfn.xlookup(AN879,A:A,F:F)</f>
        <v>#NAME?</v>
      </c>
      <c r="AP879" s="153" t="e">
        <f aca="false">_xlfn.xlookup(AN879,A:A,J:J)</f>
        <v>#NAME?</v>
      </c>
      <c r="AQ879" s="153" t="e">
        <f aca="false">_xlfn.xlookup(AN879,A:A,N:N)+_xlfn.xlookup(AN879,A:A,O:O)</f>
        <v>#NAME?</v>
      </c>
      <c r="AR879" s="150" t="e">
        <f aca="false">_xlfn.xlookup(AN879,A:A,AH:AH)</f>
        <v>#NAME?</v>
      </c>
      <c r="AS879" s="150" t="e">
        <f aca="false">_xlfn.xlookup(AN879,A:A,S:S)</f>
        <v>#NAME?</v>
      </c>
      <c r="AT879" s="150" t="e">
        <f aca="false">_xlfn.xlookup(AN879,A:A,AE:AE)</f>
        <v>#NAME?</v>
      </c>
      <c r="AU879" s="150" t="e">
        <f aca="false">_xlfn.xlookup(AN879,A:A,AF:AF)</f>
        <v>#NAME?</v>
      </c>
      <c r="AX879" s="146"/>
      <c r="AY879" s="150"/>
      <c r="AZ879" s="150"/>
      <c r="BA879" s="150"/>
      <c r="BB879" s="146"/>
      <c r="BC879" s="146"/>
      <c r="BD879" s="151"/>
      <c r="BE879" s="146"/>
      <c r="BF879" s="146"/>
      <c r="BH879" s="152" t="e">
        <f aca="false">_xlfn.xlookup(BG879,A:A,F:F)</f>
        <v>#NAME?</v>
      </c>
      <c r="BI879" s="153" t="e">
        <f aca="false">_xlfn.xlookup(BG879,A:A,J:J)</f>
        <v>#NAME?</v>
      </c>
      <c r="BJ879" s="153" t="e">
        <f aca="false">_xlfn.xlookup(BG879,A:A,N:N)+_xlfn.xlookup(BG879,A:A,O:O)</f>
        <v>#NAME?</v>
      </c>
      <c r="BK879" s="153" t="e">
        <f aca="false">_xlfn.xlookup(BG879,A828:A1822,AB828:AB1822)</f>
        <v>#NAME?</v>
      </c>
      <c r="BN879" s="146"/>
      <c r="BO879" s="150"/>
      <c r="BQ879" s="153" t="str">
        <f aca="false">IF(VALUE(MONTH(C879))&lt;10,YEAR(C879)&amp;"-0"&amp;MONTH(C879),YEAR(C879)&amp;"-"&amp;MONTH(C879))</f>
        <v>1900-01</v>
      </c>
      <c r="BR879" s="153" t="n">
        <f aca="false">J879</f>
        <v>0</v>
      </c>
      <c r="BS879" s="153" t="n">
        <f aca="false">IF(ISNUMBER(FIND("-", BR879)), LEFT(BR879, FIND("-", BR879) - 1), BR879)</f>
        <v>0</v>
      </c>
      <c r="BT879" s="189" t="n">
        <f aca="false">L879-M879+O879</f>
        <v>0</v>
      </c>
    </row>
    <row r="880" s="153" customFormat="true" ht="15" hidden="false" customHeight="false" outlineLevel="0" collapsed="false">
      <c r="AN880" s="153" t="e">
        <v>#NAME?</v>
      </c>
      <c r="AO880" s="153" t="e">
        <f aca="false">_xlfn.xlookup(AN880,A:A,F:F)</f>
        <v>#NAME?</v>
      </c>
      <c r="AP880" s="153" t="e">
        <f aca="false">_xlfn.xlookup(AN880,A:A,J:J)</f>
        <v>#NAME?</v>
      </c>
      <c r="AQ880" s="153" t="e">
        <f aca="false">_xlfn.xlookup(AN880,A:A,N:N)+_xlfn.xlookup(AN880,A:A,O:O)</f>
        <v>#NAME?</v>
      </c>
      <c r="AR880" s="150" t="e">
        <f aca="false">_xlfn.xlookup(AN880,A:A,AH:AH)</f>
        <v>#NAME?</v>
      </c>
      <c r="AS880" s="150" t="e">
        <f aca="false">_xlfn.xlookup(AN880,A:A,S:S)</f>
        <v>#NAME?</v>
      </c>
      <c r="AT880" s="150" t="e">
        <f aca="false">_xlfn.xlookup(AN880,A:A,AE:AE)</f>
        <v>#NAME?</v>
      </c>
      <c r="AU880" s="150" t="e">
        <f aca="false">_xlfn.xlookup(AN880,A:A,AF:AF)</f>
        <v>#NAME?</v>
      </c>
      <c r="AX880" s="146"/>
      <c r="AY880" s="150"/>
      <c r="AZ880" s="150"/>
      <c r="BA880" s="150"/>
      <c r="BB880" s="146"/>
      <c r="BC880" s="146"/>
      <c r="BD880" s="151"/>
      <c r="BE880" s="146"/>
      <c r="BF880" s="146"/>
      <c r="BH880" s="152" t="e">
        <f aca="false">_xlfn.xlookup(BG880,A:A,F:F)</f>
        <v>#NAME?</v>
      </c>
      <c r="BI880" s="153" t="e">
        <f aca="false">_xlfn.xlookup(BG880,A:A,J:J)</f>
        <v>#NAME?</v>
      </c>
      <c r="BJ880" s="153" t="e">
        <f aca="false">_xlfn.xlookup(BG880,A:A,N:N)+_xlfn.xlookup(BG880,A:A,O:O)</f>
        <v>#NAME?</v>
      </c>
      <c r="BK880" s="153" t="e">
        <f aca="false">_xlfn.xlookup(BG880,A829:A1823,AB829:AB1823)</f>
        <v>#NAME?</v>
      </c>
      <c r="BN880" s="146"/>
      <c r="BO880" s="150"/>
      <c r="BQ880" s="153" t="str">
        <f aca="false">IF(VALUE(MONTH(C880))&lt;10,YEAR(C880)&amp;"-0"&amp;MONTH(C880),YEAR(C880)&amp;"-"&amp;MONTH(C880))</f>
        <v>1900-01</v>
      </c>
      <c r="BR880" s="153" t="n">
        <f aca="false">J880</f>
        <v>0</v>
      </c>
      <c r="BS880" s="153" t="n">
        <f aca="false">IF(ISNUMBER(FIND("-", BR880)), LEFT(BR880, FIND("-", BR880) - 1), BR880)</f>
        <v>0</v>
      </c>
      <c r="BT880" s="189" t="n">
        <f aca="false">L880-M880+O880</f>
        <v>0</v>
      </c>
    </row>
    <row r="881" s="153" customFormat="true" ht="15" hidden="false" customHeight="false" outlineLevel="0" collapsed="false">
      <c r="AN881" s="153" t="e">
        <v>#NAME?</v>
      </c>
      <c r="AO881" s="153" t="e">
        <f aca="false">_xlfn.xlookup(AN881,A:A,F:F)</f>
        <v>#NAME?</v>
      </c>
      <c r="AP881" s="153" t="e">
        <f aca="false">_xlfn.xlookup(AN881,A:A,J:J)</f>
        <v>#NAME?</v>
      </c>
      <c r="AQ881" s="153" t="e">
        <f aca="false">_xlfn.xlookup(AN881,A:A,N:N)+_xlfn.xlookup(AN881,A:A,O:O)</f>
        <v>#NAME?</v>
      </c>
      <c r="AR881" s="150" t="e">
        <f aca="false">_xlfn.xlookup(AN881,A:A,AH:AH)</f>
        <v>#NAME?</v>
      </c>
      <c r="AS881" s="150" t="e">
        <f aca="false">_xlfn.xlookup(AN881,A:A,S:S)</f>
        <v>#NAME?</v>
      </c>
      <c r="AT881" s="150" t="e">
        <f aca="false">_xlfn.xlookup(AN881,A:A,AE:AE)</f>
        <v>#NAME?</v>
      </c>
      <c r="AU881" s="150" t="e">
        <f aca="false">_xlfn.xlookup(AN881,A:A,AF:AF)</f>
        <v>#NAME?</v>
      </c>
      <c r="AX881" s="146"/>
      <c r="AY881" s="150"/>
      <c r="AZ881" s="150"/>
      <c r="BA881" s="150"/>
      <c r="BB881" s="146"/>
      <c r="BC881" s="146"/>
      <c r="BD881" s="151"/>
      <c r="BE881" s="146"/>
      <c r="BF881" s="146"/>
      <c r="BH881" s="152" t="e">
        <f aca="false">_xlfn.xlookup(BG881,A:A,F:F)</f>
        <v>#NAME?</v>
      </c>
      <c r="BI881" s="153" t="e">
        <f aca="false">_xlfn.xlookup(BG881,A:A,J:J)</f>
        <v>#NAME?</v>
      </c>
      <c r="BJ881" s="153" t="e">
        <f aca="false">_xlfn.xlookup(BG881,A:A,N:N)+_xlfn.xlookup(BG881,A:A,O:O)</f>
        <v>#NAME?</v>
      </c>
      <c r="BK881" s="153" t="e">
        <f aca="false">_xlfn.xlookup(BG881,A830:A1824,AB830:AB1824)</f>
        <v>#NAME?</v>
      </c>
      <c r="BN881" s="146"/>
      <c r="BO881" s="150"/>
      <c r="BQ881" s="153" t="str">
        <f aca="false">IF(VALUE(MONTH(C881))&lt;10,YEAR(C881)&amp;"-0"&amp;MONTH(C881),YEAR(C881)&amp;"-"&amp;MONTH(C881))</f>
        <v>1900-01</v>
      </c>
      <c r="BR881" s="153" t="n">
        <f aca="false">J881</f>
        <v>0</v>
      </c>
      <c r="BS881" s="153" t="n">
        <f aca="false">IF(ISNUMBER(FIND("-", BR881)), LEFT(BR881, FIND("-", BR881) - 1), BR881)</f>
        <v>0</v>
      </c>
      <c r="BT881" s="189" t="n">
        <f aca="false">L881-M881+O881</f>
        <v>0</v>
      </c>
    </row>
    <row r="882" s="153" customFormat="true" ht="15" hidden="false" customHeight="false" outlineLevel="0" collapsed="false">
      <c r="AN882" s="153" t="e">
        <v>#NAME?</v>
      </c>
      <c r="AO882" s="153" t="e">
        <f aca="false">_xlfn.xlookup(AN882,A:A,F:F)</f>
        <v>#NAME?</v>
      </c>
      <c r="AP882" s="153" t="e">
        <f aca="false">_xlfn.xlookup(AN882,A:A,J:J)</f>
        <v>#NAME?</v>
      </c>
      <c r="AQ882" s="153" t="e">
        <f aca="false">_xlfn.xlookup(AN882,A:A,N:N)+_xlfn.xlookup(AN882,A:A,O:O)</f>
        <v>#NAME?</v>
      </c>
      <c r="AR882" s="150" t="e">
        <f aca="false">_xlfn.xlookup(AN882,A:A,AH:AH)</f>
        <v>#NAME?</v>
      </c>
      <c r="AS882" s="150" t="e">
        <f aca="false">_xlfn.xlookup(AN882,A:A,S:S)</f>
        <v>#NAME?</v>
      </c>
      <c r="AT882" s="150" t="e">
        <f aca="false">_xlfn.xlookup(AN882,A:A,AE:AE)</f>
        <v>#NAME?</v>
      </c>
      <c r="AU882" s="150" t="e">
        <f aca="false">_xlfn.xlookup(AN882,A:A,AF:AF)</f>
        <v>#NAME?</v>
      </c>
      <c r="AX882" s="146"/>
      <c r="AY882" s="150"/>
      <c r="AZ882" s="150"/>
      <c r="BA882" s="150"/>
      <c r="BB882" s="146"/>
      <c r="BC882" s="146"/>
      <c r="BD882" s="151"/>
      <c r="BE882" s="146"/>
      <c r="BF882" s="146"/>
      <c r="BH882" s="152" t="e">
        <f aca="false">_xlfn.xlookup(BG882,A:A,F:F)</f>
        <v>#NAME?</v>
      </c>
      <c r="BI882" s="153" t="e">
        <f aca="false">_xlfn.xlookup(BG882,A:A,J:J)</f>
        <v>#NAME?</v>
      </c>
      <c r="BJ882" s="153" t="e">
        <f aca="false">_xlfn.xlookup(BG882,A:A,N:N)+_xlfn.xlookup(BG882,A:A,O:O)</f>
        <v>#NAME?</v>
      </c>
      <c r="BK882" s="153" t="e">
        <f aca="false">_xlfn.xlookup(BG882,A831:A1825,AB831:AB1825)</f>
        <v>#NAME?</v>
      </c>
      <c r="BN882" s="146"/>
      <c r="BO882" s="150"/>
      <c r="BQ882" s="153" t="str">
        <f aca="false">IF(VALUE(MONTH(C882))&lt;10,YEAR(C882)&amp;"-0"&amp;MONTH(C882),YEAR(C882)&amp;"-"&amp;MONTH(C882))</f>
        <v>1900-01</v>
      </c>
      <c r="BR882" s="153" t="n">
        <f aca="false">J882</f>
        <v>0</v>
      </c>
      <c r="BS882" s="153" t="n">
        <f aca="false">IF(ISNUMBER(FIND("-", BR882)), LEFT(BR882, FIND("-", BR882) - 1), BR882)</f>
        <v>0</v>
      </c>
      <c r="BT882" s="189" t="n">
        <f aca="false">L882-M882+O882</f>
        <v>0</v>
      </c>
    </row>
    <row r="883" s="153" customFormat="true" ht="15" hidden="false" customHeight="false" outlineLevel="0" collapsed="false">
      <c r="AN883" s="153" t="e">
        <v>#NAME?</v>
      </c>
      <c r="AO883" s="153" t="e">
        <f aca="false">_xlfn.xlookup(AN883,A:A,F:F)</f>
        <v>#NAME?</v>
      </c>
      <c r="AP883" s="153" t="e">
        <f aca="false">_xlfn.xlookup(AN883,A:A,J:J)</f>
        <v>#NAME?</v>
      </c>
      <c r="AQ883" s="153" t="e">
        <f aca="false">_xlfn.xlookup(AN883,A:A,N:N)+_xlfn.xlookup(AN883,A:A,O:O)</f>
        <v>#NAME?</v>
      </c>
      <c r="AR883" s="150" t="e">
        <f aca="false">_xlfn.xlookup(AN883,A:A,AH:AH)</f>
        <v>#NAME?</v>
      </c>
      <c r="AS883" s="150" t="e">
        <f aca="false">_xlfn.xlookup(AN883,A:A,S:S)</f>
        <v>#NAME?</v>
      </c>
      <c r="AT883" s="150" t="e">
        <f aca="false">_xlfn.xlookup(AN883,A:A,AE:AE)</f>
        <v>#NAME?</v>
      </c>
      <c r="AU883" s="150" t="e">
        <f aca="false">_xlfn.xlookup(AN883,A:A,AF:AF)</f>
        <v>#NAME?</v>
      </c>
      <c r="AX883" s="146"/>
      <c r="AY883" s="150"/>
      <c r="AZ883" s="150"/>
      <c r="BA883" s="150"/>
      <c r="BB883" s="146"/>
      <c r="BC883" s="146"/>
      <c r="BD883" s="151"/>
      <c r="BE883" s="146"/>
      <c r="BF883" s="146"/>
      <c r="BH883" s="152" t="e">
        <f aca="false">_xlfn.xlookup(BG883,A:A,F:F)</f>
        <v>#NAME?</v>
      </c>
      <c r="BI883" s="153" t="e">
        <f aca="false">_xlfn.xlookup(BG883,A:A,J:J)</f>
        <v>#NAME?</v>
      </c>
      <c r="BJ883" s="153" t="e">
        <f aca="false">_xlfn.xlookup(BG883,A:A,N:N)+_xlfn.xlookup(BG883,A:A,O:O)</f>
        <v>#NAME?</v>
      </c>
      <c r="BK883" s="153" t="e">
        <f aca="false">_xlfn.xlookup(BG883,A832:A1826,AB832:AB1826)</f>
        <v>#NAME?</v>
      </c>
      <c r="BN883" s="146"/>
      <c r="BO883" s="150"/>
      <c r="BQ883" s="153" t="str">
        <f aca="false">IF(VALUE(MONTH(C883))&lt;10,YEAR(C883)&amp;"-0"&amp;MONTH(C883),YEAR(C883)&amp;"-"&amp;MONTH(C883))</f>
        <v>1900-01</v>
      </c>
      <c r="BR883" s="153" t="n">
        <f aca="false">J883</f>
        <v>0</v>
      </c>
      <c r="BS883" s="153" t="n">
        <f aca="false">IF(ISNUMBER(FIND("-", BR883)), LEFT(BR883, FIND("-", BR883) - 1), BR883)</f>
        <v>0</v>
      </c>
      <c r="BT883" s="189" t="n">
        <f aca="false">L883-M883+O883</f>
        <v>0</v>
      </c>
    </row>
    <row r="884" s="153" customFormat="true" ht="15" hidden="false" customHeight="false" outlineLevel="0" collapsed="false">
      <c r="AN884" s="153" t="e">
        <v>#NAME?</v>
      </c>
      <c r="AO884" s="153" t="e">
        <f aca="false">_xlfn.xlookup(AN884,A:A,F:F)</f>
        <v>#NAME?</v>
      </c>
      <c r="AP884" s="153" t="e">
        <f aca="false">_xlfn.xlookup(AN884,A:A,J:J)</f>
        <v>#NAME?</v>
      </c>
      <c r="AQ884" s="153" t="e">
        <f aca="false">_xlfn.xlookup(AN884,A:A,N:N)+_xlfn.xlookup(AN884,A:A,O:O)</f>
        <v>#NAME?</v>
      </c>
      <c r="AR884" s="150" t="e">
        <f aca="false">_xlfn.xlookup(AN884,A:A,AH:AH)</f>
        <v>#NAME?</v>
      </c>
      <c r="AS884" s="150" t="e">
        <f aca="false">_xlfn.xlookup(AN884,A:A,S:S)</f>
        <v>#NAME?</v>
      </c>
      <c r="AT884" s="150" t="e">
        <f aca="false">_xlfn.xlookup(AN884,A:A,AE:AE)</f>
        <v>#NAME?</v>
      </c>
      <c r="AU884" s="150" t="e">
        <f aca="false">_xlfn.xlookup(AN884,A:A,AF:AF)</f>
        <v>#NAME?</v>
      </c>
      <c r="AX884" s="146"/>
      <c r="AY884" s="150"/>
      <c r="AZ884" s="150"/>
      <c r="BA884" s="150"/>
      <c r="BB884" s="146"/>
      <c r="BC884" s="146"/>
      <c r="BD884" s="151"/>
      <c r="BE884" s="146"/>
      <c r="BF884" s="146"/>
      <c r="BH884" s="152" t="e">
        <f aca="false">_xlfn.xlookup(BG884,A:A,F:F)</f>
        <v>#NAME?</v>
      </c>
      <c r="BI884" s="153" t="e">
        <f aca="false">_xlfn.xlookup(BG884,A:A,J:J)</f>
        <v>#NAME?</v>
      </c>
      <c r="BJ884" s="153" t="e">
        <f aca="false">_xlfn.xlookup(BG884,A:A,N:N)+_xlfn.xlookup(BG884,A:A,O:O)</f>
        <v>#NAME?</v>
      </c>
      <c r="BK884" s="153" t="e">
        <f aca="false">_xlfn.xlookup(BG884,A833:A1827,AB833:AB1827)</f>
        <v>#NAME?</v>
      </c>
      <c r="BN884" s="146"/>
      <c r="BO884" s="150"/>
      <c r="BQ884" s="153" t="str">
        <f aca="false">IF(VALUE(MONTH(C884))&lt;10,YEAR(C884)&amp;"-0"&amp;MONTH(C884),YEAR(C884)&amp;"-"&amp;MONTH(C884))</f>
        <v>1900-01</v>
      </c>
      <c r="BR884" s="153" t="n">
        <f aca="false">J884</f>
        <v>0</v>
      </c>
      <c r="BS884" s="153" t="n">
        <f aca="false">IF(ISNUMBER(FIND("-", BR884)), LEFT(BR884, FIND("-", BR884) - 1), BR884)</f>
        <v>0</v>
      </c>
      <c r="BT884" s="189" t="n">
        <f aca="false">L884-M884+O884</f>
        <v>0</v>
      </c>
    </row>
    <row r="885" s="153" customFormat="true" ht="15" hidden="false" customHeight="false" outlineLevel="0" collapsed="false">
      <c r="AN885" s="153" t="e">
        <v>#NAME?</v>
      </c>
      <c r="AO885" s="153" t="e">
        <f aca="false">_xlfn.xlookup(AN885,A:A,F:F)</f>
        <v>#NAME?</v>
      </c>
      <c r="AP885" s="153" t="e">
        <f aca="false">_xlfn.xlookup(AN885,A:A,J:J)</f>
        <v>#NAME?</v>
      </c>
      <c r="AQ885" s="153" t="e">
        <f aca="false">_xlfn.xlookup(AN885,A:A,N:N)+_xlfn.xlookup(AN885,A:A,O:O)</f>
        <v>#NAME?</v>
      </c>
      <c r="AR885" s="150" t="e">
        <f aca="false">_xlfn.xlookup(AN885,A:A,AH:AH)</f>
        <v>#NAME?</v>
      </c>
      <c r="AS885" s="150" t="e">
        <f aca="false">_xlfn.xlookup(AN885,A:A,S:S)</f>
        <v>#NAME?</v>
      </c>
      <c r="AT885" s="150" t="e">
        <f aca="false">_xlfn.xlookup(AN885,A:A,AE:AE)</f>
        <v>#NAME?</v>
      </c>
      <c r="AU885" s="150" t="e">
        <f aca="false">_xlfn.xlookup(AN885,A:A,AF:AF)</f>
        <v>#NAME?</v>
      </c>
      <c r="AX885" s="146"/>
      <c r="AY885" s="150"/>
      <c r="AZ885" s="150"/>
      <c r="BA885" s="150"/>
      <c r="BB885" s="146"/>
      <c r="BC885" s="146"/>
      <c r="BD885" s="151"/>
      <c r="BE885" s="146"/>
      <c r="BF885" s="146"/>
      <c r="BH885" s="152" t="e">
        <f aca="false">_xlfn.xlookup(BG885,A:A,F:F)</f>
        <v>#NAME?</v>
      </c>
      <c r="BI885" s="153" t="e">
        <f aca="false">_xlfn.xlookup(BG885,A:A,J:J)</f>
        <v>#NAME?</v>
      </c>
      <c r="BJ885" s="153" t="e">
        <f aca="false">_xlfn.xlookup(BG885,A:A,N:N)+_xlfn.xlookup(BG885,A:A,O:O)</f>
        <v>#NAME?</v>
      </c>
      <c r="BK885" s="153" t="e">
        <f aca="false">_xlfn.xlookup(BG885,A834:A1828,AB834:AB1828)</f>
        <v>#NAME?</v>
      </c>
      <c r="BN885" s="146"/>
      <c r="BO885" s="150"/>
      <c r="BQ885" s="153" t="str">
        <f aca="false">IF(VALUE(MONTH(C885))&lt;10,YEAR(C885)&amp;"-0"&amp;MONTH(C885),YEAR(C885)&amp;"-"&amp;MONTH(C885))</f>
        <v>1900-01</v>
      </c>
      <c r="BR885" s="153" t="n">
        <f aca="false">J885</f>
        <v>0</v>
      </c>
      <c r="BS885" s="153" t="n">
        <f aca="false">IF(ISNUMBER(FIND("-", BR885)), LEFT(BR885, FIND("-", BR885) - 1), BR885)</f>
        <v>0</v>
      </c>
      <c r="BT885" s="189" t="n">
        <f aca="false">L885-M885+O885</f>
        <v>0</v>
      </c>
    </row>
    <row r="886" s="153" customFormat="true" ht="15" hidden="false" customHeight="false" outlineLevel="0" collapsed="false">
      <c r="AN886" s="153" t="e">
        <v>#NAME?</v>
      </c>
      <c r="AO886" s="153" t="e">
        <f aca="false">_xlfn.xlookup(AN886,A:A,F:F)</f>
        <v>#NAME?</v>
      </c>
      <c r="AP886" s="153" t="e">
        <f aca="false">_xlfn.xlookup(AN886,A:A,J:J)</f>
        <v>#NAME?</v>
      </c>
      <c r="AQ886" s="153" t="e">
        <f aca="false">_xlfn.xlookup(AN886,A:A,N:N)+_xlfn.xlookup(AN886,A:A,O:O)</f>
        <v>#NAME?</v>
      </c>
      <c r="AR886" s="150" t="e">
        <f aca="false">_xlfn.xlookup(AN886,A:A,AH:AH)</f>
        <v>#NAME?</v>
      </c>
      <c r="AS886" s="150" t="e">
        <f aca="false">_xlfn.xlookup(AN886,A:A,S:S)</f>
        <v>#NAME?</v>
      </c>
      <c r="AT886" s="150" t="e">
        <f aca="false">_xlfn.xlookup(AN886,A:A,AE:AE)</f>
        <v>#NAME?</v>
      </c>
      <c r="AU886" s="150" t="e">
        <f aca="false">_xlfn.xlookup(AN886,A:A,AF:AF)</f>
        <v>#NAME?</v>
      </c>
      <c r="AX886" s="146"/>
      <c r="AY886" s="150"/>
      <c r="AZ886" s="150"/>
      <c r="BA886" s="150"/>
      <c r="BB886" s="146"/>
      <c r="BC886" s="146"/>
      <c r="BD886" s="151"/>
      <c r="BE886" s="146"/>
      <c r="BF886" s="146"/>
      <c r="BH886" s="152" t="e">
        <f aca="false">_xlfn.xlookup(BG886,A:A,F:F)</f>
        <v>#NAME?</v>
      </c>
      <c r="BI886" s="153" t="e">
        <f aca="false">_xlfn.xlookup(BG886,A:A,J:J)</f>
        <v>#NAME?</v>
      </c>
      <c r="BJ886" s="153" t="e">
        <f aca="false">_xlfn.xlookup(BG886,A:A,N:N)+_xlfn.xlookup(BG886,A:A,O:O)</f>
        <v>#NAME?</v>
      </c>
      <c r="BK886" s="153" t="e">
        <f aca="false">_xlfn.xlookup(BG886,A835:A1829,AB835:AB1829)</f>
        <v>#NAME?</v>
      </c>
      <c r="BN886" s="146"/>
      <c r="BO886" s="150"/>
      <c r="BQ886" s="153" t="str">
        <f aca="false">IF(VALUE(MONTH(C886))&lt;10,YEAR(C886)&amp;"-0"&amp;MONTH(C886),YEAR(C886)&amp;"-"&amp;MONTH(C886))</f>
        <v>1900-01</v>
      </c>
      <c r="BR886" s="153" t="n">
        <f aca="false">J886</f>
        <v>0</v>
      </c>
      <c r="BS886" s="153" t="n">
        <f aca="false">IF(ISNUMBER(FIND("-", BR886)), LEFT(BR886, FIND("-", BR886) - 1), BR886)</f>
        <v>0</v>
      </c>
      <c r="BT886" s="189" t="n">
        <f aca="false">L886-M886+O886</f>
        <v>0</v>
      </c>
    </row>
    <row r="887" s="153" customFormat="true" ht="15" hidden="false" customHeight="false" outlineLevel="0" collapsed="false">
      <c r="AN887" s="153" t="e">
        <v>#NAME?</v>
      </c>
      <c r="AO887" s="153" t="e">
        <f aca="false">_xlfn.xlookup(AN887,A:A,F:F)</f>
        <v>#NAME?</v>
      </c>
      <c r="AP887" s="153" t="e">
        <f aca="false">_xlfn.xlookup(AN887,A:A,J:J)</f>
        <v>#NAME?</v>
      </c>
      <c r="AQ887" s="153" t="e">
        <f aca="false">_xlfn.xlookup(AN887,A:A,N:N)+_xlfn.xlookup(AN887,A:A,O:O)</f>
        <v>#NAME?</v>
      </c>
      <c r="AR887" s="150" t="e">
        <f aca="false">_xlfn.xlookup(AN887,A:A,AH:AH)</f>
        <v>#NAME?</v>
      </c>
      <c r="AS887" s="150" t="e">
        <f aca="false">_xlfn.xlookup(AN887,A:A,S:S)</f>
        <v>#NAME?</v>
      </c>
      <c r="AT887" s="150" t="e">
        <f aca="false">_xlfn.xlookup(AN887,A:A,AE:AE)</f>
        <v>#NAME?</v>
      </c>
      <c r="AU887" s="150" t="e">
        <f aca="false">_xlfn.xlookup(AN887,A:A,AF:AF)</f>
        <v>#NAME?</v>
      </c>
      <c r="AX887" s="146"/>
      <c r="AY887" s="150"/>
      <c r="AZ887" s="150"/>
      <c r="BA887" s="150"/>
      <c r="BB887" s="146"/>
      <c r="BC887" s="146"/>
      <c r="BD887" s="151"/>
      <c r="BE887" s="146"/>
      <c r="BF887" s="146"/>
      <c r="BH887" s="152" t="e">
        <f aca="false">_xlfn.xlookup(BG887,A:A,F:F)</f>
        <v>#NAME?</v>
      </c>
      <c r="BI887" s="153" t="e">
        <f aca="false">_xlfn.xlookup(BG887,A:A,J:J)</f>
        <v>#NAME?</v>
      </c>
      <c r="BJ887" s="153" t="e">
        <f aca="false">_xlfn.xlookup(BG887,A:A,N:N)+_xlfn.xlookup(BG887,A:A,O:O)</f>
        <v>#NAME?</v>
      </c>
      <c r="BK887" s="153" t="e">
        <f aca="false">_xlfn.xlookup(BG887,A836:A1830,AB836:AB1830)</f>
        <v>#NAME?</v>
      </c>
      <c r="BN887" s="146"/>
      <c r="BO887" s="150"/>
      <c r="BQ887" s="153" t="str">
        <f aca="false">IF(VALUE(MONTH(C887))&lt;10,YEAR(C887)&amp;"-0"&amp;MONTH(C887),YEAR(C887)&amp;"-"&amp;MONTH(C887))</f>
        <v>1900-01</v>
      </c>
      <c r="BR887" s="153" t="n">
        <f aca="false">J887</f>
        <v>0</v>
      </c>
      <c r="BS887" s="153" t="n">
        <f aca="false">IF(ISNUMBER(FIND("-", BR887)), LEFT(BR887, FIND("-", BR887) - 1), BR887)</f>
        <v>0</v>
      </c>
      <c r="BT887" s="189" t="n">
        <f aca="false">L887-M887+O887</f>
        <v>0</v>
      </c>
    </row>
    <row r="888" s="153" customFormat="true" ht="15" hidden="false" customHeight="false" outlineLevel="0" collapsed="false">
      <c r="AN888" s="153" t="e">
        <v>#NAME?</v>
      </c>
      <c r="AO888" s="153" t="e">
        <f aca="false">_xlfn.xlookup(AN888,A:A,F:F)</f>
        <v>#NAME?</v>
      </c>
      <c r="AP888" s="153" t="e">
        <f aca="false">_xlfn.xlookup(AN888,A:A,J:J)</f>
        <v>#NAME?</v>
      </c>
      <c r="AQ888" s="153" t="e">
        <f aca="false">_xlfn.xlookup(AN888,A:A,N:N)+_xlfn.xlookup(AN888,A:A,O:O)</f>
        <v>#NAME?</v>
      </c>
      <c r="AR888" s="150" t="e">
        <f aca="false">_xlfn.xlookup(AN888,A:A,AH:AH)</f>
        <v>#NAME?</v>
      </c>
      <c r="AS888" s="150" t="e">
        <f aca="false">_xlfn.xlookup(AN888,A:A,S:S)</f>
        <v>#NAME?</v>
      </c>
      <c r="AT888" s="150" t="e">
        <f aca="false">_xlfn.xlookup(AN888,A:A,AE:AE)</f>
        <v>#NAME?</v>
      </c>
      <c r="AU888" s="150" t="e">
        <f aca="false">_xlfn.xlookup(AN888,A:A,AF:AF)</f>
        <v>#NAME?</v>
      </c>
      <c r="AX888" s="146"/>
      <c r="AY888" s="150"/>
      <c r="AZ888" s="150"/>
      <c r="BA888" s="150"/>
      <c r="BB888" s="146"/>
      <c r="BC888" s="146"/>
      <c r="BD888" s="151"/>
      <c r="BE888" s="146"/>
      <c r="BF888" s="146"/>
      <c r="BH888" s="152" t="e">
        <f aca="false">_xlfn.xlookup(BG888,A:A,F:F)</f>
        <v>#NAME?</v>
      </c>
      <c r="BI888" s="153" t="e">
        <f aca="false">_xlfn.xlookup(BG888,A:A,J:J)</f>
        <v>#NAME?</v>
      </c>
      <c r="BJ888" s="153" t="e">
        <f aca="false">_xlfn.xlookup(BG888,A:A,N:N)+_xlfn.xlookup(BG888,A:A,O:O)</f>
        <v>#NAME?</v>
      </c>
      <c r="BK888" s="153" t="e">
        <f aca="false">_xlfn.xlookup(BG888,A837:A1831,AB837:AB1831)</f>
        <v>#NAME?</v>
      </c>
      <c r="BN888" s="146"/>
      <c r="BO888" s="150"/>
      <c r="BQ888" s="153" t="str">
        <f aca="false">IF(VALUE(MONTH(C888))&lt;10,YEAR(C888)&amp;"-0"&amp;MONTH(C888),YEAR(C888)&amp;"-"&amp;MONTH(C888))</f>
        <v>1900-01</v>
      </c>
      <c r="BR888" s="153" t="n">
        <f aca="false">J888</f>
        <v>0</v>
      </c>
      <c r="BS888" s="153" t="n">
        <f aca="false">IF(ISNUMBER(FIND("-", BR888)), LEFT(BR888, FIND("-", BR888) - 1), BR888)</f>
        <v>0</v>
      </c>
      <c r="BT888" s="189" t="n">
        <f aca="false">L888-M888+O888</f>
        <v>0</v>
      </c>
    </row>
    <row r="889" s="153" customFormat="true" ht="15" hidden="false" customHeight="false" outlineLevel="0" collapsed="false">
      <c r="AN889" s="153" t="e">
        <v>#NAME?</v>
      </c>
      <c r="AO889" s="153" t="e">
        <f aca="false">_xlfn.xlookup(AN889,A:A,F:F)</f>
        <v>#NAME?</v>
      </c>
      <c r="AP889" s="153" t="e">
        <f aca="false">_xlfn.xlookup(AN889,A:A,J:J)</f>
        <v>#NAME?</v>
      </c>
      <c r="AQ889" s="153" t="e">
        <f aca="false">_xlfn.xlookup(AN889,A:A,N:N)+_xlfn.xlookup(AN889,A:A,O:O)</f>
        <v>#NAME?</v>
      </c>
      <c r="AR889" s="150" t="e">
        <f aca="false">_xlfn.xlookup(AN889,A:A,AH:AH)</f>
        <v>#NAME?</v>
      </c>
      <c r="AS889" s="150" t="e">
        <f aca="false">_xlfn.xlookup(AN889,A:A,S:S)</f>
        <v>#NAME?</v>
      </c>
      <c r="AT889" s="150" t="e">
        <f aca="false">_xlfn.xlookup(AN889,A:A,AE:AE)</f>
        <v>#NAME?</v>
      </c>
      <c r="AU889" s="150" t="e">
        <f aca="false">_xlfn.xlookup(AN889,A:A,AF:AF)</f>
        <v>#NAME?</v>
      </c>
      <c r="AX889" s="146"/>
      <c r="AY889" s="150"/>
      <c r="AZ889" s="150"/>
      <c r="BA889" s="150"/>
      <c r="BB889" s="146"/>
      <c r="BC889" s="146"/>
      <c r="BD889" s="151"/>
      <c r="BE889" s="146"/>
      <c r="BF889" s="146"/>
      <c r="BH889" s="152" t="e">
        <f aca="false">_xlfn.xlookup(BG889,A:A,F:F)</f>
        <v>#NAME?</v>
      </c>
      <c r="BI889" s="153" t="e">
        <f aca="false">_xlfn.xlookup(BG889,A:A,J:J)</f>
        <v>#NAME?</v>
      </c>
      <c r="BJ889" s="153" t="e">
        <f aca="false">_xlfn.xlookup(BG889,A:A,N:N)+_xlfn.xlookup(BG889,A:A,O:O)</f>
        <v>#NAME?</v>
      </c>
      <c r="BK889" s="153" t="e">
        <f aca="false">_xlfn.xlookup(BG889,A838:A1832,AB838:AB1832)</f>
        <v>#NAME?</v>
      </c>
      <c r="BN889" s="146"/>
      <c r="BO889" s="150"/>
      <c r="BQ889" s="153" t="str">
        <f aca="false">IF(VALUE(MONTH(C889))&lt;10,YEAR(C889)&amp;"-0"&amp;MONTH(C889),YEAR(C889)&amp;"-"&amp;MONTH(C889))</f>
        <v>1900-01</v>
      </c>
      <c r="BR889" s="153" t="n">
        <f aca="false">J889</f>
        <v>0</v>
      </c>
      <c r="BS889" s="153" t="n">
        <f aca="false">IF(ISNUMBER(FIND("-", BR889)), LEFT(BR889, FIND("-", BR889) - 1), BR889)</f>
        <v>0</v>
      </c>
      <c r="BT889" s="189" t="n">
        <f aca="false">L889-M889+O889</f>
        <v>0</v>
      </c>
    </row>
    <row r="890" s="153" customFormat="true" ht="15" hidden="false" customHeight="false" outlineLevel="0" collapsed="false">
      <c r="AN890" s="153" t="e">
        <v>#NAME?</v>
      </c>
      <c r="AO890" s="153" t="e">
        <f aca="false">_xlfn.xlookup(AN890,A:A,F:F)</f>
        <v>#NAME?</v>
      </c>
      <c r="AP890" s="153" t="e">
        <f aca="false">_xlfn.xlookup(AN890,A:A,J:J)</f>
        <v>#NAME?</v>
      </c>
      <c r="AQ890" s="153" t="e">
        <f aca="false">_xlfn.xlookup(AN890,A:A,N:N)+_xlfn.xlookup(AN890,A:A,O:O)</f>
        <v>#NAME?</v>
      </c>
      <c r="AR890" s="150" t="e">
        <f aca="false">_xlfn.xlookup(AN890,A:A,AH:AH)</f>
        <v>#NAME?</v>
      </c>
      <c r="AS890" s="150" t="e">
        <f aca="false">_xlfn.xlookup(AN890,A:A,S:S)</f>
        <v>#NAME?</v>
      </c>
      <c r="AT890" s="150" t="e">
        <f aca="false">_xlfn.xlookup(AN890,A:A,AE:AE)</f>
        <v>#NAME?</v>
      </c>
      <c r="AU890" s="150" t="e">
        <f aca="false">_xlfn.xlookup(AN890,A:A,AF:AF)</f>
        <v>#NAME?</v>
      </c>
      <c r="AX890" s="146"/>
      <c r="AY890" s="150"/>
      <c r="AZ890" s="150"/>
      <c r="BA890" s="150"/>
      <c r="BB890" s="146"/>
      <c r="BC890" s="146"/>
      <c r="BD890" s="151"/>
      <c r="BE890" s="146"/>
      <c r="BF890" s="146"/>
      <c r="BH890" s="152" t="e">
        <f aca="false">_xlfn.xlookup(BG890,A:A,F:F)</f>
        <v>#NAME?</v>
      </c>
      <c r="BI890" s="153" t="e">
        <f aca="false">_xlfn.xlookup(BG890,A:A,J:J)</f>
        <v>#NAME?</v>
      </c>
      <c r="BJ890" s="153" t="e">
        <f aca="false">_xlfn.xlookup(BG890,A:A,N:N)+_xlfn.xlookup(BG890,A:A,O:O)</f>
        <v>#NAME?</v>
      </c>
      <c r="BK890" s="153" t="e">
        <f aca="false">_xlfn.xlookup(BG890,A839:A1833,AB839:AB1833)</f>
        <v>#NAME?</v>
      </c>
      <c r="BN890" s="146"/>
      <c r="BO890" s="150"/>
      <c r="BQ890" s="153" t="str">
        <f aca="false">IF(VALUE(MONTH(C890))&lt;10,YEAR(C890)&amp;"-0"&amp;MONTH(C890),YEAR(C890)&amp;"-"&amp;MONTH(C890))</f>
        <v>1900-01</v>
      </c>
      <c r="BR890" s="153" t="n">
        <f aca="false">J890</f>
        <v>0</v>
      </c>
      <c r="BS890" s="153" t="n">
        <f aca="false">IF(ISNUMBER(FIND("-", BR890)), LEFT(BR890, FIND("-", BR890) - 1), BR890)</f>
        <v>0</v>
      </c>
      <c r="BT890" s="189" t="n">
        <f aca="false">L890-M890+O890</f>
        <v>0</v>
      </c>
    </row>
    <row r="891" s="153" customFormat="true" ht="15" hidden="false" customHeight="false" outlineLevel="0" collapsed="false">
      <c r="AN891" s="153" t="e">
        <v>#NAME?</v>
      </c>
      <c r="AO891" s="153" t="e">
        <f aca="false">_xlfn.xlookup(AN891,A:A,F:F)</f>
        <v>#NAME?</v>
      </c>
      <c r="AP891" s="153" t="e">
        <f aca="false">_xlfn.xlookup(AN891,A:A,J:J)</f>
        <v>#NAME?</v>
      </c>
      <c r="AQ891" s="153" t="e">
        <f aca="false">_xlfn.xlookup(AN891,A:A,N:N)+_xlfn.xlookup(AN891,A:A,O:O)</f>
        <v>#NAME?</v>
      </c>
      <c r="AR891" s="150" t="e">
        <f aca="false">_xlfn.xlookup(AN891,A:A,AH:AH)</f>
        <v>#NAME?</v>
      </c>
      <c r="AS891" s="150" t="e">
        <f aca="false">_xlfn.xlookup(AN891,A:A,S:S)</f>
        <v>#NAME?</v>
      </c>
      <c r="AT891" s="150" t="e">
        <f aca="false">_xlfn.xlookup(AN891,A:A,AE:AE)</f>
        <v>#NAME?</v>
      </c>
      <c r="AU891" s="150" t="e">
        <f aca="false">_xlfn.xlookup(AN891,A:A,AF:AF)</f>
        <v>#NAME?</v>
      </c>
      <c r="AX891" s="146"/>
      <c r="AY891" s="150"/>
      <c r="AZ891" s="150"/>
      <c r="BA891" s="150"/>
      <c r="BB891" s="146"/>
      <c r="BC891" s="146"/>
      <c r="BD891" s="151"/>
      <c r="BE891" s="146"/>
      <c r="BF891" s="146"/>
      <c r="BH891" s="152" t="e">
        <f aca="false">_xlfn.xlookup(BG891,A:A,F:F)</f>
        <v>#NAME?</v>
      </c>
      <c r="BI891" s="153" t="e">
        <f aca="false">_xlfn.xlookup(BG891,A:A,J:J)</f>
        <v>#NAME?</v>
      </c>
      <c r="BJ891" s="153" t="e">
        <f aca="false">_xlfn.xlookup(BG891,A:A,N:N)+_xlfn.xlookup(BG891,A:A,O:O)</f>
        <v>#NAME?</v>
      </c>
      <c r="BK891" s="153" t="e">
        <f aca="false">_xlfn.xlookup(BG891,A840:A1834,AB840:AB1834)</f>
        <v>#NAME?</v>
      </c>
      <c r="BN891" s="146"/>
      <c r="BO891" s="150"/>
      <c r="BQ891" s="153" t="str">
        <f aca="false">IF(VALUE(MONTH(C891))&lt;10,YEAR(C891)&amp;"-0"&amp;MONTH(C891),YEAR(C891)&amp;"-"&amp;MONTH(C891))</f>
        <v>1900-01</v>
      </c>
      <c r="BR891" s="153" t="n">
        <f aca="false">J891</f>
        <v>0</v>
      </c>
      <c r="BS891" s="153" t="n">
        <f aca="false">IF(ISNUMBER(FIND("-", BR891)), LEFT(BR891, FIND("-", BR891) - 1), BR891)</f>
        <v>0</v>
      </c>
      <c r="BT891" s="189" t="n">
        <f aca="false">L891-M891+O891</f>
        <v>0</v>
      </c>
    </row>
    <row r="892" s="153" customFormat="true" ht="15" hidden="false" customHeight="false" outlineLevel="0" collapsed="false">
      <c r="AN892" s="153" t="e">
        <v>#NAME?</v>
      </c>
      <c r="AO892" s="153" t="e">
        <f aca="false">_xlfn.xlookup(AN892,A:A,F:F)</f>
        <v>#NAME?</v>
      </c>
      <c r="AP892" s="153" t="e">
        <f aca="false">_xlfn.xlookup(AN892,A:A,J:J)</f>
        <v>#NAME?</v>
      </c>
      <c r="AQ892" s="153" t="e">
        <f aca="false">_xlfn.xlookup(AN892,A:A,N:N)+_xlfn.xlookup(AN892,A:A,O:O)</f>
        <v>#NAME?</v>
      </c>
      <c r="AR892" s="150" t="e">
        <f aca="false">_xlfn.xlookup(AN892,A:A,AH:AH)</f>
        <v>#NAME?</v>
      </c>
      <c r="AS892" s="150" t="e">
        <f aca="false">_xlfn.xlookup(AN892,A:A,S:S)</f>
        <v>#NAME?</v>
      </c>
      <c r="AT892" s="150" t="e">
        <f aca="false">_xlfn.xlookup(AN892,A:A,AE:AE)</f>
        <v>#NAME?</v>
      </c>
      <c r="AU892" s="150" t="e">
        <f aca="false">_xlfn.xlookup(AN892,A:A,AF:AF)</f>
        <v>#NAME?</v>
      </c>
      <c r="AX892" s="146"/>
      <c r="AY892" s="150"/>
      <c r="AZ892" s="150"/>
      <c r="BA892" s="150"/>
      <c r="BB892" s="146"/>
      <c r="BC892" s="146"/>
      <c r="BD892" s="151"/>
      <c r="BE892" s="146"/>
      <c r="BF892" s="146"/>
      <c r="BH892" s="152" t="e">
        <f aca="false">_xlfn.xlookup(BG892,A:A,F:F)</f>
        <v>#NAME?</v>
      </c>
      <c r="BI892" s="153" t="e">
        <f aca="false">_xlfn.xlookup(BG892,A:A,J:J)</f>
        <v>#NAME?</v>
      </c>
      <c r="BJ892" s="153" t="e">
        <f aca="false">_xlfn.xlookup(BG892,A:A,N:N)+_xlfn.xlookup(BG892,A:A,O:O)</f>
        <v>#NAME?</v>
      </c>
      <c r="BK892" s="153" t="e">
        <f aca="false">_xlfn.xlookup(BG892,A841:A1835,AB841:AB1835)</f>
        <v>#NAME?</v>
      </c>
      <c r="BN892" s="146"/>
      <c r="BO892" s="150"/>
      <c r="BQ892" s="153" t="str">
        <f aca="false">IF(VALUE(MONTH(C892))&lt;10,YEAR(C892)&amp;"-0"&amp;MONTH(C892),YEAR(C892)&amp;"-"&amp;MONTH(C892))</f>
        <v>1900-01</v>
      </c>
      <c r="BR892" s="153" t="n">
        <f aca="false">J892</f>
        <v>0</v>
      </c>
      <c r="BS892" s="153" t="n">
        <f aca="false">IF(ISNUMBER(FIND("-", BR892)), LEFT(BR892, FIND("-", BR892) - 1), BR892)</f>
        <v>0</v>
      </c>
      <c r="BT892" s="189" t="n">
        <f aca="false">L892-M892+O892</f>
        <v>0</v>
      </c>
    </row>
    <row r="893" s="153" customFormat="true" ht="15" hidden="false" customHeight="false" outlineLevel="0" collapsed="false">
      <c r="AN893" s="153" t="e">
        <v>#NAME?</v>
      </c>
      <c r="AO893" s="153" t="e">
        <f aca="false">_xlfn.xlookup(AN893,A:A,F:F)</f>
        <v>#NAME?</v>
      </c>
      <c r="AP893" s="153" t="e">
        <f aca="false">_xlfn.xlookup(AN893,A:A,J:J)</f>
        <v>#NAME?</v>
      </c>
      <c r="AQ893" s="153" t="e">
        <f aca="false">_xlfn.xlookup(AN893,A:A,N:N)+_xlfn.xlookup(AN893,A:A,O:O)</f>
        <v>#NAME?</v>
      </c>
      <c r="AR893" s="150" t="e">
        <f aca="false">_xlfn.xlookup(AN893,A:A,AH:AH)</f>
        <v>#NAME?</v>
      </c>
      <c r="AS893" s="150" t="e">
        <f aca="false">_xlfn.xlookup(AN893,A:A,S:S)</f>
        <v>#NAME?</v>
      </c>
      <c r="AT893" s="150" t="e">
        <f aca="false">_xlfn.xlookup(AN893,A:A,AE:AE)</f>
        <v>#NAME?</v>
      </c>
      <c r="AU893" s="150" t="e">
        <f aca="false">_xlfn.xlookup(AN893,A:A,AF:AF)</f>
        <v>#NAME?</v>
      </c>
      <c r="AX893" s="146"/>
      <c r="AY893" s="150"/>
      <c r="AZ893" s="150"/>
      <c r="BA893" s="150"/>
      <c r="BB893" s="146"/>
      <c r="BC893" s="146"/>
      <c r="BD893" s="151"/>
      <c r="BE893" s="146"/>
      <c r="BF893" s="146"/>
      <c r="BH893" s="152" t="e">
        <f aca="false">_xlfn.xlookup(BG893,A:A,F:F)</f>
        <v>#NAME?</v>
      </c>
      <c r="BI893" s="153" t="e">
        <f aca="false">_xlfn.xlookup(BG893,A:A,J:J)</f>
        <v>#NAME?</v>
      </c>
      <c r="BJ893" s="153" t="e">
        <f aca="false">_xlfn.xlookup(BG893,A:A,N:N)+_xlfn.xlookup(BG893,A:A,O:O)</f>
        <v>#NAME?</v>
      </c>
      <c r="BK893" s="153" t="e">
        <f aca="false">_xlfn.xlookup(BG893,A842:A1836,AB842:AB1836)</f>
        <v>#NAME?</v>
      </c>
      <c r="BN893" s="146"/>
      <c r="BO893" s="150"/>
      <c r="BQ893" s="153" t="str">
        <f aca="false">IF(VALUE(MONTH(C893))&lt;10,YEAR(C893)&amp;"-0"&amp;MONTH(C893),YEAR(C893)&amp;"-"&amp;MONTH(C893))</f>
        <v>1900-01</v>
      </c>
      <c r="BR893" s="153" t="n">
        <f aca="false">J893</f>
        <v>0</v>
      </c>
      <c r="BS893" s="153" t="n">
        <f aca="false">IF(ISNUMBER(FIND("-", BR893)), LEFT(BR893, FIND("-", BR893) - 1), BR893)</f>
        <v>0</v>
      </c>
      <c r="BT893" s="189" t="n">
        <f aca="false">L893-M893+O893</f>
        <v>0</v>
      </c>
    </row>
    <row r="894" s="153" customFormat="true" ht="15" hidden="false" customHeight="false" outlineLevel="0" collapsed="false">
      <c r="AN894" s="153" t="e">
        <v>#NAME?</v>
      </c>
      <c r="AO894" s="153" t="e">
        <f aca="false">_xlfn.xlookup(AN894,A:A,F:F)</f>
        <v>#NAME?</v>
      </c>
      <c r="AP894" s="153" t="e">
        <f aca="false">_xlfn.xlookup(AN894,A:A,J:J)</f>
        <v>#NAME?</v>
      </c>
      <c r="AQ894" s="153" t="e">
        <f aca="false">_xlfn.xlookup(AN894,A:A,N:N)+_xlfn.xlookup(AN894,A:A,O:O)</f>
        <v>#NAME?</v>
      </c>
      <c r="AR894" s="150" t="e">
        <f aca="false">_xlfn.xlookup(AN894,A:A,AH:AH)</f>
        <v>#NAME?</v>
      </c>
      <c r="AS894" s="150" t="e">
        <f aca="false">_xlfn.xlookup(AN894,A:A,S:S)</f>
        <v>#NAME?</v>
      </c>
      <c r="AT894" s="150" t="e">
        <f aca="false">_xlfn.xlookup(AN894,A:A,AE:AE)</f>
        <v>#NAME?</v>
      </c>
      <c r="AU894" s="150" t="e">
        <f aca="false">_xlfn.xlookup(AN894,A:A,AF:AF)</f>
        <v>#NAME?</v>
      </c>
      <c r="AX894" s="146"/>
      <c r="AY894" s="150"/>
      <c r="AZ894" s="150"/>
      <c r="BA894" s="150"/>
      <c r="BB894" s="146"/>
      <c r="BC894" s="146"/>
      <c r="BD894" s="151"/>
      <c r="BE894" s="146"/>
      <c r="BF894" s="146"/>
      <c r="BH894" s="152" t="e">
        <f aca="false">_xlfn.xlookup(BG894,A:A,F:F)</f>
        <v>#NAME?</v>
      </c>
      <c r="BI894" s="153" t="e">
        <f aca="false">_xlfn.xlookup(BG894,A:A,J:J)</f>
        <v>#NAME?</v>
      </c>
      <c r="BJ894" s="153" t="e">
        <f aca="false">_xlfn.xlookup(BG894,A:A,N:N)+_xlfn.xlookup(BG894,A:A,O:O)</f>
        <v>#NAME?</v>
      </c>
      <c r="BK894" s="153" t="e">
        <f aca="false">_xlfn.xlookup(BG894,A843:A1837,AB843:AB1837)</f>
        <v>#NAME?</v>
      </c>
      <c r="BN894" s="146"/>
      <c r="BO894" s="150"/>
      <c r="BQ894" s="153" t="str">
        <f aca="false">IF(VALUE(MONTH(C894))&lt;10,YEAR(C894)&amp;"-0"&amp;MONTH(C894),YEAR(C894)&amp;"-"&amp;MONTH(C894))</f>
        <v>1900-01</v>
      </c>
      <c r="BR894" s="153" t="n">
        <f aca="false">J894</f>
        <v>0</v>
      </c>
      <c r="BS894" s="153" t="n">
        <f aca="false">IF(ISNUMBER(FIND("-", BR894)), LEFT(BR894, FIND("-", BR894) - 1), BR894)</f>
        <v>0</v>
      </c>
      <c r="BT894" s="189" t="n">
        <f aca="false">L894-M894+O894</f>
        <v>0</v>
      </c>
    </row>
    <row r="895" s="153" customFormat="true" ht="15" hidden="false" customHeight="false" outlineLevel="0" collapsed="false">
      <c r="AN895" s="153" t="e">
        <v>#NAME?</v>
      </c>
      <c r="AO895" s="153" t="e">
        <f aca="false">_xlfn.xlookup(AN895,A:A,F:F)</f>
        <v>#NAME?</v>
      </c>
      <c r="AP895" s="153" t="e">
        <f aca="false">_xlfn.xlookup(AN895,A:A,J:J)</f>
        <v>#NAME?</v>
      </c>
      <c r="AQ895" s="153" t="e">
        <f aca="false">_xlfn.xlookup(AN895,A:A,N:N)+_xlfn.xlookup(AN895,A:A,O:O)</f>
        <v>#NAME?</v>
      </c>
      <c r="AR895" s="150" t="e">
        <f aca="false">_xlfn.xlookup(AN895,A:A,AH:AH)</f>
        <v>#NAME?</v>
      </c>
      <c r="AS895" s="150" t="e">
        <f aca="false">_xlfn.xlookup(AN895,A:A,S:S)</f>
        <v>#NAME?</v>
      </c>
      <c r="AT895" s="150" t="e">
        <f aca="false">_xlfn.xlookup(AN895,A:A,AE:AE)</f>
        <v>#NAME?</v>
      </c>
      <c r="AU895" s="150" t="e">
        <f aca="false">_xlfn.xlookup(AN895,A:A,AF:AF)</f>
        <v>#NAME?</v>
      </c>
      <c r="AX895" s="146"/>
      <c r="AY895" s="150"/>
      <c r="AZ895" s="150"/>
      <c r="BA895" s="150"/>
      <c r="BB895" s="146"/>
      <c r="BC895" s="146"/>
      <c r="BD895" s="151"/>
      <c r="BE895" s="146"/>
      <c r="BF895" s="146"/>
      <c r="BH895" s="152" t="e">
        <f aca="false">_xlfn.xlookup(BG895,A:A,F:F)</f>
        <v>#NAME?</v>
      </c>
      <c r="BI895" s="153" t="e">
        <f aca="false">_xlfn.xlookup(BG895,A:A,J:J)</f>
        <v>#NAME?</v>
      </c>
      <c r="BJ895" s="153" t="e">
        <f aca="false">_xlfn.xlookup(BG895,A:A,N:N)+_xlfn.xlookup(BG895,A:A,O:O)</f>
        <v>#NAME?</v>
      </c>
      <c r="BK895" s="153" t="e">
        <f aca="false">_xlfn.xlookup(BG895,A844:A1838,AB844:AB1838)</f>
        <v>#NAME?</v>
      </c>
      <c r="BN895" s="146"/>
      <c r="BO895" s="150"/>
      <c r="BQ895" s="153" t="str">
        <f aca="false">IF(VALUE(MONTH(C895))&lt;10,YEAR(C895)&amp;"-0"&amp;MONTH(C895),YEAR(C895)&amp;"-"&amp;MONTH(C895))</f>
        <v>1900-01</v>
      </c>
      <c r="BR895" s="153" t="n">
        <f aca="false">J895</f>
        <v>0</v>
      </c>
      <c r="BS895" s="153" t="n">
        <f aca="false">IF(ISNUMBER(FIND("-", BR895)), LEFT(BR895, FIND("-", BR895) - 1), BR895)</f>
        <v>0</v>
      </c>
      <c r="BT895" s="189" t="n">
        <f aca="false">L895-M895+O895</f>
        <v>0</v>
      </c>
    </row>
    <row r="896" s="153" customFormat="true" ht="15" hidden="false" customHeight="false" outlineLevel="0" collapsed="false">
      <c r="AN896" s="153" t="e">
        <v>#NAME?</v>
      </c>
      <c r="AO896" s="153" t="e">
        <f aca="false">_xlfn.xlookup(AN896,A:A,F:F)</f>
        <v>#NAME?</v>
      </c>
      <c r="AP896" s="153" t="e">
        <f aca="false">_xlfn.xlookup(AN896,A:A,J:J)</f>
        <v>#NAME?</v>
      </c>
      <c r="AQ896" s="153" t="e">
        <f aca="false">_xlfn.xlookup(AN896,A:A,N:N)+_xlfn.xlookup(AN896,A:A,O:O)</f>
        <v>#NAME?</v>
      </c>
      <c r="AR896" s="150" t="e">
        <f aca="false">_xlfn.xlookup(AN896,A:A,AH:AH)</f>
        <v>#NAME?</v>
      </c>
      <c r="AS896" s="150" t="e">
        <f aca="false">_xlfn.xlookup(AN896,A:A,S:S)</f>
        <v>#NAME?</v>
      </c>
      <c r="AT896" s="150" t="e">
        <f aca="false">_xlfn.xlookup(AN896,A:A,AE:AE)</f>
        <v>#NAME?</v>
      </c>
      <c r="AU896" s="150" t="e">
        <f aca="false">_xlfn.xlookup(AN896,A:A,AF:AF)</f>
        <v>#NAME?</v>
      </c>
      <c r="AX896" s="146"/>
      <c r="AY896" s="150"/>
      <c r="AZ896" s="150"/>
      <c r="BA896" s="150"/>
      <c r="BB896" s="146"/>
      <c r="BC896" s="146"/>
      <c r="BD896" s="151"/>
      <c r="BE896" s="146"/>
      <c r="BF896" s="146"/>
      <c r="BH896" s="152" t="e">
        <f aca="false">_xlfn.xlookup(BG896,A:A,F:F)</f>
        <v>#NAME?</v>
      </c>
      <c r="BI896" s="153" t="e">
        <f aca="false">_xlfn.xlookup(BG896,A:A,J:J)</f>
        <v>#NAME?</v>
      </c>
      <c r="BJ896" s="153" t="e">
        <f aca="false">_xlfn.xlookup(BG896,A:A,N:N)+_xlfn.xlookup(BG896,A:A,O:O)</f>
        <v>#NAME?</v>
      </c>
      <c r="BK896" s="153" t="e">
        <f aca="false">_xlfn.xlookup(BG896,A845:A1839,AB845:AB1839)</f>
        <v>#NAME?</v>
      </c>
      <c r="BN896" s="146"/>
      <c r="BO896" s="150"/>
      <c r="BQ896" s="153" t="str">
        <f aca="false">IF(VALUE(MONTH(C896))&lt;10,YEAR(C896)&amp;"-0"&amp;MONTH(C896),YEAR(C896)&amp;"-"&amp;MONTH(C896))</f>
        <v>1900-01</v>
      </c>
      <c r="BR896" s="153" t="n">
        <f aca="false">J896</f>
        <v>0</v>
      </c>
      <c r="BS896" s="153" t="n">
        <f aca="false">IF(ISNUMBER(FIND("-", BR896)), LEFT(BR896, FIND("-", BR896) - 1), BR896)</f>
        <v>0</v>
      </c>
      <c r="BT896" s="189" t="n">
        <f aca="false">L896-M896+O896</f>
        <v>0</v>
      </c>
    </row>
    <row r="897" s="153" customFormat="true" ht="15" hidden="false" customHeight="false" outlineLevel="0" collapsed="false">
      <c r="AN897" s="153" t="e">
        <v>#NAME?</v>
      </c>
      <c r="AO897" s="153" t="e">
        <f aca="false">_xlfn.xlookup(AN897,A:A,F:F)</f>
        <v>#NAME?</v>
      </c>
      <c r="AP897" s="153" t="e">
        <f aca="false">_xlfn.xlookup(AN897,A:A,J:J)</f>
        <v>#NAME?</v>
      </c>
      <c r="AQ897" s="153" t="e">
        <f aca="false">_xlfn.xlookup(AN897,A:A,N:N)+_xlfn.xlookup(AN897,A:A,O:O)</f>
        <v>#NAME?</v>
      </c>
      <c r="AR897" s="150" t="e">
        <f aca="false">_xlfn.xlookup(AN897,A:A,AH:AH)</f>
        <v>#NAME?</v>
      </c>
      <c r="AS897" s="150" t="e">
        <f aca="false">_xlfn.xlookup(AN897,A:A,S:S)</f>
        <v>#NAME?</v>
      </c>
      <c r="AT897" s="150" t="e">
        <f aca="false">_xlfn.xlookup(AN897,A:A,AE:AE)</f>
        <v>#NAME?</v>
      </c>
      <c r="AU897" s="150" t="e">
        <f aca="false">_xlfn.xlookup(AN897,A:A,AF:AF)</f>
        <v>#NAME?</v>
      </c>
      <c r="AX897" s="146"/>
      <c r="AY897" s="150"/>
      <c r="AZ897" s="150"/>
      <c r="BA897" s="150"/>
      <c r="BB897" s="146"/>
      <c r="BC897" s="146"/>
      <c r="BD897" s="151"/>
      <c r="BE897" s="146"/>
      <c r="BF897" s="146"/>
      <c r="BH897" s="152" t="e">
        <f aca="false">_xlfn.xlookup(BG897,A:A,F:F)</f>
        <v>#NAME?</v>
      </c>
      <c r="BI897" s="153" t="e">
        <f aca="false">_xlfn.xlookup(BG897,A:A,J:J)</f>
        <v>#NAME?</v>
      </c>
      <c r="BJ897" s="153" t="e">
        <f aca="false">_xlfn.xlookup(BG897,A:A,N:N)+_xlfn.xlookup(BG897,A:A,O:O)</f>
        <v>#NAME?</v>
      </c>
      <c r="BK897" s="153" t="e">
        <f aca="false">_xlfn.xlookup(BG897,A846:A1840,AB846:AB1840)</f>
        <v>#NAME?</v>
      </c>
      <c r="BN897" s="146"/>
      <c r="BO897" s="150"/>
      <c r="BQ897" s="153" t="str">
        <f aca="false">IF(VALUE(MONTH(C897))&lt;10,YEAR(C897)&amp;"-0"&amp;MONTH(C897),YEAR(C897)&amp;"-"&amp;MONTH(C897))</f>
        <v>1900-01</v>
      </c>
      <c r="BR897" s="153" t="n">
        <f aca="false">J897</f>
        <v>0</v>
      </c>
      <c r="BS897" s="153" t="n">
        <f aca="false">IF(ISNUMBER(FIND("-", BR897)), LEFT(BR897, FIND("-", BR897) - 1), BR897)</f>
        <v>0</v>
      </c>
      <c r="BT897" s="189" t="n">
        <f aca="false">L897-M897+O897</f>
        <v>0</v>
      </c>
    </row>
    <row r="898" s="153" customFormat="true" ht="15" hidden="false" customHeight="false" outlineLevel="0" collapsed="false">
      <c r="AN898" s="153" t="e">
        <v>#NAME?</v>
      </c>
      <c r="AO898" s="153" t="e">
        <f aca="false">_xlfn.xlookup(AN898,A:A,F:F)</f>
        <v>#NAME?</v>
      </c>
      <c r="AP898" s="153" t="e">
        <f aca="false">_xlfn.xlookup(AN898,A:A,J:J)</f>
        <v>#NAME?</v>
      </c>
      <c r="AQ898" s="153" t="e">
        <f aca="false">_xlfn.xlookup(AN898,A:A,N:N)+_xlfn.xlookup(AN898,A:A,O:O)</f>
        <v>#NAME?</v>
      </c>
      <c r="AR898" s="150" t="e">
        <f aca="false">_xlfn.xlookup(AN898,A:A,AH:AH)</f>
        <v>#NAME?</v>
      </c>
      <c r="AS898" s="150" t="e">
        <f aca="false">_xlfn.xlookup(AN898,A:A,S:S)</f>
        <v>#NAME?</v>
      </c>
      <c r="AT898" s="150" t="e">
        <f aca="false">_xlfn.xlookup(AN898,A:A,AE:AE)</f>
        <v>#NAME?</v>
      </c>
      <c r="AU898" s="150" t="e">
        <f aca="false">_xlfn.xlookup(AN898,A:A,AF:AF)</f>
        <v>#NAME?</v>
      </c>
      <c r="AX898" s="146"/>
      <c r="AY898" s="150"/>
      <c r="AZ898" s="150"/>
      <c r="BA898" s="150"/>
      <c r="BB898" s="146"/>
      <c r="BC898" s="146"/>
      <c r="BD898" s="151"/>
      <c r="BE898" s="146"/>
      <c r="BF898" s="146"/>
      <c r="BH898" s="152" t="e">
        <f aca="false">_xlfn.xlookup(BG898,A:A,F:F)</f>
        <v>#NAME?</v>
      </c>
      <c r="BI898" s="153" t="e">
        <f aca="false">_xlfn.xlookup(BG898,A:A,J:J)</f>
        <v>#NAME?</v>
      </c>
      <c r="BJ898" s="153" t="e">
        <f aca="false">_xlfn.xlookup(BG898,A:A,N:N)+_xlfn.xlookup(BG898,A:A,O:O)</f>
        <v>#NAME?</v>
      </c>
      <c r="BK898" s="153" t="e">
        <f aca="false">_xlfn.xlookup(BG898,A847:A1841,AB847:AB1841)</f>
        <v>#NAME?</v>
      </c>
      <c r="BN898" s="146"/>
      <c r="BO898" s="150"/>
      <c r="BQ898" s="153" t="str">
        <f aca="false">IF(VALUE(MONTH(C898))&lt;10,YEAR(C898)&amp;"-0"&amp;MONTH(C898),YEAR(C898)&amp;"-"&amp;MONTH(C898))</f>
        <v>1900-01</v>
      </c>
      <c r="BR898" s="153" t="n">
        <f aca="false">J898</f>
        <v>0</v>
      </c>
      <c r="BS898" s="153" t="n">
        <f aca="false">IF(ISNUMBER(FIND("-", BR898)), LEFT(BR898, FIND("-", BR898) - 1), BR898)</f>
        <v>0</v>
      </c>
      <c r="BT898" s="189" t="n">
        <f aca="false">L898-M898+O898</f>
        <v>0</v>
      </c>
    </row>
    <row r="899" s="153" customFormat="true" ht="15" hidden="false" customHeight="false" outlineLevel="0" collapsed="false">
      <c r="AN899" s="153" t="e">
        <v>#NAME?</v>
      </c>
      <c r="AO899" s="153" t="e">
        <f aca="false">_xlfn.xlookup(AN899,A:A,F:F)</f>
        <v>#NAME?</v>
      </c>
      <c r="AP899" s="153" t="e">
        <f aca="false">_xlfn.xlookup(AN899,A:A,J:J)</f>
        <v>#NAME?</v>
      </c>
      <c r="AQ899" s="153" t="e">
        <f aca="false">_xlfn.xlookup(AN899,A:A,N:N)+_xlfn.xlookup(AN899,A:A,O:O)</f>
        <v>#NAME?</v>
      </c>
      <c r="AR899" s="150" t="e">
        <f aca="false">_xlfn.xlookup(AN899,A:A,AH:AH)</f>
        <v>#NAME?</v>
      </c>
      <c r="AS899" s="150" t="e">
        <f aca="false">_xlfn.xlookup(AN899,A:A,S:S)</f>
        <v>#NAME?</v>
      </c>
      <c r="AT899" s="150" t="e">
        <f aca="false">_xlfn.xlookup(AN899,A:A,AE:AE)</f>
        <v>#NAME?</v>
      </c>
      <c r="AU899" s="150" t="e">
        <f aca="false">_xlfn.xlookup(AN899,A:A,AF:AF)</f>
        <v>#NAME?</v>
      </c>
      <c r="AX899" s="146"/>
      <c r="AY899" s="150"/>
      <c r="AZ899" s="150"/>
      <c r="BA899" s="150"/>
      <c r="BB899" s="146"/>
      <c r="BC899" s="146"/>
      <c r="BD899" s="151"/>
      <c r="BE899" s="146"/>
      <c r="BF899" s="146"/>
      <c r="BH899" s="152" t="e">
        <f aca="false">_xlfn.xlookup(BG899,A:A,F:F)</f>
        <v>#NAME?</v>
      </c>
      <c r="BI899" s="153" t="e">
        <f aca="false">_xlfn.xlookup(BG899,A:A,J:J)</f>
        <v>#NAME?</v>
      </c>
      <c r="BJ899" s="153" t="e">
        <f aca="false">_xlfn.xlookup(BG899,A:A,N:N)+_xlfn.xlookup(BG899,A:A,O:O)</f>
        <v>#NAME?</v>
      </c>
      <c r="BK899" s="153" t="e">
        <f aca="false">_xlfn.xlookup(BG899,A848:A1842,AB848:AB1842)</f>
        <v>#NAME?</v>
      </c>
      <c r="BN899" s="146"/>
      <c r="BO899" s="150"/>
      <c r="BQ899" s="153" t="str">
        <f aca="false">IF(VALUE(MONTH(C899))&lt;10,YEAR(C899)&amp;"-0"&amp;MONTH(C899),YEAR(C899)&amp;"-"&amp;MONTH(C899))</f>
        <v>1900-01</v>
      </c>
      <c r="BR899" s="153" t="n">
        <f aca="false">J899</f>
        <v>0</v>
      </c>
      <c r="BS899" s="153" t="n">
        <f aca="false">IF(ISNUMBER(FIND("-", BR899)), LEFT(BR899, FIND("-", BR899) - 1), BR899)</f>
        <v>0</v>
      </c>
      <c r="BT899" s="189" t="n">
        <f aca="false">L899-M899+O899</f>
        <v>0</v>
      </c>
    </row>
    <row r="900" s="153" customFormat="true" ht="15" hidden="false" customHeight="false" outlineLevel="0" collapsed="false">
      <c r="AN900" s="153" t="e">
        <v>#NAME?</v>
      </c>
      <c r="AO900" s="153" t="e">
        <f aca="false">_xlfn.xlookup(AN900,A:A,F:F)</f>
        <v>#NAME?</v>
      </c>
      <c r="AP900" s="153" t="e">
        <f aca="false">_xlfn.xlookup(AN900,A:A,J:J)</f>
        <v>#NAME?</v>
      </c>
      <c r="AQ900" s="153" t="e">
        <f aca="false">_xlfn.xlookup(AN900,A:A,N:N)+_xlfn.xlookup(AN900,A:A,O:O)</f>
        <v>#NAME?</v>
      </c>
      <c r="AR900" s="150" t="e">
        <f aca="false">_xlfn.xlookup(AN900,A:A,AH:AH)</f>
        <v>#NAME?</v>
      </c>
      <c r="AS900" s="150" t="e">
        <f aca="false">_xlfn.xlookup(AN900,A:A,S:S)</f>
        <v>#NAME?</v>
      </c>
      <c r="AT900" s="150" t="e">
        <f aca="false">_xlfn.xlookup(AN900,A:A,AE:AE)</f>
        <v>#NAME?</v>
      </c>
      <c r="AU900" s="150" t="e">
        <f aca="false">_xlfn.xlookup(AN900,A:A,AF:AF)</f>
        <v>#NAME?</v>
      </c>
      <c r="AX900" s="146"/>
      <c r="AY900" s="150"/>
      <c r="AZ900" s="150"/>
      <c r="BA900" s="150"/>
      <c r="BB900" s="146"/>
      <c r="BC900" s="146"/>
      <c r="BD900" s="151"/>
      <c r="BE900" s="146"/>
      <c r="BF900" s="146"/>
      <c r="BH900" s="152" t="e">
        <f aca="false">_xlfn.xlookup(BG900,A:A,F:F)</f>
        <v>#NAME?</v>
      </c>
      <c r="BI900" s="153" t="e">
        <f aca="false">_xlfn.xlookup(BG900,A:A,J:J)</f>
        <v>#NAME?</v>
      </c>
      <c r="BJ900" s="153" t="e">
        <f aca="false">_xlfn.xlookup(BG900,A:A,N:N)+_xlfn.xlookup(BG900,A:A,O:O)</f>
        <v>#NAME?</v>
      </c>
      <c r="BK900" s="153" t="e">
        <f aca="false">_xlfn.xlookup(BG900,A849:A1843,AB849:AB1843)</f>
        <v>#NAME?</v>
      </c>
      <c r="BN900" s="146"/>
      <c r="BO900" s="150"/>
      <c r="BQ900" s="153" t="str">
        <f aca="false">IF(VALUE(MONTH(C900))&lt;10,YEAR(C900)&amp;"-0"&amp;MONTH(C900),YEAR(C900)&amp;"-"&amp;MONTH(C900))</f>
        <v>1900-01</v>
      </c>
      <c r="BR900" s="153" t="n">
        <f aca="false">J900</f>
        <v>0</v>
      </c>
      <c r="BS900" s="153" t="n">
        <f aca="false">IF(ISNUMBER(FIND("-", BR900)), LEFT(BR900, FIND("-", BR900) - 1), BR900)</f>
        <v>0</v>
      </c>
      <c r="BT900" s="189" t="n">
        <f aca="false">L900-M900+O900</f>
        <v>0</v>
      </c>
    </row>
    <row r="901" s="153" customFormat="true" ht="15" hidden="false" customHeight="false" outlineLevel="0" collapsed="false">
      <c r="AN901" s="153" t="e">
        <v>#NAME?</v>
      </c>
      <c r="AO901" s="153" t="e">
        <f aca="false">_xlfn.xlookup(AN901,A:A,F:F)</f>
        <v>#NAME?</v>
      </c>
      <c r="AP901" s="153" t="e">
        <f aca="false">_xlfn.xlookup(AN901,A:A,J:J)</f>
        <v>#NAME?</v>
      </c>
      <c r="AQ901" s="153" t="e">
        <f aca="false">_xlfn.xlookup(AN901,A:A,N:N)+_xlfn.xlookup(AN901,A:A,O:O)</f>
        <v>#NAME?</v>
      </c>
      <c r="AR901" s="150" t="e">
        <f aca="false">_xlfn.xlookup(AN901,A:A,AH:AH)</f>
        <v>#NAME?</v>
      </c>
      <c r="AS901" s="150" t="e">
        <f aca="false">_xlfn.xlookup(AN901,A:A,S:S)</f>
        <v>#NAME?</v>
      </c>
      <c r="AT901" s="150" t="e">
        <f aca="false">_xlfn.xlookup(AN901,A:A,AE:AE)</f>
        <v>#NAME?</v>
      </c>
      <c r="AU901" s="150" t="e">
        <f aca="false">_xlfn.xlookup(AN901,A:A,AF:AF)</f>
        <v>#NAME?</v>
      </c>
      <c r="AX901" s="146"/>
      <c r="AY901" s="150"/>
      <c r="AZ901" s="150"/>
      <c r="BA901" s="150"/>
      <c r="BB901" s="146"/>
      <c r="BC901" s="146"/>
      <c r="BD901" s="151"/>
      <c r="BE901" s="146"/>
      <c r="BF901" s="146"/>
      <c r="BH901" s="152" t="e">
        <f aca="false">_xlfn.xlookup(BG901,A:A,F:F)</f>
        <v>#NAME?</v>
      </c>
      <c r="BI901" s="153" t="e">
        <f aca="false">_xlfn.xlookup(BG901,A:A,J:J)</f>
        <v>#NAME?</v>
      </c>
      <c r="BJ901" s="153" t="e">
        <f aca="false">_xlfn.xlookup(BG901,A:A,N:N)+_xlfn.xlookup(BG901,A:A,O:O)</f>
        <v>#NAME?</v>
      </c>
      <c r="BK901" s="153" t="e">
        <f aca="false">_xlfn.xlookup(BG901,A850:A1844,AB850:AB1844)</f>
        <v>#NAME?</v>
      </c>
      <c r="BN901" s="146"/>
      <c r="BO901" s="150"/>
      <c r="BQ901" s="153" t="str">
        <f aca="false">IF(VALUE(MONTH(C901))&lt;10,YEAR(C901)&amp;"-0"&amp;MONTH(C901),YEAR(C901)&amp;"-"&amp;MONTH(C901))</f>
        <v>1900-01</v>
      </c>
      <c r="BR901" s="153" t="n">
        <f aca="false">J901</f>
        <v>0</v>
      </c>
      <c r="BS901" s="153" t="n">
        <f aca="false">IF(ISNUMBER(FIND("-", BR901)), LEFT(BR901, FIND("-", BR901) - 1), BR901)</f>
        <v>0</v>
      </c>
      <c r="BT901" s="189" t="n">
        <f aca="false">L901-M901+O901</f>
        <v>0</v>
      </c>
    </row>
    <row r="902" s="153" customFormat="true" ht="15" hidden="false" customHeight="false" outlineLevel="0" collapsed="false">
      <c r="AN902" s="153" t="e">
        <v>#NAME?</v>
      </c>
      <c r="AO902" s="153" t="e">
        <f aca="false">_xlfn.xlookup(AN902,A:A,F:F)</f>
        <v>#NAME?</v>
      </c>
      <c r="AP902" s="153" t="e">
        <f aca="false">_xlfn.xlookup(AN902,A:A,J:J)</f>
        <v>#NAME?</v>
      </c>
      <c r="AQ902" s="153" t="e">
        <f aca="false">_xlfn.xlookup(AN902,A:A,N:N)+_xlfn.xlookup(AN902,A:A,O:O)</f>
        <v>#NAME?</v>
      </c>
      <c r="AR902" s="150" t="e">
        <f aca="false">_xlfn.xlookup(AN902,A:A,AH:AH)</f>
        <v>#NAME?</v>
      </c>
      <c r="AS902" s="150" t="e">
        <f aca="false">_xlfn.xlookup(AN902,A:A,S:S)</f>
        <v>#NAME?</v>
      </c>
      <c r="AT902" s="150" t="e">
        <f aca="false">_xlfn.xlookup(AN902,A:A,AE:AE)</f>
        <v>#NAME?</v>
      </c>
      <c r="AU902" s="150" t="e">
        <f aca="false">_xlfn.xlookup(AN902,A:A,AF:AF)</f>
        <v>#NAME?</v>
      </c>
      <c r="AX902" s="146"/>
      <c r="AY902" s="150"/>
      <c r="AZ902" s="150"/>
      <c r="BA902" s="150"/>
      <c r="BB902" s="146"/>
      <c r="BC902" s="146"/>
      <c r="BD902" s="151"/>
      <c r="BE902" s="146"/>
      <c r="BF902" s="146"/>
      <c r="BH902" s="152" t="e">
        <f aca="false">_xlfn.xlookup(BG902,A:A,F:F)</f>
        <v>#NAME?</v>
      </c>
      <c r="BI902" s="153" t="e">
        <f aca="false">_xlfn.xlookup(BG902,A:A,J:J)</f>
        <v>#NAME?</v>
      </c>
      <c r="BJ902" s="153" t="e">
        <f aca="false">_xlfn.xlookup(BG902,A:A,N:N)+_xlfn.xlookup(BG902,A:A,O:O)</f>
        <v>#NAME?</v>
      </c>
      <c r="BK902" s="153" t="e">
        <f aca="false">_xlfn.xlookup(BG902,A851:A1845,AB851:AB1845)</f>
        <v>#NAME?</v>
      </c>
      <c r="BN902" s="146"/>
      <c r="BO902" s="150"/>
      <c r="BQ902" s="153" t="str">
        <f aca="false">IF(VALUE(MONTH(C902))&lt;10,YEAR(C902)&amp;"-0"&amp;MONTH(C902),YEAR(C902)&amp;"-"&amp;MONTH(C902))</f>
        <v>1900-01</v>
      </c>
      <c r="BR902" s="153" t="n">
        <f aca="false">J902</f>
        <v>0</v>
      </c>
      <c r="BS902" s="153" t="n">
        <f aca="false">IF(ISNUMBER(FIND("-", BR902)), LEFT(BR902, FIND("-", BR902) - 1), BR902)</f>
        <v>0</v>
      </c>
      <c r="BT902" s="189" t="n">
        <f aca="false">L902-M902+O902</f>
        <v>0</v>
      </c>
    </row>
    <row r="903" s="153" customFormat="true" ht="15" hidden="false" customHeight="false" outlineLevel="0" collapsed="false">
      <c r="AN903" s="153" t="e">
        <v>#NAME?</v>
      </c>
      <c r="AO903" s="153" t="e">
        <f aca="false">_xlfn.xlookup(AN903,A:A,F:F)</f>
        <v>#NAME?</v>
      </c>
      <c r="AP903" s="153" t="e">
        <f aca="false">_xlfn.xlookup(AN903,A:A,J:J)</f>
        <v>#NAME?</v>
      </c>
      <c r="AQ903" s="153" t="e">
        <f aca="false">_xlfn.xlookup(AN903,A:A,N:N)+_xlfn.xlookup(AN903,A:A,O:O)</f>
        <v>#NAME?</v>
      </c>
      <c r="AR903" s="150" t="e">
        <f aca="false">_xlfn.xlookup(AN903,A:A,AH:AH)</f>
        <v>#NAME?</v>
      </c>
      <c r="AS903" s="150" t="e">
        <f aca="false">_xlfn.xlookup(AN903,A:A,S:S)</f>
        <v>#NAME?</v>
      </c>
      <c r="AT903" s="150" t="e">
        <f aca="false">_xlfn.xlookup(AN903,A:A,AE:AE)</f>
        <v>#NAME?</v>
      </c>
      <c r="AU903" s="150" t="e">
        <f aca="false">_xlfn.xlookup(AN903,A:A,AF:AF)</f>
        <v>#NAME?</v>
      </c>
      <c r="AX903" s="146"/>
      <c r="AY903" s="150"/>
      <c r="AZ903" s="150"/>
      <c r="BA903" s="150"/>
      <c r="BB903" s="146"/>
      <c r="BC903" s="146"/>
      <c r="BD903" s="151"/>
      <c r="BE903" s="146"/>
      <c r="BF903" s="146"/>
      <c r="BH903" s="152" t="e">
        <f aca="false">_xlfn.xlookup(BG903,A:A,F:F)</f>
        <v>#NAME?</v>
      </c>
      <c r="BI903" s="153" t="e">
        <f aca="false">_xlfn.xlookup(BG903,A:A,J:J)</f>
        <v>#NAME?</v>
      </c>
      <c r="BJ903" s="153" t="e">
        <f aca="false">_xlfn.xlookup(BG903,A:A,N:N)+_xlfn.xlookup(BG903,A:A,O:O)</f>
        <v>#NAME?</v>
      </c>
      <c r="BK903" s="153" t="e">
        <f aca="false">_xlfn.xlookup(BG903,A852:A1846,AB852:AB1846)</f>
        <v>#NAME?</v>
      </c>
      <c r="BN903" s="146"/>
      <c r="BO903" s="150"/>
      <c r="BQ903" s="153" t="str">
        <f aca="false">IF(VALUE(MONTH(C903))&lt;10,YEAR(C903)&amp;"-0"&amp;MONTH(C903),YEAR(C903)&amp;"-"&amp;MONTH(C903))</f>
        <v>1900-01</v>
      </c>
      <c r="BR903" s="153" t="n">
        <f aca="false">J903</f>
        <v>0</v>
      </c>
      <c r="BS903" s="153" t="n">
        <f aca="false">IF(ISNUMBER(FIND("-", BR903)), LEFT(BR903, FIND("-", BR903) - 1), BR903)</f>
        <v>0</v>
      </c>
      <c r="BT903" s="189" t="n">
        <f aca="false">L903-M903+O903</f>
        <v>0</v>
      </c>
    </row>
    <row r="904" s="153" customFormat="true" ht="15" hidden="false" customHeight="false" outlineLevel="0" collapsed="false">
      <c r="AN904" s="153" t="e">
        <v>#NAME?</v>
      </c>
      <c r="AO904" s="153" t="e">
        <f aca="false">_xlfn.xlookup(AN904,A:A,F:F)</f>
        <v>#NAME?</v>
      </c>
      <c r="AP904" s="153" t="e">
        <f aca="false">_xlfn.xlookup(AN904,A:A,J:J)</f>
        <v>#NAME?</v>
      </c>
      <c r="AQ904" s="153" t="e">
        <f aca="false">_xlfn.xlookup(AN904,A:A,N:N)+_xlfn.xlookup(AN904,A:A,O:O)</f>
        <v>#NAME?</v>
      </c>
      <c r="AR904" s="150" t="e">
        <f aca="false">_xlfn.xlookup(AN904,A:A,AH:AH)</f>
        <v>#NAME?</v>
      </c>
      <c r="AS904" s="150" t="e">
        <f aca="false">_xlfn.xlookup(AN904,A:A,S:S)</f>
        <v>#NAME?</v>
      </c>
      <c r="AT904" s="150" t="e">
        <f aca="false">_xlfn.xlookup(AN904,A:A,AE:AE)</f>
        <v>#NAME?</v>
      </c>
      <c r="AU904" s="150" t="e">
        <f aca="false">_xlfn.xlookup(AN904,A:A,AF:AF)</f>
        <v>#NAME?</v>
      </c>
      <c r="AX904" s="146"/>
      <c r="AY904" s="150"/>
      <c r="AZ904" s="150"/>
      <c r="BA904" s="150"/>
      <c r="BB904" s="146"/>
      <c r="BC904" s="146"/>
      <c r="BD904" s="151"/>
      <c r="BE904" s="146"/>
      <c r="BF904" s="146"/>
      <c r="BH904" s="152" t="e">
        <f aca="false">_xlfn.xlookup(BG904,A:A,F:F)</f>
        <v>#NAME?</v>
      </c>
      <c r="BI904" s="153" t="e">
        <f aca="false">_xlfn.xlookup(BG904,A:A,J:J)</f>
        <v>#NAME?</v>
      </c>
      <c r="BJ904" s="153" t="e">
        <f aca="false">_xlfn.xlookup(BG904,A:A,N:N)+_xlfn.xlookup(BG904,A:A,O:O)</f>
        <v>#NAME?</v>
      </c>
      <c r="BK904" s="153" t="e">
        <f aca="false">_xlfn.xlookup(BG904,A853:A1847,AB853:AB1847)</f>
        <v>#NAME?</v>
      </c>
      <c r="BN904" s="146"/>
      <c r="BO904" s="150"/>
      <c r="BQ904" s="153" t="str">
        <f aca="false">IF(VALUE(MONTH(C904))&lt;10,YEAR(C904)&amp;"-0"&amp;MONTH(C904),YEAR(C904)&amp;"-"&amp;MONTH(C904))</f>
        <v>1900-01</v>
      </c>
      <c r="BR904" s="153" t="n">
        <f aca="false">J904</f>
        <v>0</v>
      </c>
      <c r="BS904" s="153" t="n">
        <f aca="false">IF(ISNUMBER(FIND("-", BR904)), LEFT(BR904, FIND("-", BR904) - 1), BR904)</f>
        <v>0</v>
      </c>
      <c r="BT904" s="189" t="n">
        <f aca="false">L904-M904+O904</f>
        <v>0</v>
      </c>
    </row>
    <row r="905" s="153" customFormat="true" ht="15" hidden="false" customHeight="false" outlineLevel="0" collapsed="false">
      <c r="AN905" s="153" t="e">
        <v>#NAME?</v>
      </c>
      <c r="AO905" s="153" t="e">
        <f aca="false">_xlfn.xlookup(AN905,A:A,F:F)</f>
        <v>#NAME?</v>
      </c>
      <c r="AP905" s="153" t="e">
        <f aca="false">_xlfn.xlookup(AN905,A:A,J:J)</f>
        <v>#NAME?</v>
      </c>
      <c r="AQ905" s="153" t="e">
        <f aca="false">_xlfn.xlookup(AN905,A:A,N:N)+_xlfn.xlookup(AN905,A:A,O:O)</f>
        <v>#NAME?</v>
      </c>
      <c r="AR905" s="150" t="e">
        <f aca="false">_xlfn.xlookup(AN905,A:A,AH:AH)</f>
        <v>#NAME?</v>
      </c>
      <c r="AS905" s="150" t="e">
        <f aca="false">_xlfn.xlookup(AN905,A:A,S:S)</f>
        <v>#NAME?</v>
      </c>
      <c r="AT905" s="150" t="e">
        <f aca="false">_xlfn.xlookup(AN905,A:A,AE:AE)</f>
        <v>#NAME?</v>
      </c>
      <c r="AU905" s="150" t="e">
        <f aca="false">_xlfn.xlookup(AN905,A:A,AF:AF)</f>
        <v>#NAME?</v>
      </c>
      <c r="AX905" s="146"/>
      <c r="AY905" s="150"/>
      <c r="AZ905" s="150"/>
      <c r="BA905" s="150"/>
      <c r="BB905" s="146"/>
      <c r="BC905" s="146"/>
      <c r="BD905" s="151"/>
      <c r="BE905" s="146"/>
      <c r="BF905" s="146"/>
      <c r="BH905" s="152" t="e">
        <f aca="false">_xlfn.xlookup(BG905,A:A,F:F)</f>
        <v>#NAME?</v>
      </c>
      <c r="BI905" s="153" t="e">
        <f aca="false">_xlfn.xlookup(BG905,A:A,J:J)</f>
        <v>#NAME?</v>
      </c>
      <c r="BJ905" s="153" t="e">
        <f aca="false">_xlfn.xlookup(BG905,A:A,N:N)+_xlfn.xlookup(BG905,A:A,O:O)</f>
        <v>#NAME?</v>
      </c>
      <c r="BK905" s="153" t="e">
        <f aca="false">_xlfn.xlookup(BG905,A854:A1848,AB854:AB1848)</f>
        <v>#NAME?</v>
      </c>
      <c r="BN905" s="146"/>
      <c r="BO905" s="150"/>
      <c r="BQ905" s="153" t="str">
        <f aca="false">IF(VALUE(MONTH(C905))&lt;10,YEAR(C905)&amp;"-0"&amp;MONTH(C905),YEAR(C905)&amp;"-"&amp;MONTH(C905))</f>
        <v>1900-01</v>
      </c>
      <c r="BR905" s="153" t="n">
        <f aca="false">J905</f>
        <v>0</v>
      </c>
      <c r="BS905" s="153" t="n">
        <f aca="false">IF(ISNUMBER(FIND("-", BR905)), LEFT(BR905, FIND("-", BR905) - 1), BR905)</f>
        <v>0</v>
      </c>
      <c r="BT905" s="189" t="n">
        <f aca="false">L905-M905+O905</f>
        <v>0</v>
      </c>
    </row>
    <row r="906" s="153" customFormat="true" ht="15" hidden="false" customHeight="false" outlineLevel="0" collapsed="false">
      <c r="AN906" s="153" t="e">
        <v>#NAME?</v>
      </c>
      <c r="AO906" s="153" t="e">
        <f aca="false">_xlfn.xlookup(AN906,A:A,F:F)</f>
        <v>#NAME?</v>
      </c>
      <c r="AP906" s="153" t="e">
        <f aca="false">_xlfn.xlookup(AN906,A:A,J:J)</f>
        <v>#NAME?</v>
      </c>
      <c r="AQ906" s="153" t="e">
        <f aca="false">_xlfn.xlookup(AN906,A:A,N:N)+_xlfn.xlookup(AN906,A:A,O:O)</f>
        <v>#NAME?</v>
      </c>
      <c r="AR906" s="150" t="e">
        <f aca="false">_xlfn.xlookup(AN906,A:A,AH:AH)</f>
        <v>#NAME?</v>
      </c>
      <c r="AS906" s="150" t="e">
        <f aca="false">_xlfn.xlookup(AN906,A:A,S:S)</f>
        <v>#NAME?</v>
      </c>
      <c r="AT906" s="150" t="e">
        <f aca="false">_xlfn.xlookup(AN906,A:A,AE:AE)</f>
        <v>#NAME?</v>
      </c>
      <c r="AU906" s="150" t="e">
        <f aca="false">_xlfn.xlookup(AN906,A:A,AF:AF)</f>
        <v>#NAME?</v>
      </c>
      <c r="AX906" s="146"/>
      <c r="AY906" s="150"/>
      <c r="AZ906" s="150"/>
      <c r="BA906" s="150"/>
      <c r="BB906" s="146"/>
      <c r="BC906" s="146"/>
      <c r="BD906" s="151"/>
      <c r="BE906" s="146"/>
      <c r="BF906" s="146"/>
      <c r="BH906" s="152" t="e">
        <f aca="false">_xlfn.xlookup(BG906,A:A,F:F)</f>
        <v>#NAME?</v>
      </c>
      <c r="BI906" s="153" t="e">
        <f aca="false">_xlfn.xlookup(BG906,A:A,J:J)</f>
        <v>#NAME?</v>
      </c>
      <c r="BJ906" s="153" t="e">
        <f aca="false">_xlfn.xlookup(BG906,A:A,N:N)+_xlfn.xlookup(BG906,A:A,O:O)</f>
        <v>#NAME?</v>
      </c>
      <c r="BK906" s="153" t="e">
        <f aca="false">_xlfn.xlookup(BG906,A855:A1849,AB855:AB1849)</f>
        <v>#NAME?</v>
      </c>
      <c r="BN906" s="146"/>
      <c r="BO906" s="150"/>
      <c r="BQ906" s="153" t="str">
        <f aca="false">IF(VALUE(MONTH(C906))&lt;10,YEAR(C906)&amp;"-0"&amp;MONTH(C906),YEAR(C906)&amp;"-"&amp;MONTH(C906))</f>
        <v>1900-01</v>
      </c>
      <c r="BR906" s="153" t="n">
        <f aca="false">J906</f>
        <v>0</v>
      </c>
      <c r="BS906" s="153" t="n">
        <f aca="false">IF(ISNUMBER(FIND("-", BR906)), LEFT(BR906, FIND("-", BR906) - 1), BR906)</f>
        <v>0</v>
      </c>
      <c r="BT906" s="189" t="n">
        <f aca="false">L906-M906+O906</f>
        <v>0</v>
      </c>
    </row>
    <row r="907" s="153" customFormat="true" ht="15" hidden="false" customHeight="false" outlineLevel="0" collapsed="false">
      <c r="AN907" s="153" t="e">
        <v>#NAME?</v>
      </c>
      <c r="AO907" s="153" t="e">
        <f aca="false">_xlfn.xlookup(AN907,A:A,F:F)</f>
        <v>#NAME?</v>
      </c>
      <c r="AP907" s="153" t="e">
        <f aca="false">_xlfn.xlookup(AN907,A:A,J:J)</f>
        <v>#NAME?</v>
      </c>
      <c r="AQ907" s="153" t="e">
        <f aca="false">_xlfn.xlookup(AN907,A:A,N:N)+_xlfn.xlookup(AN907,A:A,O:O)</f>
        <v>#NAME?</v>
      </c>
      <c r="AR907" s="150" t="e">
        <f aca="false">_xlfn.xlookup(AN907,A:A,AH:AH)</f>
        <v>#NAME?</v>
      </c>
      <c r="AS907" s="150" t="e">
        <f aca="false">_xlfn.xlookup(AN907,A:A,S:S)</f>
        <v>#NAME?</v>
      </c>
      <c r="AT907" s="150" t="e">
        <f aca="false">_xlfn.xlookup(AN907,A:A,AE:AE)</f>
        <v>#NAME?</v>
      </c>
      <c r="AU907" s="150" t="e">
        <f aca="false">_xlfn.xlookup(AN907,A:A,AF:AF)</f>
        <v>#NAME?</v>
      </c>
      <c r="AX907" s="146"/>
      <c r="AY907" s="150"/>
      <c r="AZ907" s="150"/>
      <c r="BA907" s="150"/>
      <c r="BB907" s="146"/>
      <c r="BC907" s="146"/>
      <c r="BD907" s="151"/>
      <c r="BE907" s="146"/>
      <c r="BF907" s="146"/>
      <c r="BH907" s="152" t="e">
        <f aca="false">_xlfn.xlookup(BG907,A:A,F:F)</f>
        <v>#NAME?</v>
      </c>
      <c r="BI907" s="153" t="e">
        <f aca="false">_xlfn.xlookup(BG907,A:A,J:J)</f>
        <v>#NAME?</v>
      </c>
      <c r="BJ907" s="153" t="e">
        <f aca="false">_xlfn.xlookup(BG907,A:A,N:N)+_xlfn.xlookup(BG907,A:A,O:O)</f>
        <v>#NAME?</v>
      </c>
      <c r="BK907" s="153" t="e">
        <f aca="false">_xlfn.xlookup(BG907,A856:A1850,AB856:AB1850)</f>
        <v>#NAME?</v>
      </c>
      <c r="BN907" s="146"/>
      <c r="BO907" s="150"/>
      <c r="BQ907" s="153" t="str">
        <f aca="false">IF(VALUE(MONTH(C907))&lt;10,YEAR(C907)&amp;"-0"&amp;MONTH(C907),YEAR(C907)&amp;"-"&amp;MONTH(C907))</f>
        <v>1900-01</v>
      </c>
      <c r="BR907" s="153" t="n">
        <f aca="false">J907</f>
        <v>0</v>
      </c>
      <c r="BS907" s="153" t="n">
        <f aca="false">IF(ISNUMBER(FIND("-", BR907)), LEFT(BR907, FIND("-", BR907) - 1), BR907)</f>
        <v>0</v>
      </c>
      <c r="BT907" s="189" t="n">
        <f aca="false">L907-M907+O907</f>
        <v>0</v>
      </c>
    </row>
    <row r="908" s="153" customFormat="true" ht="15" hidden="false" customHeight="false" outlineLevel="0" collapsed="false">
      <c r="AN908" s="153" t="e">
        <v>#NAME?</v>
      </c>
      <c r="AO908" s="153" t="e">
        <f aca="false">_xlfn.xlookup(AN908,A:A,F:F)</f>
        <v>#NAME?</v>
      </c>
      <c r="AP908" s="153" t="e">
        <f aca="false">_xlfn.xlookup(AN908,A:A,J:J)</f>
        <v>#NAME?</v>
      </c>
      <c r="AQ908" s="153" t="e">
        <f aca="false">_xlfn.xlookup(AN908,A:A,N:N)+_xlfn.xlookup(AN908,A:A,O:O)</f>
        <v>#NAME?</v>
      </c>
      <c r="AR908" s="150" t="e">
        <f aca="false">_xlfn.xlookup(AN908,A:A,AH:AH)</f>
        <v>#NAME?</v>
      </c>
      <c r="AS908" s="150" t="e">
        <f aca="false">_xlfn.xlookup(AN908,A:A,S:S)</f>
        <v>#NAME?</v>
      </c>
      <c r="AT908" s="150" t="e">
        <f aca="false">_xlfn.xlookup(AN908,A:A,AE:AE)</f>
        <v>#NAME?</v>
      </c>
      <c r="AU908" s="150" t="e">
        <f aca="false">_xlfn.xlookup(AN908,A:A,AF:AF)</f>
        <v>#NAME?</v>
      </c>
      <c r="AX908" s="146"/>
      <c r="AY908" s="150"/>
      <c r="AZ908" s="150"/>
      <c r="BA908" s="150"/>
      <c r="BB908" s="146"/>
      <c r="BC908" s="146"/>
      <c r="BD908" s="151"/>
      <c r="BE908" s="146"/>
      <c r="BF908" s="146"/>
      <c r="BH908" s="152" t="e">
        <f aca="false">_xlfn.xlookup(BG908,A:A,F:F)</f>
        <v>#NAME?</v>
      </c>
      <c r="BI908" s="153" t="e">
        <f aca="false">_xlfn.xlookup(BG908,A:A,J:J)</f>
        <v>#NAME?</v>
      </c>
      <c r="BJ908" s="153" t="e">
        <f aca="false">_xlfn.xlookup(BG908,A:A,N:N)+_xlfn.xlookup(BG908,A:A,O:O)</f>
        <v>#NAME?</v>
      </c>
      <c r="BK908" s="153" t="e">
        <f aca="false">_xlfn.xlookup(BG908,A857:A1851,AB857:AB1851)</f>
        <v>#NAME?</v>
      </c>
      <c r="BN908" s="146"/>
      <c r="BO908" s="150"/>
      <c r="BQ908" s="153" t="str">
        <f aca="false">IF(VALUE(MONTH(C908))&lt;10,YEAR(C908)&amp;"-0"&amp;MONTH(C908),YEAR(C908)&amp;"-"&amp;MONTH(C908))</f>
        <v>1900-01</v>
      </c>
      <c r="BR908" s="153" t="n">
        <f aca="false">J908</f>
        <v>0</v>
      </c>
      <c r="BS908" s="153" t="n">
        <f aca="false">IF(ISNUMBER(FIND("-", BR908)), LEFT(BR908, FIND("-", BR908) - 1), BR908)</f>
        <v>0</v>
      </c>
      <c r="BT908" s="189" t="n">
        <f aca="false">L908-M908+O908</f>
        <v>0</v>
      </c>
    </row>
    <row r="909" s="153" customFormat="true" ht="15" hidden="false" customHeight="false" outlineLevel="0" collapsed="false">
      <c r="AN909" s="153" t="e">
        <v>#NAME?</v>
      </c>
      <c r="AO909" s="153" t="e">
        <f aca="false">_xlfn.xlookup(AN909,A:A,F:F)</f>
        <v>#NAME?</v>
      </c>
      <c r="AP909" s="153" t="e">
        <f aca="false">_xlfn.xlookup(AN909,A:A,J:J)</f>
        <v>#NAME?</v>
      </c>
      <c r="AQ909" s="153" t="e">
        <f aca="false">_xlfn.xlookup(AN909,A:A,N:N)+_xlfn.xlookup(AN909,A:A,O:O)</f>
        <v>#NAME?</v>
      </c>
      <c r="AR909" s="150" t="e">
        <f aca="false">_xlfn.xlookup(AN909,A:A,AH:AH)</f>
        <v>#NAME?</v>
      </c>
      <c r="AS909" s="150" t="e">
        <f aca="false">_xlfn.xlookup(AN909,A:A,S:S)</f>
        <v>#NAME?</v>
      </c>
      <c r="AT909" s="150" t="e">
        <f aca="false">_xlfn.xlookup(AN909,A:A,AE:AE)</f>
        <v>#NAME?</v>
      </c>
      <c r="AU909" s="150" t="e">
        <f aca="false">_xlfn.xlookup(AN909,A:A,AF:AF)</f>
        <v>#NAME?</v>
      </c>
      <c r="AX909" s="146"/>
      <c r="AY909" s="150"/>
      <c r="AZ909" s="150"/>
      <c r="BA909" s="150"/>
      <c r="BB909" s="146"/>
      <c r="BC909" s="146"/>
      <c r="BD909" s="151"/>
      <c r="BE909" s="146"/>
      <c r="BF909" s="146"/>
      <c r="BH909" s="152" t="e">
        <f aca="false">_xlfn.xlookup(BG909,A:A,F:F)</f>
        <v>#NAME?</v>
      </c>
      <c r="BI909" s="153" t="e">
        <f aca="false">_xlfn.xlookup(BG909,A:A,J:J)</f>
        <v>#NAME?</v>
      </c>
      <c r="BJ909" s="153" t="e">
        <f aca="false">_xlfn.xlookup(BG909,A:A,N:N)+_xlfn.xlookup(BG909,A:A,O:O)</f>
        <v>#NAME?</v>
      </c>
      <c r="BK909" s="153" t="e">
        <f aca="false">_xlfn.xlookup(BG909,A858:A1852,AB858:AB1852)</f>
        <v>#NAME?</v>
      </c>
      <c r="BN909" s="146"/>
      <c r="BO909" s="150"/>
      <c r="BQ909" s="153" t="str">
        <f aca="false">IF(VALUE(MONTH(C909))&lt;10,YEAR(C909)&amp;"-0"&amp;MONTH(C909),YEAR(C909)&amp;"-"&amp;MONTH(C909))</f>
        <v>1900-01</v>
      </c>
      <c r="BR909" s="153" t="n">
        <f aca="false">J909</f>
        <v>0</v>
      </c>
      <c r="BS909" s="153" t="n">
        <f aca="false">IF(ISNUMBER(FIND("-", BR909)), LEFT(BR909, FIND("-", BR909) - 1), BR909)</f>
        <v>0</v>
      </c>
      <c r="BT909" s="189" t="n">
        <f aca="false">L909-M909+O909</f>
        <v>0</v>
      </c>
    </row>
    <row r="910" s="153" customFormat="true" ht="15" hidden="false" customHeight="false" outlineLevel="0" collapsed="false">
      <c r="AN910" s="153" t="e">
        <v>#NAME?</v>
      </c>
      <c r="AO910" s="153" t="e">
        <f aca="false">_xlfn.xlookup(AN910,A:A,F:F)</f>
        <v>#NAME?</v>
      </c>
      <c r="AP910" s="153" t="e">
        <f aca="false">_xlfn.xlookup(AN910,A:A,J:J)</f>
        <v>#NAME?</v>
      </c>
      <c r="AQ910" s="153" t="e">
        <f aca="false">_xlfn.xlookup(AN910,A:A,N:N)+_xlfn.xlookup(AN910,A:A,O:O)</f>
        <v>#NAME?</v>
      </c>
      <c r="AR910" s="150" t="e">
        <f aca="false">_xlfn.xlookup(AN910,A:A,AH:AH)</f>
        <v>#NAME?</v>
      </c>
      <c r="AS910" s="150" t="e">
        <f aca="false">_xlfn.xlookup(AN910,A:A,S:S)</f>
        <v>#NAME?</v>
      </c>
      <c r="AT910" s="150" t="e">
        <f aca="false">_xlfn.xlookup(AN910,A:A,AE:AE)</f>
        <v>#NAME?</v>
      </c>
      <c r="AU910" s="150" t="e">
        <f aca="false">_xlfn.xlookup(AN910,A:A,AF:AF)</f>
        <v>#NAME?</v>
      </c>
      <c r="AX910" s="146"/>
      <c r="AY910" s="150"/>
      <c r="AZ910" s="150"/>
      <c r="BA910" s="150"/>
      <c r="BB910" s="146"/>
      <c r="BC910" s="146"/>
      <c r="BD910" s="151"/>
      <c r="BE910" s="146"/>
      <c r="BF910" s="146"/>
      <c r="BH910" s="152" t="e">
        <f aca="false">_xlfn.xlookup(BG910,A:A,F:F)</f>
        <v>#NAME?</v>
      </c>
      <c r="BI910" s="153" t="e">
        <f aca="false">_xlfn.xlookup(BG910,A:A,J:J)</f>
        <v>#NAME?</v>
      </c>
      <c r="BJ910" s="153" t="e">
        <f aca="false">_xlfn.xlookup(BG910,A:A,N:N)+_xlfn.xlookup(BG910,A:A,O:O)</f>
        <v>#NAME?</v>
      </c>
      <c r="BK910" s="153" t="e">
        <f aca="false">_xlfn.xlookup(BG910,A859:A1853,AB859:AB1853)</f>
        <v>#NAME?</v>
      </c>
      <c r="BN910" s="146"/>
      <c r="BO910" s="150"/>
      <c r="BQ910" s="153" t="str">
        <f aca="false">IF(VALUE(MONTH(C910))&lt;10,YEAR(C910)&amp;"-0"&amp;MONTH(C910),YEAR(C910)&amp;"-"&amp;MONTH(C910))</f>
        <v>1900-01</v>
      </c>
      <c r="BR910" s="153" t="n">
        <f aca="false">J910</f>
        <v>0</v>
      </c>
      <c r="BS910" s="153" t="n">
        <f aca="false">IF(ISNUMBER(FIND("-", BR910)), LEFT(BR910, FIND("-", BR910) - 1), BR910)</f>
        <v>0</v>
      </c>
      <c r="BT910" s="189" t="n">
        <f aca="false">L910-M910+O910</f>
        <v>0</v>
      </c>
    </row>
    <row r="911" s="153" customFormat="true" ht="15" hidden="false" customHeight="false" outlineLevel="0" collapsed="false">
      <c r="AN911" s="153" t="e">
        <v>#NAME?</v>
      </c>
      <c r="AO911" s="153" t="e">
        <f aca="false">_xlfn.xlookup(AN911,A:A,F:F)</f>
        <v>#NAME?</v>
      </c>
      <c r="AP911" s="153" t="e">
        <f aca="false">_xlfn.xlookup(AN911,A:A,J:J)</f>
        <v>#NAME?</v>
      </c>
      <c r="AQ911" s="153" t="e">
        <f aca="false">_xlfn.xlookup(AN911,A:A,N:N)+_xlfn.xlookup(AN911,A:A,O:O)</f>
        <v>#NAME?</v>
      </c>
      <c r="AR911" s="150" t="e">
        <f aca="false">_xlfn.xlookup(AN911,A:A,AH:AH)</f>
        <v>#NAME?</v>
      </c>
      <c r="AS911" s="150" t="e">
        <f aca="false">_xlfn.xlookup(AN911,A:A,S:S)</f>
        <v>#NAME?</v>
      </c>
      <c r="AT911" s="150" t="e">
        <f aca="false">_xlfn.xlookup(AN911,A:A,AE:AE)</f>
        <v>#NAME?</v>
      </c>
      <c r="AU911" s="150" t="e">
        <f aca="false">_xlfn.xlookup(AN911,A:A,AF:AF)</f>
        <v>#NAME?</v>
      </c>
      <c r="AX911" s="146"/>
      <c r="AY911" s="150"/>
      <c r="AZ911" s="150"/>
      <c r="BA911" s="150"/>
      <c r="BB911" s="146"/>
      <c r="BC911" s="146"/>
      <c r="BD911" s="151"/>
      <c r="BE911" s="146"/>
      <c r="BF911" s="146"/>
      <c r="BH911" s="152" t="e">
        <f aca="false">_xlfn.xlookup(BG911,A:A,F:F)</f>
        <v>#NAME?</v>
      </c>
      <c r="BI911" s="153" t="e">
        <f aca="false">_xlfn.xlookup(BG911,A:A,J:J)</f>
        <v>#NAME?</v>
      </c>
      <c r="BJ911" s="153" t="e">
        <f aca="false">_xlfn.xlookup(BG911,A:A,N:N)+_xlfn.xlookup(BG911,A:A,O:O)</f>
        <v>#NAME?</v>
      </c>
      <c r="BK911" s="153" t="e">
        <f aca="false">_xlfn.xlookup(BG911,A860:A1854,AB860:AB1854)</f>
        <v>#NAME?</v>
      </c>
      <c r="BN911" s="146"/>
      <c r="BO911" s="150"/>
      <c r="BQ911" s="153" t="str">
        <f aca="false">IF(VALUE(MONTH(C911))&lt;10,YEAR(C911)&amp;"-0"&amp;MONTH(C911),YEAR(C911)&amp;"-"&amp;MONTH(C911))</f>
        <v>1900-01</v>
      </c>
      <c r="BR911" s="153" t="n">
        <f aca="false">J911</f>
        <v>0</v>
      </c>
      <c r="BS911" s="153" t="n">
        <f aca="false">IF(ISNUMBER(FIND("-", BR911)), LEFT(BR911, FIND("-", BR911) - 1), BR911)</f>
        <v>0</v>
      </c>
      <c r="BT911" s="189" t="n">
        <f aca="false">L911-M911+O911</f>
        <v>0</v>
      </c>
    </row>
    <row r="912" s="153" customFormat="true" ht="15" hidden="false" customHeight="false" outlineLevel="0" collapsed="false">
      <c r="AN912" s="153" t="e">
        <v>#NAME?</v>
      </c>
      <c r="AO912" s="153" t="e">
        <f aca="false">_xlfn.xlookup(AN912,A:A,F:F)</f>
        <v>#NAME?</v>
      </c>
      <c r="AP912" s="153" t="e">
        <f aca="false">_xlfn.xlookup(AN912,A:A,J:J)</f>
        <v>#NAME?</v>
      </c>
      <c r="AQ912" s="153" t="e">
        <f aca="false">_xlfn.xlookup(AN912,A:A,N:N)+_xlfn.xlookup(AN912,A:A,O:O)</f>
        <v>#NAME?</v>
      </c>
      <c r="AR912" s="150" t="e">
        <f aca="false">_xlfn.xlookup(AN912,A:A,AH:AH)</f>
        <v>#NAME?</v>
      </c>
      <c r="AS912" s="150" t="e">
        <f aca="false">_xlfn.xlookup(AN912,A:A,S:S)</f>
        <v>#NAME?</v>
      </c>
      <c r="AT912" s="150" t="e">
        <f aca="false">_xlfn.xlookup(AN912,A:A,AE:AE)</f>
        <v>#NAME?</v>
      </c>
      <c r="AU912" s="150" t="e">
        <f aca="false">_xlfn.xlookup(AN912,A:A,AF:AF)</f>
        <v>#NAME?</v>
      </c>
      <c r="AX912" s="146"/>
      <c r="AY912" s="150"/>
      <c r="AZ912" s="150"/>
      <c r="BA912" s="150"/>
      <c r="BB912" s="146"/>
      <c r="BC912" s="146"/>
      <c r="BD912" s="151"/>
      <c r="BE912" s="146"/>
      <c r="BF912" s="146"/>
      <c r="BH912" s="152" t="e">
        <f aca="false">_xlfn.xlookup(BG912,A:A,F:F)</f>
        <v>#NAME?</v>
      </c>
      <c r="BI912" s="153" t="e">
        <f aca="false">_xlfn.xlookup(BG912,A:A,J:J)</f>
        <v>#NAME?</v>
      </c>
      <c r="BJ912" s="153" t="e">
        <f aca="false">_xlfn.xlookup(BG912,A:A,N:N)+_xlfn.xlookup(BG912,A:A,O:O)</f>
        <v>#NAME?</v>
      </c>
      <c r="BK912" s="153" t="e">
        <f aca="false">_xlfn.xlookup(BG912,A861:A1855,AB861:AB1855)</f>
        <v>#NAME?</v>
      </c>
      <c r="BN912" s="146"/>
      <c r="BO912" s="150"/>
      <c r="BQ912" s="153" t="str">
        <f aca="false">IF(VALUE(MONTH(C912))&lt;10,YEAR(C912)&amp;"-0"&amp;MONTH(C912),YEAR(C912)&amp;"-"&amp;MONTH(C912))</f>
        <v>1900-01</v>
      </c>
      <c r="BR912" s="153" t="n">
        <f aca="false">J912</f>
        <v>0</v>
      </c>
      <c r="BS912" s="153" t="n">
        <f aca="false">IF(ISNUMBER(FIND("-", BR912)), LEFT(BR912, FIND("-", BR912) - 1), BR912)</f>
        <v>0</v>
      </c>
      <c r="BT912" s="189" t="n">
        <f aca="false">L912-M912+O912</f>
        <v>0</v>
      </c>
    </row>
    <row r="913" s="153" customFormat="true" ht="15" hidden="false" customHeight="false" outlineLevel="0" collapsed="false">
      <c r="AN913" s="153" t="e">
        <v>#NAME?</v>
      </c>
      <c r="AO913" s="153" t="e">
        <f aca="false">_xlfn.xlookup(AN913,A:A,F:F)</f>
        <v>#NAME?</v>
      </c>
      <c r="AP913" s="153" t="e">
        <f aca="false">_xlfn.xlookup(AN913,A:A,J:J)</f>
        <v>#NAME?</v>
      </c>
      <c r="AQ913" s="153" t="e">
        <f aca="false">_xlfn.xlookup(AN913,A:A,N:N)+_xlfn.xlookup(AN913,A:A,O:O)</f>
        <v>#NAME?</v>
      </c>
      <c r="AR913" s="150" t="e">
        <f aca="false">_xlfn.xlookup(AN913,A:A,AH:AH)</f>
        <v>#NAME?</v>
      </c>
      <c r="AS913" s="150" t="e">
        <f aca="false">_xlfn.xlookup(AN913,A:A,S:S)</f>
        <v>#NAME?</v>
      </c>
      <c r="AT913" s="150" t="e">
        <f aca="false">_xlfn.xlookup(AN913,A:A,AE:AE)</f>
        <v>#NAME?</v>
      </c>
      <c r="AU913" s="150" t="e">
        <f aca="false">_xlfn.xlookup(AN913,A:A,AF:AF)</f>
        <v>#NAME?</v>
      </c>
      <c r="AX913" s="146"/>
      <c r="AY913" s="150"/>
      <c r="AZ913" s="150"/>
      <c r="BA913" s="150"/>
      <c r="BB913" s="146"/>
      <c r="BC913" s="146"/>
      <c r="BD913" s="151"/>
      <c r="BE913" s="146"/>
      <c r="BF913" s="146"/>
      <c r="BH913" s="152" t="e">
        <f aca="false">_xlfn.xlookup(BG913,A:A,F:F)</f>
        <v>#NAME?</v>
      </c>
      <c r="BI913" s="153" t="e">
        <f aca="false">_xlfn.xlookup(BG913,A:A,J:J)</f>
        <v>#NAME?</v>
      </c>
      <c r="BJ913" s="153" t="e">
        <f aca="false">_xlfn.xlookup(BG913,A:A,N:N)+_xlfn.xlookup(BG913,A:A,O:O)</f>
        <v>#NAME?</v>
      </c>
      <c r="BK913" s="153" t="e">
        <f aca="false">_xlfn.xlookup(BG913,A862:A1856,AB862:AB1856)</f>
        <v>#NAME?</v>
      </c>
      <c r="BN913" s="146"/>
      <c r="BO913" s="150"/>
      <c r="BQ913" s="153" t="str">
        <f aca="false">IF(VALUE(MONTH(C913))&lt;10,YEAR(C913)&amp;"-0"&amp;MONTH(C913),YEAR(C913)&amp;"-"&amp;MONTH(C913))</f>
        <v>1900-01</v>
      </c>
      <c r="BR913" s="153" t="n">
        <f aca="false">J913</f>
        <v>0</v>
      </c>
      <c r="BS913" s="153" t="n">
        <f aca="false">IF(ISNUMBER(FIND("-", BR913)), LEFT(BR913, FIND("-", BR913) - 1), BR913)</f>
        <v>0</v>
      </c>
      <c r="BT913" s="189" t="n">
        <f aca="false">L913-M913+O913</f>
        <v>0</v>
      </c>
    </row>
    <row r="914" s="153" customFormat="true" ht="15" hidden="false" customHeight="false" outlineLevel="0" collapsed="false">
      <c r="AN914" s="153" t="e">
        <v>#NAME?</v>
      </c>
      <c r="AO914" s="153" t="e">
        <f aca="false">_xlfn.xlookup(AN914,A:A,F:F)</f>
        <v>#NAME?</v>
      </c>
      <c r="AP914" s="153" t="e">
        <f aca="false">_xlfn.xlookup(AN914,A:A,J:J)</f>
        <v>#NAME?</v>
      </c>
      <c r="AQ914" s="153" t="e">
        <f aca="false">_xlfn.xlookup(AN914,A:A,N:N)+_xlfn.xlookup(AN914,A:A,O:O)</f>
        <v>#NAME?</v>
      </c>
      <c r="AR914" s="150" t="e">
        <f aca="false">_xlfn.xlookup(AN914,A:A,AH:AH)</f>
        <v>#NAME?</v>
      </c>
      <c r="AS914" s="150" t="e">
        <f aca="false">_xlfn.xlookup(AN914,A:A,S:S)</f>
        <v>#NAME?</v>
      </c>
      <c r="AT914" s="150" t="e">
        <f aca="false">_xlfn.xlookup(AN914,A:A,AE:AE)</f>
        <v>#NAME?</v>
      </c>
      <c r="AU914" s="150" t="e">
        <f aca="false">_xlfn.xlookup(AN914,A:A,AF:AF)</f>
        <v>#NAME?</v>
      </c>
      <c r="AX914" s="146"/>
      <c r="AY914" s="150"/>
      <c r="AZ914" s="150"/>
      <c r="BA914" s="150"/>
      <c r="BB914" s="146"/>
      <c r="BC914" s="146"/>
      <c r="BD914" s="151"/>
      <c r="BE914" s="146"/>
      <c r="BF914" s="146"/>
      <c r="BH914" s="152" t="e">
        <f aca="false">_xlfn.xlookup(BG914,A:A,F:F)</f>
        <v>#NAME?</v>
      </c>
      <c r="BI914" s="153" t="e">
        <f aca="false">_xlfn.xlookup(BG914,A:A,J:J)</f>
        <v>#NAME?</v>
      </c>
      <c r="BJ914" s="153" t="e">
        <f aca="false">_xlfn.xlookup(BG914,A:A,N:N)+_xlfn.xlookup(BG914,A:A,O:O)</f>
        <v>#NAME?</v>
      </c>
      <c r="BK914" s="153" t="e">
        <f aca="false">_xlfn.xlookup(BG914,A863:A1857,AB863:AB1857)</f>
        <v>#NAME?</v>
      </c>
      <c r="BN914" s="146"/>
      <c r="BO914" s="150"/>
      <c r="BQ914" s="153" t="str">
        <f aca="false">IF(VALUE(MONTH(C914))&lt;10,YEAR(C914)&amp;"-0"&amp;MONTH(C914),YEAR(C914)&amp;"-"&amp;MONTH(C914))</f>
        <v>1900-01</v>
      </c>
      <c r="BR914" s="153" t="n">
        <f aca="false">J914</f>
        <v>0</v>
      </c>
      <c r="BS914" s="153" t="n">
        <f aca="false">IF(ISNUMBER(FIND("-", BR914)), LEFT(BR914, FIND("-", BR914) - 1), BR914)</f>
        <v>0</v>
      </c>
      <c r="BT914" s="189" t="n">
        <f aca="false">L914-M914+O914</f>
        <v>0</v>
      </c>
    </row>
    <row r="915" s="153" customFormat="true" ht="15" hidden="false" customHeight="false" outlineLevel="0" collapsed="false">
      <c r="AN915" s="153" t="e">
        <v>#NAME?</v>
      </c>
      <c r="AO915" s="153" t="e">
        <f aca="false">_xlfn.xlookup(AN915,A:A,F:F)</f>
        <v>#NAME?</v>
      </c>
      <c r="AP915" s="153" t="e">
        <f aca="false">_xlfn.xlookup(AN915,A:A,J:J)</f>
        <v>#NAME?</v>
      </c>
      <c r="AQ915" s="153" t="e">
        <f aca="false">_xlfn.xlookup(AN915,A:A,N:N)+_xlfn.xlookup(AN915,A:A,O:O)</f>
        <v>#NAME?</v>
      </c>
      <c r="AR915" s="150" t="e">
        <f aca="false">_xlfn.xlookup(AN915,A:A,AH:AH)</f>
        <v>#NAME?</v>
      </c>
      <c r="AS915" s="150" t="e">
        <f aca="false">_xlfn.xlookup(AN915,A:A,S:S)</f>
        <v>#NAME?</v>
      </c>
      <c r="AT915" s="150" t="e">
        <f aca="false">_xlfn.xlookup(AN915,A:A,AE:AE)</f>
        <v>#NAME?</v>
      </c>
      <c r="AU915" s="150" t="e">
        <f aca="false">_xlfn.xlookup(AN915,A:A,AF:AF)</f>
        <v>#NAME?</v>
      </c>
      <c r="AX915" s="146"/>
      <c r="AY915" s="150"/>
      <c r="AZ915" s="150"/>
      <c r="BA915" s="150"/>
      <c r="BB915" s="146"/>
      <c r="BC915" s="146"/>
      <c r="BD915" s="151"/>
      <c r="BE915" s="146"/>
      <c r="BF915" s="146"/>
      <c r="BH915" s="152" t="e">
        <f aca="false">_xlfn.xlookup(BG915,A:A,F:F)</f>
        <v>#NAME?</v>
      </c>
      <c r="BI915" s="153" t="e">
        <f aca="false">_xlfn.xlookup(BG915,A:A,J:J)</f>
        <v>#NAME?</v>
      </c>
      <c r="BJ915" s="153" t="e">
        <f aca="false">_xlfn.xlookup(BG915,A:A,N:N)+_xlfn.xlookup(BG915,A:A,O:O)</f>
        <v>#NAME?</v>
      </c>
      <c r="BK915" s="153" t="e">
        <f aca="false">_xlfn.xlookup(BG915,A864:A1858,AB864:AB1858)</f>
        <v>#NAME?</v>
      </c>
      <c r="BN915" s="146"/>
      <c r="BO915" s="150"/>
      <c r="BQ915" s="153" t="str">
        <f aca="false">IF(VALUE(MONTH(C915))&lt;10,YEAR(C915)&amp;"-0"&amp;MONTH(C915),YEAR(C915)&amp;"-"&amp;MONTH(C915))</f>
        <v>1900-01</v>
      </c>
      <c r="BR915" s="153" t="n">
        <f aca="false">J915</f>
        <v>0</v>
      </c>
      <c r="BS915" s="153" t="n">
        <f aca="false">IF(ISNUMBER(FIND("-", BR915)), LEFT(BR915, FIND("-", BR915) - 1), BR915)</f>
        <v>0</v>
      </c>
      <c r="BT915" s="189" t="n">
        <f aca="false">L915-M915+O915</f>
        <v>0</v>
      </c>
    </row>
    <row r="916" s="153" customFormat="true" ht="15" hidden="false" customHeight="false" outlineLevel="0" collapsed="false">
      <c r="AN916" s="153" t="e">
        <v>#NAME?</v>
      </c>
      <c r="AO916" s="153" t="e">
        <f aca="false">_xlfn.xlookup(AN916,A:A,F:F)</f>
        <v>#NAME?</v>
      </c>
      <c r="AP916" s="153" t="e">
        <f aca="false">_xlfn.xlookup(AN916,A:A,J:J)</f>
        <v>#NAME?</v>
      </c>
      <c r="AQ916" s="153" t="e">
        <f aca="false">_xlfn.xlookup(AN916,A:A,N:N)+_xlfn.xlookup(AN916,A:A,O:O)</f>
        <v>#NAME?</v>
      </c>
      <c r="AR916" s="150" t="e">
        <f aca="false">_xlfn.xlookup(AN916,A:A,AH:AH)</f>
        <v>#NAME?</v>
      </c>
      <c r="AS916" s="150" t="e">
        <f aca="false">_xlfn.xlookup(AN916,A:A,S:S)</f>
        <v>#NAME?</v>
      </c>
      <c r="AT916" s="150" t="e">
        <f aca="false">_xlfn.xlookup(AN916,A:A,AE:AE)</f>
        <v>#NAME?</v>
      </c>
      <c r="AU916" s="150" t="e">
        <f aca="false">_xlfn.xlookup(AN916,A:A,AF:AF)</f>
        <v>#NAME?</v>
      </c>
      <c r="AX916" s="146"/>
      <c r="AY916" s="150"/>
      <c r="AZ916" s="150"/>
      <c r="BA916" s="150"/>
      <c r="BB916" s="146"/>
      <c r="BC916" s="146"/>
      <c r="BD916" s="151"/>
      <c r="BE916" s="146"/>
      <c r="BF916" s="146"/>
      <c r="BH916" s="152" t="e">
        <f aca="false">_xlfn.xlookup(BG916,A:A,F:F)</f>
        <v>#NAME?</v>
      </c>
      <c r="BI916" s="153" t="e">
        <f aca="false">_xlfn.xlookup(BG916,A:A,J:J)</f>
        <v>#NAME?</v>
      </c>
      <c r="BJ916" s="153" t="e">
        <f aca="false">_xlfn.xlookup(BG916,A:A,N:N)+_xlfn.xlookup(BG916,A:A,O:O)</f>
        <v>#NAME?</v>
      </c>
      <c r="BK916" s="153" t="e">
        <f aca="false">_xlfn.xlookup(BG916,A865:A1859,AB865:AB1859)</f>
        <v>#NAME?</v>
      </c>
      <c r="BN916" s="146"/>
      <c r="BO916" s="150"/>
    </row>
    <row r="917" s="153" customFormat="true" ht="15" hidden="false" customHeight="false" outlineLevel="0" collapsed="false">
      <c r="AN917" s="153" t="e">
        <v>#NAME?</v>
      </c>
      <c r="AO917" s="153" t="e">
        <f aca="false">_xlfn.xlookup(AN917,A:A,F:F)</f>
        <v>#NAME?</v>
      </c>
      <c r="AP917" s="153" t="e">
        <f aca="false">_xlfn.xlookup(AN917,A:A,J:J)</f>
        <v>#NAME?</v>
      </c>
      <c r="AQ917" s="153" t="e">
        <f aca="false">_xlfn.xlookup(AN917,A:A,N:N)+_xlfn.xlookup(AN917,A:A,O:O)</f>
        <v>#NAME?</v>
      </c>
      <c r="AR917" s="150" t="e">
        <f aca="false">_xlfn.xlookup(AN917,A:A,AH:AH)</f>
        <v>#NAME?</v>
      </c>
      <c r="AS917" s="150" t="e">
        <f aca="false">_xlfn.xlookup(AN917,A:A,S:S)</f>
        <v>#NAME?</v>
      </c>
      <c r="AT917" s="150" t="e">
        <f aca="false">_xlfn.xlookup(AN917,A:A,AE:AE)</f>
        <v>#NAME?</v>
      </c>
      <c r="AU917" s="150" t="e">
        <f aca="false">_xlfn.xlookup(AN917,A:A,AF:AF)</f>
        <v>#NAME?</v>
      </c>
      <c r="AX917" s="146"/>
      <c r="AY917" s="150"/>
      <c r="AZ917" s="150"/>
      <c r="BA917" s="150"/>
      <c r="BB917" s="146"/>
      <c r="BC917" s="146"/>
      <c r="BD917" s="151"/>
      <c r="BE917" s="146"/>
      <c r="BF917" s="146"/>
      <c r="BH917" s="152" t="e">
        <f aca="false">_xlfn.xlookup(BG917,A:A,F:F)</f>
        <v>#NAME?</v>
      </c>
      <c r="BI917" s="153" t="e">
        <f aca="false">_xlfn.xlookup(BG917,A:A,J:J)</f>
        <v>#NAME?</v>
      </c>
      <c r="BJ917" s="153" t="e">
        <f aca="false">_xlfn.xlookup(BG917,A:A,N:N)+_xlfn.xlookup(BG917,A:A,O:O)</f>
        <v>#NAME?</v>
      </c>
      <c r="BK917" s="153" t="e">
        <f aca="false">_xlfn.xlookup(BG917,A866:A1860,AB866:AB1860)</f>
        <v>#NAME?</v>
      </c>
      <c r="BN917" s="146"/>
      <c r="BO917" s="150"/>
    </row>
    <row r="918" s="153" customFormat="true" ht="15" hidden="false" customHeight="false" outlineLevel="0" collapsed="false">
      <c r="AN918" s="153" t="e">
        <v>#NAME?</v>
      </c>
      <c r="AO918" s="153" t="e">
        <f aca="false">_xlfn.xlookup(AN918,A:A,F:F)</f>
        <v>#NAME?</v>
      </c>
      <c r="AP918" s="153" t="e">
        <f aca="false">_xlfn.xlookup(AN918,A:A,J:J)</f>
        <v>#NAME?</v>
      </c>
      <c r="AQ918" s="153" t="e">
        <f aca="false">_xlfn.xlookup(AN918,A:A,N:N)+_xlfn.xlookup(AN918,A:A,O:O)</f>
        <v>#NAME?</v>
      </c>
      <c r="AR918" s="150" t="e">
        <f aca="false">_xlfn.xlookup(AN918,A:A,AH:AH)</f>
        <v>#NAME?</v>
      </c>
      <c r="AS918" s="150" t="e">
        <f aca="false">_xlfn.xlookup(AN918,A:A,S:S)</f>
        <v>#NAME?</v>
      </c>
      <c r="AT918" s="150" t="e">
        <f aca="false">_xlfn.xlookup(AN918,A:A,AE:AE)</f>
        <v>#NAME?</v>
      </c>
      <c r="AU918" s="150" t="e">
        <f aca="false">_xlfn.xlookup(AN918,A:A,AF:AF)</f>
        <v>#NAME?</v>
      </c>
      <c r="AX918" s="146"/>
      <c r="AY918" s="150"/>
      <c r="AZ918" s="150"/>
      <c r="BA918" s="150"/>
      <c r="BB918" s="146"/>
      <c r="BC918" s="146"/>
      <c r="BD918" s="151"/>
      <c r="BE918" s="146"/>
      <c r="BF918" s="146"/>
      <c r="BH918" s="152" t="e">
        <f aca="false">_xlfn.xlookup(BG918,A:A,F:F)</f>
        <v>#NAME?</v>
      </c>
      <c r="BI918" s="153" t="e">
        <f aca="false">_xlfn.xlookup(BG918,A:A,J:J)</f>
        <v>#NAME?</v>
      </c>
      <c r="BJ918" s="153" t="e">
        <f aca="false">_xlfn.xlookup(BG918,A:A,N:N)+_xlfn.xlookup(BG918,A:A,O:O)</f>
        <v>#NAME?</v>
      </c>
      <c r="BK918" s="153" t="e">
        <f aca="false">_xlfn.xlookup(BG918,A867:A1861,AB867:AB1861)</f>
        <v>#NAME?</v>
      </c>
      <c r="BN918" s="146"/>
      <c r="BO918" s="150"/>
    </row>
    <row r="919" s="153" customFormat="true" ht="15" hidden="false" customHeight="false" outlineLevel="0" collapsed="false">
      <c r="AN919" s="153" t="e">
        <v>#NAME?</v>
      </c>
      <c r="AO919" s="153" t="e">
        <f aca="false">_xlfn.xlookup(AN919,A:A,F:F)</f>
        <v>#NAME?</v>
      </c>
      <c r="AP919" s="153" t="e">
        <f aca="false">_xlfn.xlookup(AN919,A:A,J:J)</f>
        <v>#NAME?</v>
      </c>
      <c r="AQ919" s="153" t="e">
        <f aca="false">_xlfn.xlookup(AN919,A:A,N:N)+_xlfn.xlookup(AN919,A:A,O:O)</f>
        <v>#NAME?</v>
      </c>
      <c r="AR919" s="150" t="e">
        <f aca="false">_xlfn.xlookup(AN919,A:A,AH:AH)</f>
        <v>#NAME?</v>
      </c>
      <c r="AS919" s="150" t="e">
        <f aca="false">_xlfn.xlookup(AN919,A:A,S:S)</f>
        <v>#NAME?</v>
      </c>
      <c r="AT919" s="150" t="e">
        <f aca="false">_xlfn.xlookup(AN919,A:A,AE:AE)</f>
        <v>#NAME?</v>
      </c>
      <c r="AU919" s="150" t="e">
        <f aca="false">_xlfn.xlookup(AN919,A:A,AF:AF)</f>
        <v>#NAME?</v>
      </c>
      <c r="AX919" s="146"/>
      <c r="AY919" s="150"/>
      <c r="AZ919" s="150"/>
      <c r="BA919" s="150"/>
      <c r="BB919" s="146"/>
      <c r="BC919" s="146"/>
      <c r="BD919" s="151"/>
      <c r="BE919" s="146"/>
      <c r="BF919" s="146"/>
      <c r="BH919" s="152" t="e">
        <f aca="false">_xlfn.xlookup(BG919,A:A,F:F)</f>
        <v>#NAME?</v>
      </c>
      <c r="BI919" s="153" t="e">
        <f aca="false">_xlfn.xlookup(BG919,A:A,J:J)</f>
        <v>#NAME?</v>
      </c>
      <c r="BJ919" s="153" t="e">
        <f aca="false">_xlfn.xlookup(BG919,A:A,N:N)+_xlfn.xlookup(BG919,A:A,O:O)</f>
        <v>#NAME?</v>
      </c>
      <c r="BK919" s="153" t="e">
        <f aca="false">_xlfn.xlookup(BG919,A868:A1862,AB868:AB1862)</f>
        <v>#NAME?</v>
      </c>
      <c r="BN919" s="146"/>
      <c r="BO919" s="150"/>
    </row>
    <row r="920" s="153" customFormat="true" ht="15" hidden="false" customHeight="false" outlineLevel="0" collapsed="false">
      <c r="AN920" s="153" t="e">
        <v>#NAME?</v>
      </c>
      <c r="AO920" s="153" t="e">
        <f aca="false">_xlfn.xlookup(AN920,A:A,F:F)</f>
        <v>#NAME?</v>
      </c>
      <c r="AP920" s="153" t="e">
        <f aca="false">_xlfn.xlookup(AN920,A:A,J:J)</f>
        <v>#NAME?</v>
      </c>
      <c r="AQ920" s="153" t="e">
        <f aca="false">_xlfn.xlookup(AN920,A:A,N:N)+_xlfn.xlookup(AN920,A:A,O:O)</f>
        <v>#NAME?</v>
      </c>
      <c r="AR920" s="150" t="e">
        <f aca="false">_xlfn.xlookup(AN920,A:A,AH:AH)</f>
        <v>#NAME?</v>
      </c>
      <c r="AS920" s="150" t="e">
        <f aca="false">_xlfn.xlookup(AN920,A:A,S:S)</f>
        <v>#NAME?</v>
      </c>
      <c r="AT920" s="150" t="e">
        <f aca="false">_xlfn.xlookup(AN920,A:A,AE:AE)</f>
        <v>#NAME?</v>
      </c>
      <c r="AU920" s="150" t="e">
        <f aca="false">_xlfn.xlookup(AN920,A:A,AF:AF)</f>
        <v>#NAME?</v>
      </c>
      <c r="AX920" s="146"/>
      <c r="AY920" s="150"/>
      <c r="AZ920" s="150"/>
      <c r="BA920" s="150"/>
      <c r="BB920" s="146"/>
      <c r="BC920" s="146"/>
      <c r="BD920" s="151"/>
      <c r="BE920" s="146"/>
      <c r="BF920" s="146"/>
      <c r="BH920" s="152" t="e">
        <f aca="false">_xlfn.xlookup(BG920,A:A,F:F)</f>
        <v>#NAME?</v>
      </c>
      <c r="BI920" s="153" t="e">
        <f aca="false">_xlfn.xlookup(BG920,A:A,J:J)</f>
        <v>#NAME?</v>
      </c>
      <c r="BJ920" s="153" t="e">
        <f aca="false">_xlfn.xlookup(BG920,A:A,N:N)+_xlfn.xlookup(BG920,A:A,O:O)</f>
        <v>#NAME?</v>
      </c>
      <c r="BK920" s="153" t="e">
        <f aca="false">_xlfn.xlookup(BG920,A869:A1863,AB869:AB1863)</f>
        <v>#NAME?</v>
      </c>
      <c r="BN920" s="146"/>
      <c r="BO920" s="150"/>
    </row>
    <row r="921" s="153" customFormat="true" ht="15" hidden="false" customHeight="false" outlineLevel="0" collapsed="false">
      <c r="AN921" s="153" t="e">
        <v>#NAME?</v>
      </c>
      <c r="AO921" s="153" t="e">
        <f aca="false">_xlfn.xlookup(AN921,A:A,F:F)</f>
        <v>#NAME?</v>
      </c>
      <c r="AP921" s="153" t="e">
        <f aca="false">_xlfn.xlookup(AN921,A:A,J:J)</f>
        <v>#NAME?</v>
      </c>
      <c r="AQ921" s="153" t="e">
        <f aca="false">_xlfn.xlookup(AN921,A:A,N:N)+_xlfn.xlookup(AN921,A:A,O:O)</f>
        <v>#NAME?</v>
      </c>
      <c r="AR921" s="150" t="e">
        <f aca="false">_xlfn.xlookup(AN921,A:A,AH:AH)</f>
        <v>#NAME?</v>
      </c>
      <c r="AS921" s="150" t="e">
        <f aca="false">_xlfn.xlookup(AN921,A:A,S:S)</f>
        <v>#NAME?</v>
      </c>
      <c r="AT921" s="150" t="e">
        <f aca="false">_xlfn.xlookup(AN921,A:A,AE:AE)</f>
        <v>#NAME?</v>
      </c>
      <c r="AU921" s="150" t="e">
        <f aca="false">_xlfn.xlookup(AN921,A:A,AF:AF)</f>
        <v>#NAME?</v>
      </c>
      <c r="AX921" s="146"/>
      <c r="AY921" s="150"/>
      <c r="AZ921" s="150"/>
      <c r="BA921" s="150"/>
      <c r="BB921" s="146"/>
      <c r="BC921" s="146"/>
      <c r="BD921" s="151"/>
      <c r="BE921" s="146"/>
      <c r="BF921" s="146"/>
      <c r="BH921" s="152" t="e">
        <f aca="false">_xlfn.xlookup(BG921,A:A,F:F)</f>
        <v>#NAME?</v>
      </c>
      <c r="BI921" s="153" t="e">
        <f aca="false">_xlfn.xlookup(BG921,A:A,J:J)</f>
        <v>#NAME?</v>
      </c>
      <c r="BJ921" s="153" t="e">
        <f aca="false">_xlfn.xlookup(BG921,A:A,N:N)+_xlfn.xlookup(BG921,A:A,O:O)</f>
        <v>#NAME?</v>
      </c>
      <c r="BK921" s="153" t="e">
        <f aca="false">_xlfn.xlookup(BG921,A870:A1864,AB870:AB1864)</f>
        <v>#NAME?</v>
      </c>
      <c r="BN921" s="146"/>
      <c r="BO921" s="150"/>
    </row>
    <row r="922" s="153" customFormat="true" ht="15" hidden="false" customHeight="false" outlineLevel="0" collapsed="false">
      <c r="AN922" s="153" t="e">
        <v>#NAME?</v>
      </c>
      <c r="AO922" s="153" t="e">
        <f aca="false">_xlfn.xlookup(AN922,A:A,F:F)</f>
        <v>#NAME?</v>
      </c>
      <c r="AP922" s="153" t="e">
        <f aca="false">_xlfn.xlookup(AN922,A:A,J:J)</f>
        <v>#NAME?</v>
      </c>
      <c r="AQ922" s="153" t="e">
        <f aca="false">_xlfn.xlookup(AN922,A:A,N:N)+_xlfn.xlookup(AN922,A:A,O:O)</f>
        <v>#NAME?</v>
      </c>
      <c r="AR922" s="150" t="e">
        <f aca="false">_xlfn.xlookup(AN922,A:A,AH:AH)</f>
        <v>#NAME?</v>
      </c>
      <c r="AS922" s="150" t="e">
        <f aca="false">_xlfn.xlookup(AN922,A:A,S:S)</f>
        <v>#NAME?</v>
      </c>
      <c r="AT922" s="150" t="e">
        <f aca="false">_xlfn.xlookup(AN922,A:A,AE:AE)</f>
        <v>#NAME?</v>
      </c>
      <c r="AU922" s="150" t="e">
        <f aca="false">_xlfn.xlookup(AN922,A:A,AF:AF)</f>
        <v>#NAME?</v>
      </c>
      <c r="AX922" s="146"/>
      <c r="AY922" s="150"/>
      <c r="AZ922" s="150"/>
      <c r="BA922" s="150"/>
      <c r="BB922" s="146"/>
      <c r="BC922" s="146"/>
      <c r="BD922" s="151"/>
      <c r="BE922" s="146"/>
      <c r="BF922" s="146"/>
      <c r="BH922" s="152" t="e">
        <f aca="false">_xlfn.xlookup(BG922,A:A,F:F)</f>
        <v>#NAME?</v>
      </c>
      <c r="BI922" s="153" t="e">
        <f aca="false">_xlfn.xlookup(BG922,A:A,J:J)</f>
        <v>#NAME?</v>
      </c>
      <c r="BJ922" s="153" t="e">
        <f aca="false">_xlfn.xlookup(BG922,A:A,N:N)+_xlfn.xlookup(BG922,A:A,O:O)</f>
        <v>#NAME?</v>
      </c>
      <c r="BK922" s="153" t="e">
        <f aca="false">_xlfn.xlookup(BG922,A871:A1865,AB871:AB1865)</f>
        <v>#NAME?</v>
      </c>
      <c r="BN922" s="146"/>
      <c r="BO922" s="150"/>
    </row>
    <row r="923" s="153" customFormat="true" ht="15" hidden="false" customHeight="false" outlineLevel="0" collapsed="false">
      <c r="AN923" s="153" t="e">
        <v>#NAME?</v>
      </c>
      <c r="AO923" s="153" t="e">
        <f aca="false">_xlfn.xlookup(AN923,A:A,F:F)</f>
        <v>#NAME?</v>
      </c>
      <c r="AP923" s="153" t="e">
        <f aca="false">_xlfn.xlookup(AN923,A:A,J:J)</f>
        <v>#NAME?</v>
      </c>
      <c r="AQ923" s="153" t="e">
        <f aca="false">_xlfn.xlookup(AN923,A:A,N:N)+_xlfn.xlookup(AN923,A:A,O:O)</f>
        <v>#NAME?</v>
      </c>
      <c r="AR923" s="150" t="e">
        <f aca="false">_xlfn.xlookup(AN923,A:A,AH:AH)</f>
        <v>#NAME?</v>
      </c>
      <c r="AS923" s="150" t="e">
        <f aca="false">_xlfn.xlookup(AN923,A:A,S:S)</f>
        <v>#NAME?</v>
      </c>
      <c r="AT923" s="150" t="e">
        <f aca="false">_xlfn.xlookup(AN923,A:A,AE:AE)</f>
        <v>#NAME?</v>
      </c>
      <c r="AU923" s="150" t="e">
        <f aca="false">_xlfn.xlookup(AN923,A:A,AF:AF)</f>
        <v>#NAME?</v>
      </c>
      <c r="AX923" s="146"/>
      <c r="AY923" s="150"/>
      <c r="AZ923" s="150"/>
      <c r="BA923" s="150"/>
      <c r="BB923" s="146"/>
      <c r="BC923" s="146"/>
      <c r="BD923" s="151"/>
      <c r="BE923" s="146"/>
      <c r="BF923" s="146"/>
      <c r="BH923" s="152" t="e">
        <f aca="false">_xlfn.xlookup(BG923,A:A,F:F)</f>
        <v>#NAME?</v>
      </c>
      <c r="BI923" s="153" t="e">
        <f aca="false">_xlfn.xlookup(BG923,A:A,J:J)</f>
        <v>#NAME?</v>
      </c>
      <c r="BJ923" s="153" t="e">
        <f aca="false">_xlfn.xlookup(BG923,A:A,N:N)+_xlfn.xlookup(BG923,A:A,O:O)</f>
        <v>#NAME?</v>
      </c>
      <c r="BK923" s="153" t="e">
        <f aca="false">_xlfn.xlookup(BG923,A872:A1866,AB872:AB1866)</f>
        <v>#NAME?</v>
      </c>
      <c r="BN923" s="146"/>
      <c r="BO923" s="150"/>
    </row>
    <row r="924" s="153" customFormat="true" ht="15" hidden="false" customHeight="false" outlineLevel="0" collapsed="false">
      <c r="AN924" s="153" t="e">
        <v>#NAME?</v>
      </c>
      <c r="AO924" s="153" t="e">
        <f aca="false">_xlfn.xlookup(AN924,A:A,F:F)</f>
        <v>#NAME?</v>
      </c>
      <c r="AP924" s="153" t="e">
        <f aca="false">_xlfn.xlookup(AN924,A:A,J:J)</f>
        <v>#NAME?</v>
      </c>
      <c r="AQ924" s="153" t="e">
        <f aca="false">_xlfn.xlookup(AN924,A:A,N:N)+_xlfn.xlookup(AN924,A:A,O:O)</f>
        <v>#NAME?</v>
      </c>
      <c r="AR924" s="150" t="e">
        <f aca="false">_xlfn.xlookup(AN924,A:A,AH:AH)</f>
        <v>#NAME?</v>
      </c>
      <c r="AS924" s="150" t="e">
        <f aca="false">_xlfn.xlookup(AN924,A:A,S:S)</f>
        <v>#NAME?</v>
      </c>
      <c r="AT924" s="150" t="e">
        <f aca="false">_xlfn.xlookup(AN924,A:A,AE:AE)</f>
        <v>#NAME?</v>
      </c>
      <c r="AU924" s="150" t="e">
        <f aca="false">_xlfn.xlookup(AN924,A:A,AF:AF)</f>
        <v>#NAME?</v>
      </c>
      <c r="AX924" s="146"/>
      <c r="AY924" s="150"/>
      <c r="AZ924" s="150"/>
      <c r="BA924" s="150"/>
      <c r="BB924" s="146"/>
      <c r="BC924" s="146"/>
      <c r="BD924" s="151"/>
      <c r="BE924" s="146"/>
      <c r="BF924" s="146"/>
      <c r="BH924" s="152" t="e">
        <f aca="false">_xlfn.xlookup(BG924,A:A,F:F)</f>
        <v>#NAME?</v>
      </c>
      <c r="BI924" s="153" t="e">
        <f aca="false">_xlfn.xlookup(BG924,A:A,J:J)</f>
        <v>#NAME?</v>
      </c>
      <c r="BJ924" s="153" t="e">
        <f aca="false">_xlfn.xlookup(BG924,A:A,N:N)+_xlfn.xlookup(BG924,A:A,O:O)</f>
        <v>#NAME?</v>
      </c>
      <c r="BK924" s="153" t="e">
        <f aca="false">_xlfn.xlookup(BG924,A873:A1867,AB873:AB1867)</f>
        <v>#NAME?</v>
      </c>
      <c r="BN924" s="146"/>
      <c r="BO924" s="150"/>
    </row>
    <row r="925" s="153" customFormat="true" ht="15" hidden="false" customHeight="false" outlineLevel="0" collapsed="false">
      <c r="AN925" s="153" t="e">
        <v>#NAME?</v>
      </c>
      <c r="AO925" s="153" t="e">
        <f aca="false">_xlfn.xlookup(AN925,A:A,F:F)</f>
        <v>#NAME?</v>
      </c>
      <c r="AP925" s="153" t="e">
        <f aca="false">_xlfn.xlookup(AN925,A:A,J:J)</f>
        <v>#NAME?</v>
      </c>
      <c r="AQ925" s="153" t="e">
        <f aca="false">_xlfn.xlookup(AN925,A:A,N:N)+_xlfn.xlookup(AN925,A:A,O:O)</f>
        <v>#NAME?</v>
      </c>
      <c r="AR925" s="150" t="e">
        <f aca="false">_xlfn.xlookup(AN925,A:A,AH:AH)</f>
        <v>#NAME?</v>
      </c>
      <c r="AS925" s="150" t="e">
        <f aca="false">_xlfn.xlookup(AN925,A:A,S:S)</f>
        <v>#NAME?</v>
      </c>
      <c r="AT925" s="150" t="e">
        <f aca="false">_xlfn.xlookup(AN925,A:A,AE:AE)</f>
        <v>#NAME?</v>
      </c>
      <c r="AU925" s="150" t="e">
        <f aca="false">_xlfn.xlookup(AN925,A:A,AF:AF)</f>
        <v>#NAME?</v>
      </c>
      <c r="AX925" s="146"/>
      <c r="AY925" s="150"/>
      <c r="AZ925" s="150"/>
      <c r="BA925" s="150"/>
      <c r="BB925" s="146"/>
      <c r="BC925" s="146"/>
      <c r="BD925" s="151"/>
      <c r="BE925" s="146"/>
      <c r="BF925" s="146"/>
      <c r="BH925" s="152" t="e">
        <f aca="false">_xlfn.xlookup(BG925,A:A,F:F)</f>
        <v>#NAME?</v>
      </c>
      <c r="BI925" s="153" t="e">
        <f aca="false">_xlfn.xlookup(BG925,A:A,J:J)</f>
        <v>#NAME?</v>
      </c>
      <c r="BJ925" s="153" t="e">
        <f aca="false">_xlfn.xlookup(BG925,A:A,N:N)+_xlfn.xlookup(BG925,A:A,O:O)</f>
        <v>#NAME?</v>
      </c>
      <c r="BK925" s="153" t="e">
        <f aca="false">_xlfn.xlookup(BG925,A874:A1868,AB874:AB1868)</f>
        <v>#NAME?</v>
      </c>
      <c r="BN925" s="146"/>
      <c r="BO925" s="150"/>
    </row>
    <row r="926" s="153" customFormat="true" ht="15" hidden="false" customHeight="false" outlineLevel="0" collapsed="false">
      <c r="AN926" s="153" t="e">
        <v>#NAME?</v>
      </c>
      <c r="AO926" s="153" t="e">
        <f aca="false">_xlfn.xlookup(AN926,A:A,F:F)</f>
        <v>#NAME?</v>
      </c>
      <c r="AP926" s="153" t="e">
        <f aca="false">_xlfn.xlookup(AN926,A:A,J:J)</f>
        <v>#NAME?</v>
      </c>
      <c r="AQ926" s="153" t="e">
        <f aca="false">_xlfn.xlookup(AN926,A:A,N:N)+_xlfn.xlookup(AN926,A:A,O:O)</f>
        <v>#NAME?</v>
      </c>
      <c r="AR926" s="150" t="e">
        <f aca="false">_xlfn.xlookup(AN926,A:A,AH:AH)</f>
        <v>#NAME?</v>
      </c>
      <c r="AS926" s="150" t="e">
        <f aca="false">_xlfn.xlookup(AN926,A:A,S:S)</f>
        <v>#NAME?</v>
      </c>
      <c r="AT926" s="150" t="e">
        <f aca="false">_xlfn.xlookup(AN926,A:A,AE:AE)</f>
        <v>#NAME?</v>
      </c>
      <c r="AU926" s="150" t="e">
        <f aca="false">_xlfn.xlookup(AN926,A:A,AF:AF)</f>
        <v>#NAME?</v>
      </c>
      <c r="AX926" s="146"/>
      <c r="AY926" s="150"/>
      <c r="AZ926" s="150"/>
      <c r="BA926" s="150"/>
      <c r="BB926" s="146"/>
      <c r="BC926" s="146"/>
      <c r="BD926" s="151"/>
      <c r="BE926" s="146"/>
      <c r="BF926" s="146"/>
      <c r="BH926" s="152" t="e">
        <f aca="false">_xlfn.xlookup(BG926,A:A,F:F)</f>
        <v>#NAME?</v>
      </c>
      <c r="BI926" s="153" t="e">
        <f aca="false">_xlfn.xlookup(BG926,A:A,J:J)</f>
        <v>#NAME?</v>
      </c>
      <c r="BJ926" s="153" t="e">
        <f aca="false">_xlfn.xlookup(BG926,A:A,N:N)+_xlfn.xlookup(BG926,A:A,O:O)</f>
        <v>#NAME?</v>
      </c>
      <c r="BK926" s="153" t="e">
        <f aca="false">_xlfn.xlookup(BG926,A875:A1869,AB875:AB1869)</f>
        <v>#NAME?</v>
      </c>
      <c r="BN926" s="146"/>
      <c r="BO926" s="150"/>
    </row>
    <row r="927" s="153" customFormat="true" ht="15" hidden="false" customHeight="false" outlineLevel="0" collapsed="false">
      <c r="AN927" s="153" t="e">
        <v>#NAME?</v>
      </c>
      <c r="AO927" s="153" t="e">
        <f aca="false">_xlfn.xlookup(AN927,A:A,F:F)</f>
        <v>#NAME?</v>
      </c>
      <c r="AP927" s="153" t="e">
        <f aca="false">_xlfn.xlookup(AN927,A:A,J:J)</f>
        <v>#NAME?</v>
      </c>
      <c r="AQ927" s="153" t="e">
        <f aca="false">_xlfn.xlookup(AN927,A:A,N:N)+_xlfn.xlookup(AN927,A:A,O:O)</f>
        <v>#NAME?</v>
      </c>
      <c r="AR927" s="150" t="e">
        <f aca="false">_xlfn.xlookup(AN927,A:A,AH:AH)</f>
        <v>#NAME?</v>
      </c>
      <c r="AS927" s="150" t="e">
        <f aca="false">_xlfn.xlookup(AN927,A:A,S:S)</f>
        <v>#NAME?</v>
      </c>
      <c r="AT927" s="150" t="e">
        <f aca="false">_xlfn.xlookup(AN927,A:A,AE:AE)</f>
        <v>#NAME?</v>
      </c>
      <c r="AU927" s="150" t="e">
        <f aca="false">_xlfn.xlookup(AN927,A:A,AF:AF)</f>
        <v>#NAME?</v>
      </c>
      <c r="AX927" s="146"/>
      <c r="AY927" s="150"/>
      <c r="AZ927" s="150"/>
      <c r="BA927" s="150"/>
      <c r="BB927" s="146"/>
      <c r="BC927" s="146"/>
      <c r="BD927" s="151"/>
      <c r="BE927" s="146"/>
      <c r="BF927" s="146"/>
      <c r="BH927" s="152" t="e">
        <f aca="false">_xlfn.xlookup(BG927,A:A,F:F)</f>
        <v>#NAME?</v>
      </c>
      <c r="BI927" s="153" t="e">
        <f aca="false">_xlfn.xlookup(BG927,A:A,J:J)</f>
        <v>#NAME?</v>
      </c>
      <c r="BJ927" s="153" t="e">
        <f aca="false">_xlfn.xlookup(BG927,A:A,N:N)+_xlfn.xlookup(BG927,A:A,O:O)</f>
        <v>#NAME?</v>
      </c>
      <c r="BK927" s="153" t="e">
        <f aca="false">_xlfn.xlookup(BG927,A876:A1870,AB876:AB1870)</f>
        <v>#NAME?</v>
      </c>
      <c r="BN927" s="146"/>
      <c r="BO927" s="150"/>
    </row>
    <row r="928" s="153" customFormat="true" ht="15" hidden="false" customHeight="false" outlineLevel="0" collapsed="false">
      <c r="AN928" s="153" t="e">
        <v>#NAME?</v>
      </c>
      <c r="AO928" s="153" t="e">
        <f aca="false">_xlfn.xlookup(AN928,A:A,F:F)</f>
        <v>#NAME?</v>
      </c>
      <c r="AP928" s="153" t="e">
        <f aca="false">_xlfn.xlookup(AN928,A:A,J:J)</f>
        <v>#NAME?</v>
      </c>
      <c r="AQ928" s="153" t="e">
        <f aca="false">_xlfn.xlookup(AN928,A:A,N:N)+_xlfn.xlookup(AN928,A:A,O:O)</f>
        <v>#NAME?</v>
      </c>
      <c r="AR928" s="150" t="e">
        <f aca="false">_xlfn.xlookup(AN928,A:A,AH:AH)</f>
        <v>#NAME?</v>
      </c>
      <c r="AS928" s="150" t="e">
        <f aca="false">_xlfn.xlookup(AN928,A:A,S:S)</f>
        <v>#NAME?</v>
      </c>
      <c r="AT928" s="150" t="e">
        <f aca="false">_xlfn.xlookup(AN928,A:A,AE:AE)</f>
        <v>#NAME?</v>
      </c>
      <c r="AU928" s="150" t="e">
        <f aca="false">_xlfn.xlookup(AN928,A:A,AF:AF)</f>
        <v>#NAME?</v>
      </c>
      <c r="AX928" s="146"/>
      <c r="AY928" s="150"/>
      <c r="AZ928" s="150"/>
      <c r="BA928" s="150"/>
      <c r="BB928" s="146"/>
      <c r="BC928" s="146"/>
      <c r="BD928" s="151"/>
      <c r="BE928" s="146"/>
      <c r="BF928" s="146"/>
      <c r="BH928" s="152" t="e">
        <f aca="false">_xlfn.xlookup(BG928,A:A,F:F)</f>
        <v>#NAME?</v>
      </c>
      <c r="BI928" s="153" t="e">
        <f aca="false">_xlfn.xlookup(BG928,A:A,J:J)</f>
        <v>#NAME?</v>
      </c>
      <c r="BJ928" s="153" t="e">
        <f aca="false">_xlfn.xlookup(BG928,A:A,N:N)+_xlfn.xlookup(BG928,A:A,O:O)</f>
        <v>#NAME?</v>
      </c>
      <c r="BK928" s="153" t="e">
        <f aca="false">_xlfn.xlookup(BG928,A877:A1871,AB877:AB1871)</f>
        <v>#NAME?</v>
      </c>
      <c r="BN928" s="146"/>
      <c r="BO928" s="150"/>
    </row>
    <row r="929" s="153" customFormat="true" ht="15" hidden="false" customHeight="false" outlineLevel="0" collapsed="false">
      <c r="AN929" s="153" t="e">
        <v>#NAME?</v>
      </c>
      <c r="AO929" s="153" t="e">
        <f aca="false">_xlfn.xlookup(AN929,A:A,F:F)</f>
        <v>#NAME?</v>
      </c>
      <c r="AP929" s="153" t="e">
        <f aca="false">_xlfn.xlookup(AN929,A:A,J:J)</f>
        <v>#NAME?</v>
      </c>
      <c r="AQ929" s="153" t="e">
        <f aca="false">_xlfn.xlookup(AN929,A:A,N:N)+_xlfn.xlookup(AN929,A:A,O:O)</f>
        <v>#NAME?</v>
      </c>
      <c r="AR929" s="150" t="e">
        <f aca="false">_xlfn.xlookup(AN929,A:A,AH:AH)</f>
        <v>#NAME?</v>
      </c>
      <c r="AS929" s="150" t="e">
        <f aca="false">_xlfn.xlookup(AN929,A:A,S:S)</f>
        <v>#NAME?</v>
      </c>
      <c r="AT929" s="150" t="e">
        <f aca="false">_xlfn.xlookup(AN929,A:A,AE:AE)</f>
        <v>#NAME?</v>
      </c>
      <c r="AU929" s="150" t="e">
        <f aca="false">_xlfn.xlookup(AN929,A:A,AF:AF)</f>
        <v>#NAME?</v>
      </c>
      <c r="AX929" s="146"/>
      <c r="AY929" s="150"/>
      <c r="AZ929" s="150"/>
      <c r="BA929" s="150"/>
      <c r="BB929" s="146"/>
      <c r="BC929" s="146"/>
      <c r="BD929" s="151"/>
      <c r="BE929" s="146"/>
      <c r="BF929" s="146"/>
      <c r="BH929" s="152" t="e">
        <f aca="false">_xlfn.xlookup(BG929,A:A,F:F)</f>
        <v>#NAME?</v>
      </c>
      <c r="BI929" s="153" t="e">
        <f aca="false">_xlfn.xlookup(BG929,A:A,J:J)</f>
        <v>#NAME?</v>
      </c>
      <c r="BJ929" s="153" t="e">
        <f aca="false">_xlfn.xlookup(BG929,A:A,N:N)+_xlfn.xlookup(BG929,A:A,O:O)</f>
        <v>#NAME?</v>
      </c>
      <c r="BK929" s="153" t="e">
        <f aca="false">_xlfn.xlookup(BG929,A878:A1872,AB878:AB1872)</f>
        <v>#NAME?</v>
      </c>
    </row>
    <row r="930" s="153" customFormat="true" ht="15" hidden="false" customHeight="false" outlineLevel="0" collapsed="false">
      <c r="AN930" s="153" t="e">
        <v>#NAME?</v>
      </c>
      <c r="AO930" s="153" t="e">
        <f aca="false">_xlfn.xlookup(AN930,A:A,F:F)</f>
        <v>#NAME?</v>
      </c>
      <c r="AP930" s="153" t="e">
        <f aca="false">_xlfn.xlookup(AN930,A:A,J:J)</f>
        <v>#NAME?</v>
      </c>
      <c r="AQ930" s="153" t="e">
        <f aca="false">_xlfn.xlookup(AN930,A:A,N:N)+_xlfn.xlookup(AN930,A:A,O:O)</f>
        <v>#NAME?</v>
      </c>
      <c r="AR930" s="150" t="e">
        <f aca="false">_xlfn.xlookup(AN930,A:A,AH:AH)</f>
        <v>#NAME?</v>
      </c>
      <c r="AS930" s="150" t="e">
        <f aca="false">_xlfn.xlookup(AN930,A:A,S:S)</f>
        <v>#NAME?</v>
      </c>
      <c r="AT930" s="150" t="e">
        <f aca="false">_xlfn.xlookup(AN930,A:A,AE:AE)</f>
        <v>#NAME?</v>
      </c>
      <c r="AU930" s="150" t="e">
        <f aca="false">_xlfn.xlookup(AN930,A:A,AF:AF)</f>
        <v>#NAME?</v>
      </c>
      <c r="AX930" s="146"/>
      <c r="AY930" s="150"/>
      <c r="AZ930" s="150"/>
      <c r="BA930" s="150"/>
      <c r="BB930" s="146"/>
      <c r="BC930" s="146"/>
      <c r="BD930" s="151"/>
      <c r="BE930" s="146"/>
      <c r="BF930" s="146"/>
      <c r="BH930" s="152" t="e">
        <f aca="false">_xlfn.xlookup(BG930,A:A,F:F)</f>
        <v>#NAME?</v>
      </c>
      <c r="BI930" s="153" t="e">
        <f aca="false">_xlfn.xlookup(BG930,A:A,J:J)</f>
        <v>#NAME?</v>
      </c>
      <c r="BJ930" s="153" t="e">
        <f aca="false">_xlfn.xlookup(BG930,A:A,N:N)+_xlfn.xlookup(BG930,A:A,O:O)</f>
        <v>#NAME?</v>
      </c>
      <c r="BK930" s="153" t="e">
        <f aca="false">_xlfn.xlookup(BG930,A879:A1873,AB879:AB1873)</f>
        <v>#NAME?</v>
      </c>
    </row>
    <row r="931" s="153" customFormat="true" ht="15" hidden="false" customHeight="false" outlineLevel="0" collapsed="false">
      <c r="AN931" s="153" t="e">
        <v>#NAME?</v>
      </c>
      <c r="AO931" s="153" t="e">
        <f aca="false">_xlfn.xlookup(AN931,A:A,F:F)</f>
        <v>#NAME?</v>
      </c>
      <c r="AP931" s="153" t="e">
        <f aca="false">_xlfn.xlookup(AN931,A:A,J:J)</f>
        <v>#NAME?</v>
      </c>
      <c r="AQ931" s="153" t="e">
        <f aca="false">_xlfn.xlookup(AN931,A:A,N:N)+_xlfn.xlookup(AN931,A:A,O:O)</f>
        <v>#NAME?</v>
      </c>
      <c r="AR931" s="150" t="e">
        <f aca="false">_xlfn.xlookup(AN931,A:A,AH:AH)</f>
        <v>#NAME?</v>
      </c>
      <c r="AS931" s="150" t="e">
        <f aca="false">_xlfn.xlookup(AN931,A:A,S:S)</f>
        <v>#NAME?</v>
      </c>
      <c r="AT931" s="150" t="e">
        <f aca="false">_xlfn.xlookup(AN931,A:A,AE:AE)</f>
        <v>#NAME?</v>
      </c>
      <c r="AU931" s="150" t="e">
        <f aca="false">_xlfn.xlookup(AN931,A:A,AF:AF)</f>
        <v>#NAME?</v>
      </c>
      <c r="AX931" s="146"/>
      <c r="AY931" s="150"/>
      <c r="AZ931" s="150"/>
      <c r="BA931" s="150"/>
      <c r="BB931" s="146"/>
      <c r="BC931" s="146"/>
      <c r="BD931" s="151"/>
      <c r="BE931" s="146"/>
      <c r="BF931" s="146"/>
      <c r="BH931" s="152" t="e">
        <f aca="false">_xlfn.xlookup(BG931,A:A,F:F)</f>
        <v>#NAME?</v>
      </c>
      <c r="BI931" s="153" t="e">
        <f aca="false">_xlfn.xlookup(BG931,A:A,J:J)</f>
        <v>#NAME?</v>
      </c>
      <c r="BJ931" s="153" t="e">
        <f aca="false">_xlfn.xlookup(BG931,A:A,N:N)+_xlfn.xlookup(BG931,A:A,O:O)</f>
        <v>#NAME?</v>
      </c>
      <c r="BK931" s="153" t="e">
        <f aca="false">_xlfn.xlookup(BG931,A880:A1874,AB880:AB1874)</f>
        <v>#NAME?</v>
      </c>
    </row>
    <row r="932" s="153" customFormat="true" ht="15" hidden="false" customHeight="false" outlineLevel="0" collapsed="false">
      <c r="AN932" s="153" t="e">
        <v>#NAME?</v>
      </c>
      <c r="AO932" s="153" t="e">
        <f aca="false">_xlfn.xlookup(AN932,A:A,F:F)</f>
        <v>#NAME?</v>
      </c>
      <c r="AP932" s="153" t="e">
        <f aca="false">_xlfn.xlookup(AN932,A:A,J:J)</f>
        <v>#NAME?</v>
      </c>
      <c r="AQ932" s="153" t="e">
        <f aca="false">_xlfn.xlookup(AN932,A:A,N:N)+_xlfn.xlookup(AN932,A:A,O:O)</f>
        <v>#NAME?</v>
      </c>
      <c r="AR932" s="150" t="e">
        <f aca="false">_xlfn.xlookup(AN932,A:A,AH:AH)</f>
        <v>#NAME?</v>
      </c>
      <c r="AS932" s="150" t="e">
        <f aca="false">_xlfn.xlookup(AN932,A:A,S:S)</f>
        <v>#NAME?</v>
      </c>
      <c r="AT932" s="150" t="e">
        <f aca="false">_xlfn.xlookup(AN932,A:A,AE:AE)</f>
        <v>#NAME?</v>
      </c>
      <c r="AU932" s="150" t="e">
        <f aca="false">_xlfn.xlookup(AN932,A:A,AF:AF)</f>
        <v>#NAME?</v>
      </c>
      <c r="AX932" s="146"/>
      <c r="AY932" s="150"/>
      <c r="AZ932" s="150"/>
      <c r="BA932" s="150"/>
      <c r="BB932" s="146"/>
      <c r="BC932" s="146"/>
      <c r="BD932" s="151"/>
      <c r="BE932" s="146"/>
      <c r="BF932" s="146"/>
      <c r="BH932" s="152" t="e">
        <f aca="false">_xlfn.xlookup(BG932,A:A,F:F)</f>
        <v>#NAME?</v>
      </c>
      <c r="BI932" s="153" t="e">
        <f aca="false">_xlfn.xlookup(BG932,A:A,J:J)</f>
        <v>#NAME?</v>
      </c>
      <c r="BJ932" s="153" t="e">
        <f aca="false">_xlfn.xlookup(BG932,A:A,N:N)+_xlfn.xlookup(BG932,A:A,O:O)</f>
        <v>#NAME?</v>
      </c>
      <c r="BK932" s="153" t="e">
        <f aca="false">_xlfn.xlookup(BG932,A881:A1875,AB881:AB1875)</f>
        <v>#NAME?</v>
      </c>
    </row>
    <row r="933" s="153" customFormat="true" ht="15" hidden="false" customHeight="false" outlineLevel="0" collapsed="false">
      <c r="AN933" s="153" t="e">
        <v>#NAME?</v>
      </c>
      <c r="AO933" s="153" t="e">
        <f aca="false">_xlfn.xlookup(AN933,A:A,F:F)</f>
        <v>#NAME?</v>
      </c>
      <c r="AP933" s="153" t="e">
        <f aca="false">_xlfn.xlookup(AN933,A:A,J:J)</f>
        <v>#NAME?</v>
      </c>
      <c r="AQ933" s="153" t="e">
        <f aca="false">_xlfn.xlookup(AN933,A:A,N:N)+_xlfn.xlookup(AN933,A:A,O:O)</f>
        <v>#NAME?</v>
      </c>
      <c r="AR933" s="150" t="e">
        <f aca="false">_xlfn.xlookup(AN933,A:A,AH:AH)</f>
        <v>#NAME?</v>
      </c>
      <c r="AS933" s="150" t="e">
        <f aca="false">_xlfn.xlookup(AN933,A:A,S:S)</f>
        <v>#NAME?</v>
      </c>
      <c r="AT933" s="150" t="e">
        <f aca="false">_xlfn.xlookup(AN933,A:A,AE:AE)</f>
        <v>#NAME?</v>
      </c>
      <c r="AU933" s="150" t="e">
        <f aca="false">_xlfn.xlookup(AN933,A:A,AF:AF)</f>
        <v>#NAME?</v>
      </c>
      <c r="AX933" s="146"/>
      <c r="AY933" s="150"/>
      <c r="AZ933" s="150"/>
      <c r="BA933" s="150"/>
      <c r="BB933" s="146"/>
      <c r="BC933" s="146"/>
      <c r="BD933" s="151"/>
      <c r="BE933" s="146"/>
      <c r="BF933" s="146"/>
      <c r="BH933" s="152" t="e">
        <f aca="false">_xlfn.xlookup(BG933,A:A,F:F)</f>
        <v>#NAME?</v>
      </c>
      <c r="BI933" s="153" t="e">
        <f aca="false">_xlfn.xlookup(BG933,A:A,J:J)</f>
        <v>#NAME?</v>
      </c>
      <c r="BJ933" s="153" t="e">
        <f aca="false">_xlfn.xlookup(BG933,A:A,N:N)+_xlfn.xlookup(BG933,A:A,O:O)</f>
        <v>#NAME?</v>
      </c>
      <c r="BK933" s="153" t="e">
        <f aca="false">_xlfn.xlookup(BG933,A882:A1876,AB882:AB1876)</f>
        <v>#NAME?</v>
      </c>
    </row>
    <row r="934" s="153" customFormat="true" ht="15" hidden="false" customHeight="false" outlineLevel="0" collapsed="false">
      <c r="AN934" s="153" t="e">
        <v>#NAME?</v>
      </c>
      <c r="AO934" s="153" t="e">
        <f aca="false">_xlfn.xlookup(AN934,A:A,F:F)</f>
        <v>#NAME?</v>
      </c>
      <c r="AP934" s="153" t="e">
        <f aca="false">_xlfn.xlookup(AN934,A:A,J:J)</f>
        <v>#NAME?</v>
      </c>
      <c r="AQ934" s="153" t="e">
        <f aca="false">_xlfn.xlookup(AN934,A:A,N:N)+_xlfn.xlookup(AN934,A:A,O:O)</f>
        <v>#NAME?</v>
      </c>
      <c r="AR934" s="150" t="e">
        <f aca="false">_xlfn.xlookup(AN934,A:A,AH:AH)</f>
        <v>#NAME?</v>
      </c>
      <c r="AS934" s="150" t="e">
        <f aca="false">_xlfn.xlookup(AN934,A:A,S:S)</f>
        <v>#NAME?</v>
      </c>
      <c r="AT934" s="150" t="e">
        <f aca="false">_xlfn.xlookup(AN934,A:A,AE:AE)</f>
        <v>#NAME?</v>
      </c>
      <c r="AU934" s="150" t="e">
        <f aca="false">_xlfn.xlookup(AN934,A:A,AF:AF)</f>
        <v>#NAME?</v>
      </c>
      <c r="AX934" s="146"/>
      <c r="AY934" s="150"/>
      <c r="AZ934" s="150"/>
      <c r="BA934" s="150"/>
      <c r="BB934" s="146"/>
      <c r="BC934" s="146"/>
      <c r="BD934" s="151"/>
      <c r="BE934" s="146"/>
      <c r="BF934" s="146"/>
      <c r="BH934" s="152" t="e">
        <f aca="false">_xlfn.xlookup(BG934,A:A,F:F)</f>
        <v>#NAME?</v>
      </c>
      <c r="BI934" s="153" t="e">
        <f aca="false">_xlfn.xlookup(BG934,A:A,J:J)</f>
        <v>#NAME?</v>
      </c>
      <c r="BJ934" s="153" t="e">
        <f aca="false">_xlfn.xlookup(BG934,A:A,N:N)+_xlfn.xlookup(BG934,A:A,O:O)</f>
        <v>#NAME?</v>
      </c>
      <c r="BK934" s="153" t="e">
        <f aca="false">_xlfn.xlookup(BG934,A883:A1877,AB883:AB1877)</f>
        <v>#NAME?</v>
      </c>
    </row>
    <row r="935" s="153" customFormat="true" ht="15" hidden="false" customHeight="false" outlineLevel="0" collapsed="false">
      <c r="AN935" s="153" t="e">
        <v>#NAME?</v>
      </c>
      <c r="AO935" s="153" t="e">
        <f aca="false">_xlfn.xlookup(AN935,A:A,F:F)</f>
        <v>#NAME?</v>
      </c>
      <c r="AP935" s="153" t="e">
        <f aca="false">_xlfn.xlookup(AN935,A:A,J:J)</f>
        <v>#NAME?</v>
      </c>
      <c r="AQ935" s="153" t="e">
        <f aca="false">_xlfn.xlookup(AN935,A:A,N:N)+_xlfn.xlookup(AN935,A:A,O:O)</f>
        <v>#NAME?</v>
      </c>
      <c r="AR935" s="150" t="e">
        <f aca="false">_xlfn.xlookup(AN935,A:A,AH:AH)</f>
        <v>#NAME?</v>
      </c>
      <c r="AS935" s="150" t="e">
        <f aca="false">_xlfn.xlookup(AN935,A:A,S:S)</f>
        <v>#NAME?</v>
      </c>
      <c r="AT935" s="150" t="e">
        <f aca="false">_xlfn.xlookup(AN935,A:A,AE:AE)</f>
        <v>#NAME?</v>
      </c>
      <c r="AU935" s="150" t="e">
        <f aca="false">_xlfn.xlookup(AN935,A:A,AF:AF)</f>
        <v>#NAME?</v>
      </c>
      <c r="AX935" s="146"/>
      <c r="AY935" s="150"/>
      <c r="AZ935" s="150"/>
      <c r="BA935" s="150"/>
      <c r="BB935" s="146"/>
      <c r="BC935" s="146"/>
      <c r="BD935" s="151"/>
      <c r="BE935" s="146"/>
      <c r="BF935" s="146"/>
      <c r="BH935" s="152" t="e">
        <f aca="false">_xlfn.xlookup(BG935,A:A,F:F)</f>
        <v>#NAME?</v>
      </c>
      <c r="BI935" s="153" t="e">
        <f aca="false">_xlfn.xlookup(BG935,A:A,J:J)</f>
        <v>#NAME?</v>
      </c>
      <c r="BJ935" s="153" t="e">
        <f aca="false">_xlfn.xlookup(BG935,A:A,N:N)+_xlfn.xlookup(BG935,A:A,O:O)</f>
        <v>#NAME?</v>
      </c>
      <c r="BK935" s="153" t="e">
        <f aca="false">_xlfn.xlookup(BG935,A884:A1878,AB884:AB1878)</f>
        <v>#NAME?</v>
      </c>
    </row>
    <row r="936" s="153" customFormat="true" ht="15" hidden="false" customHeight="false" outlineLevel="0" collapsed="false">
      <c r="AN936" s="153" t="e">
        <v>#NAME?</v>
      </c>
      <c r="AO936" s="153" t="e">
        <f aca="false">_xlfn.xlookup(AN936,A:A,F:F)</f>
        <v>#NAME?</v>
      </c>
      <c r="AP936" s="153" t="e">
        <f aca="false">_xlfn.xlookup(AN936,A:A,J:J)</f>
        <v>#NAME?</v>
      </c>
      <c r="AQ936" s="153" t="e">
        <f aca="false">_xlfn.xlookup(AN936,A:A,N:N)+_xlfn.xlookup(AN936,A:A,O:O)</f>
        <v>#NAME?</v>
      </c>
      <c r="AR936" s="150" t="e">
        <f aca="false">_xlfn.xlookup(AN936,A:A,AH:AH)</f>
        <v>#NAME?</v>
      </c>
      <c r="AS936" s="150" t="e">
        <f aca="false">_xlfn.xlookup(AN936,A:A,S:S)</f>
        <v>#NAME?</v>
      </c>
      <c r="AT936" s="150" t="e">
        <f aca="false">_xlfn.xlookup(AN936,A:A,AE:AE)</f>
        <v>#NAME?</v>
      </c>
      <c r="AU936" s="150" t="e">
        <f aca="false">_xlfn.xlookup(AN936,A:A,AF:AF)</f>
        <v>#NAME?</v>
      </c>
      <c r="AX936" s="146"/>
      <c r="AY936" s="150"/>
      <c r="AZ936" s="150"/>
      <c r="BA936" s="150"/>
      <c r="BB936" s="146"/>
      <c r="BC936" s="146"/>
      <c r="BD936" s="151"/>
      <c r="BE936" s="146"/>
      <c r="BF936" s="146"/>
      <c r="BH936" s="152" t="e">
        <f aca="false">_xlfn.xlookup(BG936,A:A,F:F)</f>
        <v>#NAME?</v>
      </c>
      <c r="BI936" s="153" t="e">
        <f aca="false">_xlfn.xlookup(BG936,A:A,J:J)</f>
        <v>#NAME?</v>
      </c>
      <c r="BJ936" s="153" t="e">
        <f aca="false">_xlfn.xlookup(BG936,A:A,N:N)+_xlfn.xlookup(BG936,A:A,O:O)</f>
        <v>#NAME?</v>
      </c>
      <c r="BK936" s="153" t="e">
        <f aca="false">_xlfn.xlookup(BG936,A885:A1879,AB885:AB1879)</f>
        <v>#NAME?</v>
      </c>
    </row>
    <row r="937" s="153" customFormat="true" ht="15" hidden="false" customHeight="false" outlineLevel="0" collapsed="false">
      <c r="AN937" s="153" t="e">
        <v>#NAME?</v>
      </c>
      <c r="AO937" s="153" t="e">
        <f aca="false">_xlfn.xlookup(AN937,A:A,F:F)</f>
        <v>#NAME?</v>
      </c>
      <c r="AP937" s="153" t="e">
        <f aca="false">_xlfn.xlookup(AN937,A:A,J:J)</f>
        <v>#NAME?</v>
      </c>
      <c r="AQ937" s="153" t="e">
        <f aca="false">_xlfn.xlookup(AN937,A:A,N:N)+_xlfn.xlookup(AN937,A:A,O:O)</f>
        <v>#NAME?</v>
      </c>
      <c r="AR937" s="150" t="e">
        <f aca="false">_xlfn.xlookup(AN937,A:A,AH:AH)</f>
        <v>#NAME?</v>
      </c>
      <c r="AS937" s="150" t="e">
        <f aca="false">_xlfn.xlookup(AN937,A:A,S:S)</f>
        <v>#NAME?</v>
      </c>
      <c r="AT937" s="150" t="e">
        <f aca="false">_xlfn.xlookup(AN937,A:A,AE:AE)</f>
        <v>#NAME?</v>
      </c>
      <c r="AU937" s="150" t="e">
        <f aca="false">_xlfn.xlookup(AN937,A:A,AF:AF)</f>
        <v>#NAME?</v>
      </c>
      <c r="AX937" s="146"/>
      <c r="AY937" s="150"/>
      <c r="AZ937" s="150"/>
      <c r="BA937" s="150"/>
      <c r="BB937" s="146"/>
      <c r="BC937" s="146"/>
      <c r="BD937" s="151"/>
      <c r="BE937" s="146"/>
      <c r="BF937" s="146"/>
      <c r="BH937" s="152" t="e">
        <f aca="false">_xlfn.xlookup(BG937,A:A,F:F)</f>
        <v>#NAME?</v>
      </c>
      <c r="BI937" s="153" t="e">
        <f aca="false">_xlfn.xlookup(BG937,A:A,J:J)</f>
        <v>#NAME?</v>
      </c>
      <c r="BJ937" s="153" t="e">
        <f aca="false">_xlfn.xlookup(BG937,A:A,N:N)+_xlfn.xlookup(BG937,A:A,O:O)</f>
        <v>#NAME?</v>
      </c>
      <c r="BK937" s="153" t="e">
        <f aca="false">_xlfn.xlookup(BG937,A886:A1880,AB886:AB1880)</f>
        <v>#NAME?</v>
      </c>
    </row>
    <row r="938" s="153" customFormat="true" ht="15" hidden="false" customHeight="false" outlineLevel="0" collapsed="false">
      <c r="AN938" s="153" t="e">
        <v>#NAME?</v>
      </c>
      <c r="AO938" s="153" t="e">
        <f aca="false">_xlfn.xlookup(AN938,A:A,F:F)</f>
        <v>#NAME?</v>
      </c>
      <c r="AP938" s="153" t="e">
        <f aca="false">_xlfn.xlookup(AN938,A:A,J:J)</f>
        <v>#NAME?</v>
      </c>
      <c r="AQ938" s="153" t="e">
        <f aca="false">_xlfn.xlookup(AN938,A:A,N:N)+_xlfn.xlookup(AN938,A:A,O:O)</f>
        <v>#NAME?</v>
      </c>
      <c r="AR938" s="150" t="e">
        <f aca="false">_xlfn.xlookup(AN938,A:A,AH:AH)</f>
        <v>#NAME?</v>
      </c>
      <c r="AS938" s="150" t="e">
        <f aca="false">_xlfn.xlookup(AN938,A:A,S:S)</f>
        <v>#NAME?</v>
      </c>
      <c r="AT938" s="150" t="e">
        <f aca="false">_xlfn.xlookup(AN938,A:A,AE:AE)</f>
        <v>#NAME?</v>
      </c>
      <c r="AU938" s="150" t="e">
        <f aca="false">_xlfn.xlookup(AN938,A:A,AF:AF)</f>
        <v>#NAME?</v>
      </c>
      <c r="AX938" s="146"/>
      <c r="AY938" s="150"/>
      <c r="AZ938" s="150"/>
      <c r="BA938" s="150"/>
      <c r="BB938" s="146"/>
      <c r="BC938" s="146"/>
      <c r="BD938" s="151"/>
      <c r="BE938" s="146"/>
      <c r="BF938" s="146"/>
      <c r="BH938" s="152" t="e">
        <f aca="false">_xlfn.xlookup(BG938,A:A,F:F)</f>
        <v>#NAME?</v>
      </c>
      <c r="BI938" s="153" t="e">
        <f aca="false">_xlfn.xlookup(BG938,A:A,J:J)</f>
        <v>#NAME?</v>
      </c>
      <c r="BJ938" s="153" t="e">
        <f aca="false">_xlfn.xlookup(BG938,A:A,N:N)+_xlfn.xlookup(BG938,A:A,O:O)</f>
        <v>#NAME?</v>
      </c>
      <c r="BK938" s="153" t="e">
        <f aca="false">_xlfn.xlookup(BG938,A887:A1881,AB887:AB1881)</f>
        <v>#NAME?</v>
      </c>
    </row>
    <row r="939" s="153" customFormat="true" ht="15" hidden="false" customHeight="false" outlineLevel="0" collapsed="false">
      <c r="AN939" s="153" t="e">
        <v>#NAME?</v>
      </c>
      <c r="AO939" s="153" t="e">
        <f aca="false">_xlfn.xlookup(AN939,A:A,F:F)</f>
        <v>#NAME?</v>
      </c>
      <c r="AP939" s="153" t="e">
        <f aca="false">_xlfn.xlookup(AN939,A:A,J:J)</f>
        <v>#NAME?</v>
      </c>
      <c r="AQ939" s="153" t="e">
        <f aca="false">_xlfn.xlookup(AN939,A:A,N:N)+_xlfn.xlookup(AN939,A:A,O:O)</f>
        <v>#NAME?</v>
      </c>
      <c r="AR939" s="150" t="e">
        <f aca="false">_xlfn.xlookup(AN939,A:A,AH:AH)</f>
        <v>#NAME?</v>
      </c>
      <c r="AS939" s="150" t="e">
        <f aca="false">_xlfn.xlookup(AN939,A:A,S:S)</f>
        <v>#NAME?</v>
      </c>
      <c r="AT939" s="150" t="e">
        <f aca="false">_xlfn.xlookup(AN939,A:A,AE:AE)</f>
        <v>#NAME?</v>
      </c>
      <c r="AU939" s="150" t="e">
        <f aca="false">_xlfn.xlookup(AN939,A:A,AF:AF)</f>
        <v>#NAME?</v>
      </c>
      <c r="AX939" s="146"/>
      <c r="AY939" s="150"/>
      <c r="AZ939" s="150"/>
      <c r="BA939" s="150"/>
      <c r="BB939" s="146"/>
      <c r="BC939" s="146"/>
      <c r="BD939" s="151"/>
      <c r="BE939" s="146"/>
      <c r="BF939" s="146"/>
      <c r="BH939" s="152" t="e">
        <f aca="false">_xlfn.xlookup(BG939,A:A,F:F)</f>
        <v>#NAME?</v>
      </c>
      <c r="BI939" s="153" t="e">
        <f aca="false">_xlfn.xlookup(BG939,A:A,J:J)</f>
        <v>#NAME?</v>
      </c>
      <c r="BJ939" s="153" t="e">
        <f aca="false">_xlfn.xlookup(BG939,A:A,N:N)+_xlfn.xlookup(BG939,A:A,O:O)</f>
        <v>#NAME?</v>
      </c>
      <c r="BK939" s="153" t="e">
        <f aca="false">_xlfn.xlookup(BG939,A888:A1882,AB888:AB1882)</f>
        <v>#NAME?</v>
      </c>
    </row>
    <row r="940" s="153" customFormat="true" ht="15" hidden="false" customHeight="false" outlineLevel="0" collapsed="false">
      <c r="AN940" s="153" t="e">
        <v>#NAME?</v>
      </c>
      <c r="AO940" s="153" t="e">
        <f aca="false">_xlfn.xlookup(AN940,A:A,F:F)</f>
        <v>#NAME?</v>
      </c>
      <c r="AP940" s="153" t="e">
        <f aca="false">_xlfn.xlookup(AN940,A:A,J:J)</f>
        <v>#NAME?</v>
      </c>
      <c r="AQ940" s="153" t="e">
        <f aca="false">_xlfn.xlookup(AN940,A:A,N:N)+_xlfn.xlookup(AN940,A:A,O:O)</f>
        <v>#NAME?</v>
      </c>
      <c r="AR940" s="150" t="e">
        <f aca="false">_xlfn.xlookup(AN940,A:A,AH:AH)</f>
        <v>#NAME?</v>
      </c>
      <c r="AS940" s="150" t="e">
        <f aca="false">_xlfn.xlookup(AN940,A:A,S:S)</f>
        <v>#NAME?</v>
      </c>
      <c r="AT940" s="150" t="e">
        <f aca="false">_xlfn.xlookup(AN940,A:A,AE:AE)</f>
        <v>#NAME?</v>
      </c>
      <c r="AU940" s="150" t="e">
        <f aca="false">_xlfn.xlookup(AN940,A:A,AF:AF)</f>
        <v>#NAME?</v>
      </c>
      <c r="AX940" s="146"/>
      <c r="AY940" s="150"/>
      <c r="AZ940" s="150"/>
      <c r="BA940" s="150"/>
      <c r="BB940" s="146"/>
      <c r="BC940" s="146"/>
      <c r="BD940" s="151"/>
      <c r="BE940" s="146"/>
      <c r="BF940" s="146"/>
      <c r="BH940" s="152" t="e">
        <f aca="false">_xlfn.xlookup(BG940,A:A,F:F)</f>
        <v>#NAME?</v>
      </c>
      <c r="BI940" s="153" t="e">
        <f aca="false">_xlfn.xlookup(BG940,A:A,J:J)</f>
        <v>#NAME?</v>
      </c>
      <c r="BJ940" s="153" t="e">
        <f aca="false">_xlfn.xlookup(BG940,A:A,N:N)+_xlfn.xlookup(BG940,A:A,O:O)</f>
        <v>#NAME?</v>
      </c>
      <c r="BK940" s="153" t="e">
        <f aca="false">_xlfn.xlookup(BG940,A889:A1883,AB889:AB1883)</f>
        <v>#NAME?</v>
      </c>
    </row>
    <row r="941" s="153" customFormat="true" ht="15" hidden="false" customHeight="false" outlineLevel="0" collapsed="false">
      <c r="AN941" s="153" t="e">
        <v>#NAME?</v>
      </c>
      <c r="AO941" s="153" t="e">
        <f aca="false">_xlfn.xlookup(AN941,A:A,F:F)</f>
        <v>#NAME?</v>
      </c>
      <c r="AP941" s="153" t="e">
        <f aca="false">_xlfn.xlookup(AN941,A:A,J:J)</f>
        <v>#NAME?</v>
      </c>
      <c r="AQ941" s="153" t="e">
        <f aca="false">_xlfn.xlookup(AN941,A:A,N:N)+_xlfn.xlookup(AN941,A:A,O:O)</f>
        <v>#NAME?</v>
      </c>
      <c r="AR941" s="150" t="e">
        <f aca="false">_xlfn.xlookup(AN941,A:A,AH:AH)</f>
        <v>#NAME?</v>
      </c>
      <c r="AS941" s="150" t="e">
        <f aca="false">_xlfn.xlookup(AN941,A:A,S:S)</f>
        <v>#NAME?</v>
      </c>
      <c r="AT941" s="150" t="e">
        <f aca="false">_xlfn.xlookup(AN941,A:A,AE:AE)</f>
        <v>#NAME?</v>
      </c>
      <c r="AU941" s="150" t="e">
        <f aca="false">_xlfn.xlookup(AN941,A:A,AF:AF)</f>
        <v>#NAME?</v>
      </c>
      <c r="AX941" s="146"/>
      <c r="AY941" s="150"/>
      <c r="AZ941" s="150"/>
      <c r="BA941" s="150"/>
      <c r="BB941" s="146"/>
      <c r="BC941" s="146"/>
      <c r="BD941" s="151"/>
      <c r="BE941" s="146"/>
      <c r="BF941" s="146"/>
      <c r="BH941" s="152" t="e">
        <f aca="false">_xlfn.xlookup(BG941,A:A,F:F)</f>
        <v>#NAME?</v>
      </c>
      <c r="BI941" s="153" t="e">
        <f aca="false">_xlfn.xlookup(BG941,A:A,J:J)</f>
        <v>#NAME?</v>
      </c>
      <c r="BJ941" s="153" t="e">
        <f aca="false">_xlfn.xlookup(BG941,A:A,N:N)+_xlfn.xlookup(BG941,A:A,O:O)</f>
        <v>#NAME?</v>
      </c>
      <c r="BK941" s="153" t="e">
        <f aca="false">_xlfn.xlookup(BG941,A890:A1884,AB890:AB1884)</f>
        <v>#NAME?</v>
      </c>
    </row>
    <row r="942" s="153" customFormat="true" ht="15" hidden="false" customHeight="false" outlineLevel="0" collapsed="false">
      <c r="AN942" s="153" t="e">
        <v>#NAME?</v>
      </c>
      <c r="AO942" s="153" t="e">
        <f aca="false">_xlfn.xlookup(AN942,A:A,F:F)</f>
        <v>#NAME?</v>
      </c>
      <c r="AP942" s="153" t="e">
        <f aca="false">_xlfn.xlookup(AN942,A:A,J:J)</f>
        <v>#NAME?</v>
      </c>
      <c r="AQ942" s="153" t="e">
        <f aca="false">_xlfn.xlookup(AN942,A:A,N:N)+_xlfn.xlookup(AN942,A:A,O:O)</f>
        <v>#NAME?</v>
      </c>
      <c r="AR942" s="150" t="e">
        <f aca="false">_xlfn.xlookup(AN942,A:A,AH:AH)</f>
        <v>#NAME?</v>
      </c>
      <c r="AS942" s="150" t="e">
        <f aca="false">_xlfn.xlookup(AN942,A:A,S:S)</f>
        <v>#NAME?</v>
      </c>
      <c r="AT942" s="150" t="e">
        <f aca="false">_xlfn.xlookup(AN942,A:A,AE:AE)</f>
        <v>#NAME?</v>
      </c>
      <c r="AU942" s="150" t="e">
        <f aca="false">_xlfn.xlookup(AN942,A:A,AF:AF)</f>
        <v>#NAME?</v>
      </c>
      <c r="AX942" s="146"/>
      <c r="AY942" s="150"/>
      <c r="AZ942" s="150"/>
      <c r="BA942" s="150"/>
      <c r="BB942" s="146"/>
      <c r="BC942" s="146"/>
      <c r="BD942" s="151"/>
      <c r="BE942" s="146"/>
      <c r="BF942" s="146"/>
      <c r="BH942" s="152" t="e">
        <f aca="false">_xlfn.xlookup(BG942,A:A,F:F)</f>
        <v>#NAME?</v>
      </c>
      <c r="BI942" s="153" t="e">
        <f aca="false">_xlfn.xlookup(BG942,A:A,J:J)</f>
        <v>#NAME?</v>
      </c>
      <c r="BJ942" s="153" t="e">
        <f aca="false">_xlfn.xlookup(BG942,A:A,N:N)+_xlfn.xlookup(BG942,A:A,O:O)</f>
        <v>#NAME?</v>
      </c>
      <c r="BK942" s="153" t="e">
        <f aca="false">_xlfn.xlookup(BG942,A891:A1885,AB891:AB1885)</f>
        <v>#NAME?</v>
      </c>
    </row>
    <row r="943" s="153" customFormat="true" ht="15" hidden="false" customHeight="false" outlineLevel="0" collapsed="false">
      <c r="AN943" s="153" t="e">
        <v>#NAME?</v>
      </c>
      <c r="AO943" s="153" t="e">
        <f aca="false">_xlfn.xlookup(AN943,A:A,F:F)</f>
        <v>#NAME?</v>
      </c>
      <c r="AP943" s="153" t="e">
        <f aca="false">_xlfn.xlookup(AN943,A:A,J:J)</f>
        <v>#NAME?</v>
      </c>
      <c r="AQ943" s="153" t="e">
        <f aca="false">_xlfn.xlookup(AN943,A:A,N:N)+_xlfn.xlookup(AN943,A:A,O:O)</f>
        <v>#NAME?</v>
      </c>
      <c r="AR943" s="150" t="e">
        <f aca="false">_xlfn.xlookup(AN943,A:A,AH:AH)</f>
        <v>#NAME?</v>
      </c>
      <c r="AS943" s="150" t="e">
        <f aca="false">_xlfn.xlookup(AN943,A:A,S:S)</f>
        <v>#NAME?</v>
      </c>
      <c r="AT943" s="150" t="e">
        <f aca="false">_xlfn.xlookup(AN943,A:A,AE:AE)</f>
        <v>#NAME?</v>
      </c>
      <c r="AU943" s="150" t="e">
        <f aca="false">_xlfn.xlookup(AN943,A:A,AF:AF)</f>
        <v>#NAME?</v>
      </c>
      <c r="AX943" s="146"/>
      <c r="AY943" s="150"/>
      <c r="AZ943" s="150"/>
      <c r="BA943" s="150"/>
      <c r="BB943" s="146"/>
      <c r="BC943" s="146"/>
      <c r="BD943" s="151"/>
      <c r="BE943" s="146"/>
      <c r="BF943" s="146"/>
      <c r="BH943" s="152" t="e">
        <f aca="false">_xlfn.xlookup(BG943,A:A,F:F)</f>
        <v>#NAME?</v>
      </c>
      <c r="BI943" s="153" t="e">
        <f aca="false">_xlfn.xlookup(BG943,A:A,J:J)</f>
        <v>#NAME?</v>
      </c>
      <c r="BJ943" s="153" t="e">
        <f aca="false">_xlfn.xlookup(BG943,A:A,N:N)+_xlfn.xlookup(BG943,A:A,O:O)</f>
        <v>#NAME?</v>
      </c>
      <c r="BK943" s="153" t="e">
        <f aca="false">_xlfn.xlookup(BG943,A892:A1886,AB892:AB1886)</f>
        <v>#NAME?</v>
      </c>
    </row>
    <row r="944" s="153" customFormat="true" ht="15" hidden="false" customHeight="false" outlineLevel="0" collapsed="false">
      <c r="AN944" s="153" t="e">
        <v>#NAME?</v>
      </c>
      <c r="AO944" s="153" t="e">
        <f aca="false">_xlfn.xlookup(AN944,A:A,F:F)</f>
        <v>#NAME?</v>
      </c>
      <c r="AP944" s="153" t="e">
        <f aca="false">_xlfn.xlookup(AN944,A:A,J:J)</f>
        <v>#NAME?</v>
      </c>
      <c r="AQ944" s="153" t="e">
        <f aca="false">_xlfn.xlookup(AN944,A:A,N:N)+_xlfn.xlookup(AN944,A:A,O:O)</f>
        <v>#NAME?</v>
      </c>
      <c r="AR944" s="150" t="e">
        <f aca="false">_xlfn.xlookup(AN944,A:A,AH:AH)</f>
        <v>#NAME?</v>
      </c>
      <c r="AS944" s="150" t="e">
        <f aca="false">_xlfn.xlookup(AN944,A:A,S:S)</f>
        <v>#NAME?</v>
      </c>
      <c r="AT944" s="150" t="e">
        <f aca="false">_xlfn.xlookup(AN944,A:A,AE:AE)</f>
        <v>#NAME?</v>
      </c>
      <c r="AU944" s="150" t="e">
        <f aca="false">_xlfn.xlookup(AN944,A:A,AF:AF)</f>
        <v>#NAME?</v>
      </c>
      <c r="AX944" s="146"/>
      <c r="AY944" s="150"/>
      <c r="AZ944" s="150"/>
      <c r="BA944" s="150"/>
      <c r="BB944" s="146"/>
      <c r="BC944" s="146"/>
      <c r="BD944" s="151"/>
      <c r="BE944" s="146"/>
      <c r="BF944" s="146"/>
      <c r="BH944" s="152" t="e">
        <f aca="false">_xlfn.xlookup(BG944,A:A,F:F)</f>
        <v>#NAME?</v>
      </c>
      <c r="BI944" s="153" t="e">
        <f aca="false">_xlfn.xlookup(BG944,A:A,J:J)</f>
        <v>#NAME?</v>
      </c>
      <c r="BJ944" s="153" t="e">
        <f aca="false">_xlfn.xlookup(BG944,A:A,N:N)+_xlfn.xlookup(BG944,A:A,O:O)</f>
        <v>#NAME?</v>
      </c>
      <c r="BK944" s="153" t="e">
        <f aca="false">_xlfn.xlookup(BG944,A893:A1887,AB893:AB1887)</f>
        <v>#NAME?</v>
      </c>
    </row>
    <row r="945" s="153" customFormat="true" ht="15" hidden="false" customHeight="false" outlineLevel="0" collapsed="false">
      <c r="AN945" s="153" t="e">
        <v>#NAME?</v>
      </c>
      <c r="AO945" s="153" t="e">
        <f aca="false">_xlfn.xlookup(AN945,A:A,F:F)</f>
        <v>#NAME?</v>
      </c>
      <c r="AP945" s="153" t="e">
        <f aca="false">_xlfn.xlookup(AN945,A:A,J:J)</f>
        <v>#NAME?</v>
      </c>
      <c r="AQ945" s="153" t="e">
        <f aca="false">_xlfn.xlookup(AN945,A:A,N:N)+_xlfn.xlookup(AN945,A:A,O:O)</f>
        <v>#NAME?</v>
      </c>
      <c r="AR945" s="150" t="e">
        <f aca="false">_xlfn.xlookup(AN945,A:A,AH:AH)</f>
        <v>#NAME?</v>
      </c>
      <c r="AS945" s="150" t="e">
        <f aca="false">_xlfn.xlookup(AN945,A:A,S:S)</f>
        <v>#NAME?</v>
      </c>
      <c r="AT945" s="150" t="e">
        <f aca="false">_xlfn.xlookup(AN945,A:A,AE:AE)</f>
        <v>#NAME?</v>
      </c>
      <c r="AU945" s="150" t="e">
        <f aca="false">_xlfn.xlookup(AN945,A:A,AF:AF)</f>
        <v>#NAME?</v>
      </c>
      <c r="AX945" s="146"/>
      <c r="AY945" s="150"/>
      <c r="AZ945" s="150"/>
      <c r="BA945" s="150"/>
      <c r="BB945" s="146"/>
      <c r="BC945" s="146"/>
      <c r="BD945" s="151"/>
      <c r="BE945" s="146"/>
      <c r="BF945" s="146"/>
      <c r="BH945" s="152" t="e">
        <f aca="false">_xlfn.xlookup(BG945,A:A,F:F)</f>
        <v>#NAME?</v>
      </c>
      <c r="BI945" s="153" t="e">
        <f aca="false">_xlfn.xlookup(BG945,A:A,J:J)</f>
        <v>#NAME?</v>
      </c>
      <c r="BJ945" s="153" t="e">
        <f aca="false">_xlfn.xlookup(BG945,A:A,N:N)+_xlfn.xlookup(BG945,A:A,O:O)</f>
        <v>#NAME?</v>
      </c>
      <c r="BK945" s="153" t="e">
        <f aca="false">_xlfn.xlookup(BG945,A894:A1888,AB894:AB1888)</f>
        <v>#NAME?</v>
      </c>
    </row>
    <row r="946" s="153" customFormat="true" ht="15" hidden="false" customHeight="false" outlineLevel="0" collapsed="false">
      <c r="AN946" s="153" t="e">
        <v>#NAME?</v>
      </c>
      <c r="AO946" s="153" t="e">
        <f aca="false">_xlfn.xlookup(AN946,A:A,F:F)</f>
        <v>#NAME?</v>
      </c>
      <c r="AP946" s="153" t="e">
        <f aca="false">_xlfn.xlookup(AN946,A:A,J:J)</f>
        <v>#NAME?</v>
      </c>
      <c r="AQ946" s="153" t="e">
        <f aca="false">_xlfn.xlookup(AN946,A:A,N:N)+_xlfn.xlookup(AN946,A:A,O:O)</f>
        <v>#NAME?</v>
      </c>
      <c r="AR946" s="150" t="e">
        <f aca="false">_xlfn.xlookup(AN946,A:A,AH:AH)</f>
        <v>#NAME?</v>
      </c>
      <c r="AS946" s="150" t="e">
        <f aca="false">_xlfn.xlookup(AN946,A:A,S:S)</f>
        <v>#NAME?</v>
      </c>
      <c r="AT946" s="150" t="e">
        <f aca="false">_xlfn.xlookup(AN946,A:A,AE:AE)</f>
        <v>#NAME?</v>
      </c>
      <c r="AU946" s="150" t="e">
        <f aca="false">_xlfn.xlookup(AN946,A:A,AF:AF)</f>
        <v>#NAME?</v>
      </c>
      <c r="AX946" s="146"/>
      <c r="AY946" s="150"/>
      <c r="AZ946" s="150"/>
      <c r="BA946" s="150"/>
      <c r="BB946" s="146"/>
      <c r="BC946" s="146"/>
      <c r="BD946" s="151"/>
      <c r="BE946" s="146"/>
      <c r="BF946" s="146"/>
      <c r="BH946" s="152" t="e">
        <f aca="false">_xlfn.xlookup(BG946,A:A,F:F)</f>
        <v>#NAME?</v>
      </c>
      <c r="BI946" s="153" t="e">
        <f aca="false">_xlfn.xlookup(BG946,A:A,J:J)</f>
        <v>#NAME?</v>
      </c>
      <c r="BJ946" s="153" t="e">
        <f aca="false">_xlfn.xlookup(BG946,A:A,N:N)+_xlfn.xlookup(BG946,A:A,O:O)</f>
        <v>#NAME?</v>
      </c>
      <c r="BK946" s="153" t="e">
        <f aca="false">_xlfn.xlookup(BG946,A895:A1889,AB895:AB1889)</f>
        <v>#NAME?</v>
      </c>
    </row>
    <row r="947" s="153" customFormat="true" ht="15" hidden="false" customHeight="false" outlineLevel="0" collapsed="false">
      <c r="AN947" s="153" t="e">
        <v>#NAME?</v>
      </c>
      <c r="AO947" s="153" t="e">
        <f aca="false">_xlfn.xlookup(AN947,A:A,F:F)</f>
        <v>#NAME?</v>
      </c>
      <c r="AP947" s="153" t="e">
        <f aca="false">_xlfn.xlookup(AN947,A:A,J:J)</f>
        <v>#NAME?</v>
      </c>
      <c r="AQ947" s="153" t="e">
        <f aca="false">_xlfn.xlookup(AN947,A:A,N:N)+_xlfn.xlookup(AN947,A:A,O:O)</f>
        <v>#NAME?</v>
      </c>
      <c r="AR947" s="150" t="e">
        <f aca="false">_xlfn.xlookup(AN947,A:A,AH:AH)</f>
        <v>#NAME?</v>
      </c>
      <c r="AS947" s="150" t="e">
        <f aca="false">_xlfn.xlookup(AN947,A:A,S:S)</f>
        <v>#NAME?</v>
      </c>
      <c r="AT947" s="150" t="e">
        <f aca="false">_xlfn.xlookup(AN947,A:A,AE:AE)</f>
        <v>#NAME?</v>
      </c>
      <c r="AU947" s="150" t="e">
        <f aca="false">_xlfn.xlookup(AN947,A:A,AF:AF)</f>
        <v>#NAME?</v>
      </c>
      <c r="AX947" s="146"/>
      <c r="AY947" s="150"/>
      <c r="AZ947" s="150"/>
      <c r="BA947" s="150"/>
      <c r="BB947" s="146"/>
      <c r="BC947" s="146"/>
      <c r="BD947" s="151"/>
      <c r="BE947" s="146"/>
      <c r="BF947" s="146"/>
      <c r="BH947" s="152" t="e">
        <f aca="false">_xlfn.xlookup(BG947,A:A,F:F)</f>
        <v>#NAME?</v>
      </c>
      <c r="BI947" s="153" t="e">
        <f aca="false">_xlfn.xlookup(BG947,A:A,J:J)</f>
        <v>#NAME?</v>
      </c>
      <c r="BJ947" s="153" t="e">
        <f aca="false">_xlfn.xlookup(BG947,A:A,N:N)+_xlfn.xlookup(BG947,A:A,O:O)</f>
        <v>#NAME?</v>
      </c>
      <c r="BK947" s="153" t="e">
        <f aca="false">_xlfn.xlookup(BG947,A896:A1890,AB896:AB1890)</f>
        <v>#NAME?</v>
      </c>
    </row>
    <row r="948" s="153" customFormat="true" ht="15" hidden="false" customHeight="false" outlineLevel="0" collapsed="false">
      <c r="AN948" s="153" t="e">
        <v>#NAME?</v>
      </c>
      <c r="AO948" s="153" t="e">
        <f aca="false">_xlfn.xlookup(AN948,A:A,F:F)</f>
        <v>#NAME?</v>
      </c>
      <c r="AP948" s="153" t="e">
        <f aca="false">_xlfn.xlookup(AN948,A:A,J:J)</f>
        <v>#NAME?</v>
      </c>
      <c r="AQ948" s="153" t="e">
        <f aca="false">_xlfn.xlookup(AN948,A:A,N:N)+_xlfn.xlookup(AN948,A:A,O:O)</f>
        <v>#NAME?</v>
      </c>
      <c r="AR948" s="150" t="e">
        <f aca="false">_xlfn.xlookup(AN948,A:A,AH:AH)</f>
        <v>#NAME?</v>
      </c>
      <c r="AS948" s="150" t="e">
        <f aca="false">_xlfn.xlookup(AN948,A:A,S:S)</f>
        <v>#NAME?</v>
      </c>
      <c r="AT948" s="150" t="e">
        <f aca="false">_xlfn.xlookup(AN948,A:A,AE:AE)</f>
        <v>#NAME?</v>
      </c>
      <c r="AU948" s="150" t="e">
        <f aca="false">_xlfn.xlookup(AN948,A:A,AF:AF)</f>
        <v>#NAME?</v>
      </c>
      <c r="AX948" s="146"/>
      <c r="AY948" s="150"/>
      <c r="AZ948" s="150"/>
      <c r="BA948" s="150"/>
      <c r="BB948" s="146"/>
      <c r="BC948" s="146"/>
      <c r="BD948" s="151"/>
      <c r="BE948" s="146"/>
      <c r="BF948" s="146"/>
      <c r="BH948" s="152" t="e">
        <f aca="false">_xlfn.xlookup(BG948,A:A,F:F)</f>
        <v>#NAME?</v>
      </c>
      <c r="BI948" s="153" t="e">
        <f aca="false">_xlfn.xlookup(BG948,A:A,J:J)</f>
        <v>#NAME?</v>
      </c>
      <c r="BJ948" s="153" t="e">
        <f aca="false">_xlfn.xlookup(BG948,A:A,N:N)+_xlfn.xlookup(BG948,A:A,O:O)</f>
        <v>#NAME?</v>
      </c>
      <c r="BK948" s="153" t="e">
        <f aca="false">_xlfn.xlookup(BG948,A897:A1891,AB897:AB1891)</f>
        <v>#NAME?</v>
      </c>
    </row>
    <row r="949" s="153" customFormat="true" ht="15" hidden="false" customHeight="false" outlineLevel="0" collapsed="false">
      <c r="AN949" s="153" t="e">
        <v>#NAME?</v>
      </c>
      <c r="AO949" s="153" t="e">
        <f aca="false">_xlfn.xlookup(AN949,A:A,F:F)</f>
        <v>#NAME?</v>
      </c>
      <c r="AP949" s="153" t="e">
        <f aca="false">_xlfn.xlookup(AN949,A:A,J:J)</f>
        <v>#NAME?</v>
      </c>
      <c r="AQ949" s="153" t="e">
        <f aca="false">_xlfn.xlookup(AN949,A:A,N:N)+_xlfn.xlookup(AN949,A:A,O:O)</f>
        <v>#NAME?</v>
      </c>
      <c r="AR949" s="150" t="e">
        <f aca="false">_xlfn.xlookup(AN949,A:A,AH:AH)</f>
        <v>#NAME?</v>
      </c>
      <c r="AS949" s="150" t="e">
        <f aca="false">_xlfn.xlookup(AN949,A:A,S:S)</f>
        <v>#NAME?</v>
      </c>
      <c r="AT949" s="150" t="e">
        <f aca="false">_xlfn.xlookup(AN949,A:A,AE:AE)</f>
        <v>#NAME?</v>
      </c>
      <c r="AU949" s="150" t="e">
        <f aca="false">_xlfn.xlookup(AN949,A:A,AF:AF)</f>
        <v>#NAME?</v>
      </c>
      <c r="AX949" s="146"/>
      <c r="AY949" s="150"/>
      <c r="AZ949" s="150"/>
      <c r="BA949" s="150"/>
      <c r="BB949" s="146"/>
      <c r="BC949" s="146"/>
      <c r="BD949" s="151"/>
      <c r="BE949" s="146"/>
      <c r="BF949" s="146"/>
      <c r="BH949" s="152" t="e">
        <f aca="false">_xlfn.xlookup(BG949,A:A,F:F)</f>
        <v>#NAME?</v>
      </c>
      <c r="BI949" s="153" t="e">
        <f aca="false">_xlfn.xlookup(BG949,A:A,J:J)</f>
        <v>#NAME?</v>
      </c>
      <c r="BJ949" s="153" t="e">
        <f aca="false">_xlfn.xlookup(BG949,A:A,N:N)+_xlfn.xlookup(BG949,A:A,O:O)</f>
        <v>#NAME?</v>
      </c>
      <c r="BK949" s="153" t="e">
        <f aca="false">_xlfn.xlookup(BG949,A898:A1892,AB898:AB1892)</f>
        <v>#NAME?</v>
      </c>
    </row>
    <row r="950" s="153" customFormat="true" ht="15" hidden="false" customHeight="false" outlineLevel="0" collapsed="false">
      <c r="AN950" s="153" t="e">
        <v>#NAME?</v>
      </c>
      <c r="AO950" s="153" t="e">
        <f aca="false">_xlfn.xlookup(AN950,A:A,F:F)</f>
        <v>#NAME?</v>
      </c>
      <c r="AP950" s="153" t="e">
        <f aca="false">_xlfn.xlookup(AN950,A:A,J:J)</f>
        <v>#NAME?</v>
      </c>
      <c r="AQ950" s="153" t="e">
        <f aca="false">_xlfn.xlookup(AN950,A:A,N:N)+_xlfn.xlookup(AN950,A:A,O:O)</f>
        <v>#NAME?</v>
      </c>
      <c r="AR950" s="150" t="e">
        <f aca="false">_xlfn.xlookup(AN950,A:A,AH:AH)</f>
        <v>#NAME?</v>
      </c>
      <c r="AS950" s="150" t="e">
        <f aca="false">_xlfn.xlookup(AN950,A:A,S:S)</f>
        <v>#NAME?</v>
      </c>
      <c r="AT950" s="150" t="e">
        <f aca="false">_xlfn.xlookup(AN950,A:A,AE:AE)</f>
        <v>#NAME?</v>
      </c>
      <c r="AU950" s="150" t="e">
        <f aca="false">_xlfn.xlookup(AN950,A:A,AF:AF)</f>
        <v>#NAME?</v>
      </c>
      <c r="AX950" s="146"/>
      <c r="AY950" s="150"/>
      <c r="AZ950" s="150"/>
      <c r="BA950" s="150"/>
      <c r="BB950" s="146"/>
      <c r="BC950" s="146"/>
      <c r="BD950" s="151"/>
      <c r="BE950" s="146"/>
      <c r="BF950" s="146"/>
      <c r="BH950" s="152" t="e">
        <f aca="false">_xlfn.xlookup(BG950,A:A,F:F)</f>
        <v>#NAME?</v>
      </c>
      <c r="BI950" s="153" t="e">
        <f aca="false">_xlfn.xlookup(BG950,A:A,J:J)</f>
        <v>#NAME?</v>
      </c>
      <c r="BJ950" s="153" t="e">
        <f aca="false">_xlfn.xlookup(BG950,A:A,N:N)+_xlfn.xlookup(BG950,A:A,O:O)</f>
        <v>#NAME?</v>
      </c>
      <c r="BK950" s="153" t="e">
        <f aca="false">_xlfn.xlookup(BG950,A899:A1893,AB899:AB1893)</f>
        <v>#NAME?</v>
      </c>
    </row>
    <row r="951" s="153" customFormat="true" ht="15" hidden="false" customHeight="false" outlineLevel="0" collapsed="false">
      <c r="AN951" s="153" t="e">
        <v>#NAME?</v>
      </c>
      <c r="AO951" s="153" t="e">
        <f aca="false">_xlfn.xlookup(AN951,A:A,F:F)</f>
        <v>#NAME?</v>
      </c>
      <c r="AP951" s="153" t="e">
        <f aca="false">_xlfn.xlookup(AN951,A:A,J:J)</f>
        <v>#NAME?</v>
      </c>
      <c r="AQ951" s="153" t="e">
        <f aca="false">_xlfn.xlookup(AN951,A:A,N:N)+_xlfn.xlookup(AN951,A:A,O:O)</f>
        <v>#NAME?</v>
      </c>
      <c r="AR951" s="150" t="e">
        <f aca="false">_xlfn.xlookup(AN951,A:A,AH:AH)</f>
        <v>#NAME?</v>
      </c>
      <c r="AS951" s="150" t="e">
        <f aca="false">_xlfn.xlookup(AN951,A:A,S:S)</f>
        <v>#NAME?</v>
      </c>
      <c r="AT951" s="150" t="e">
        <f aca="false">_xlfn.xlookup(AN951,A:A,AE:AE)</f>
        <v>#NAME?</v>
      </c>
      <c r="AU951" s="150" t="e">
        <f aca="false">_xlfn.xlookup(AN951,A:A,AF:AF)</f>
        <v>#NAME?</v>
      </c>
      <c r="AX951" s="146"/>
      <c r="AY951" s="150"/>
      <c r="AZ951" s="150"/>
      <c r="BA951" s="150"/>
      <c r="BB951" s="146"/>
      <c r="BC951" s="146"/>
      <c r="BD951" s="151"/>
      <c r="BE951" s="146"/>
      <c r="BF951" s="146"/>
      <c r="BH951" s="152" t="e">
        <f aca="false">_xlfn.xlookup(BG951,A:A,F:F)</f>
        <v>#NAME?</v>
      </c>
      <c r="BI951" s="153" t="e">
        <f aca="false">_xlfn.xlookup(BG951,A:A,J:J)</f>
        <v>#NAME?</v>
      </c>
      <c r="BJ951" s="153" t="e">
        <f aca="false">_xlfn.xlookup(BG951,A:A,N:N)+_xlfn.xlookup(BG951,A:A,O:O)</f>
        <v>#NAME?</v>
      </c>
      <c r="BK951" s="153" t="e">
        <f aca="false">_xlfn.xlookup(BG951,A900:A1894,AB900:AB1894)</f>
        <v>#NAME?</v>
      </c>
    </row>
    <row r="952" s="153" customFormat="true" ht="15" hidden="false" customHeight="false" outlineLevel="0" collapsed="false">
      <c r="AN952" s="153" t="e">
        <v>#NAME?</v>
      </c>
      <c r="AO952" s="153" t="e">
        <f aca="false">_xlfn.xlookup(AN952,A:A,F:F)</f>
        <v>#NAME?</v>
      </c>
      <c r="AP952" s="153" t="e">
        <f aca="false">_xlfn.xlookup(AN952,A:A,J:J)</f>
        <v>#NAME?</v>
      </c>
      <c r="AQ952" s="153" t="e">
        <f aca="false">_xlfn.xlookup(AN952,A:A,N:N)+_xlfn.xlookup(AN952,A:A,O:O)</f>
        <v>#NAME?</v>
      </c>
      <c r="AR952" s="150" t="e">
        <f aca="false">_xlfn.xlookup(AN952,A:A,AH:AH)</f>
        <v>#NAME?</v>
      </c>
      <c r="AS952" s="150" t="e">
        <f aca="false">_xlfn.xlookup(AN952,A:A,S:S)</f>
        <v>#NAME?</v>
      </c>
      <c r="AT952" s="150" t="e">
        <f aca="false">_xlfn.xlookup(AN952,A:A,AE:AE)</f>
        <v>#NAME?</v>
      </c>
      <c r="AU952" s="150" t="e">
        <f aca="false">_xlfn.xlookup(AN952,A:A,AF:AF)</f>
        <v>#NAME?</v>
      </c>
      <c r="AX952" s="146"/>
      <c r="AY952" s="150"/>
      <c r="AZ952" s="150"/>
      <c r="BA952" s="150"/>
      <c r="BB952" s="146"/>
      <c r="BC952" s="146"/>
      <c r="BD952" s="151"/>
      <c r="BE952" s="146"/>
      <c r="BF952" s="146"/>
      <c r="BH952" s="152" t="e">
        <f aca="false">_xlfn.xlookup(BG952,A:A,F:F)</f>
        <v>#NAME?</v>
      </c>
      <c r="BI952" s="153" t="e">
        <f aca="false">_xlfn.xlookup(BG952,A:A,J:J)</f>
        <v>#NAME?</v>
      </c>
      <c r="BJ952" s="153" t="e">
        <f aca="false">_xlfn.xlookup(BG952,A:A,N:N)+_xlfn.xlookup(BG952,A:A,O:O)</f>
        <v>#NAME?</v>
      </c>
      <c r="BK952" s="153" t="e">
        <f aca="false">_xlfn.xlookup(BG952,A901:A1895,AB901:AB1895)</f>
        <v>#NAME?</v>
      </c>
    </row>
    <row r="953" s="153" customFormat="true" ht="15" hidden="false" customHeight="false" outlineLevel="0" collapsed="false">
      <c r="AN953" s="153" t="e">
        <v>#NAME?</v>
      </c>
      <c r="AO953" s="153" t="e">
        <f aca="false">_xlfn.xlookup(AN953,A:A,F:F)</f>
        <v>#NAME?</v>
      </c>
      <c r="AP953" s="153" t="e">
        <f aca="false">_xlfn.xlookup(AN953,A:A,J:J)</f>
        <v>#NAME?</v>
      </c>
      <c r="AQ953" s="153" t="e">
        <f aca="false">_xlfn.xlookup(AN953,A:A,N:N)+_xlfn.xlookup(AN953,A:A,O:O)</f>
        <v>#NAME?</v>
      </c>
      <c r="AR953" s="150" t="e">
        <f aca="false">_xlfn.xlookup(AN953,A:A,AH:AH)</f>
        <v>#NAME?</v>
      </c>
      <c r="AS953" s="150" t="e">
        <f aca="false">_xlfn.xlookup(AN953,A:A,S:S)</f>
        <v>#NAME?</v>
      </c>
      <c r="AT953" s="150" t="e">
        <f aca="false">_xlfn.xlookup(AN953,A:A,AE:AE)</f>
        <v>#NAME?</v>
      </c>
      <c r="AU953" s="150" t="e">
        <f aca="false">_xlfn.xlookup(AN953,A:A,AF:AF)</f>
        <v>#NAME?</v>
      </c>
      <c r="AX953" s="146"/>
      <c r="AY953" s="150"/>
      <c r="AZ953" s="150"/>
      <c r="BA953" s="150"/>
      <c r="BB953" s="146"/>
      <c r="BC953" s="146"/>
      <c r="BD953" s="151"/>
      <c r="BE953" s="146"/>
      <c r="BF953" s="146"/>
      <c r="BH953" s="152" t="e">
        <f aca="false">_xlfn.xlookup(BG953,A:A,F:F)</f>
        <v>#NAME?</v>
      </c>
      <c r="BI953" s="153" t="e">
        <f aca="false">_xlfn.xlookup(BG953,A:A,J:J)</f>
        <v>#NAME?</v>
      </c>
      <c r="BJ953" s="153" t="e">
        <f aca="false">_xlfn.xlookup(BG953,A:A,N:N)+_xlfn.xlookup(BG953,A:A,O:O)</f>
        <v>#NAME?</v>
      </c>
      <c r="BK953" s="153" t="e">
        <f aca="false">_xlfn.xlookup(BG953,A902:A1896,AB902:AB1896)</f>
        <v>#NAME?</v>
      </c>
    </row>
    <row r="954" s="153" customFormat="true" ht="15" hidden="false" customHeight="false" outlineLevel="0" collapsed="false">
      <c r="AN954" s="153" t="e">
        <v>#NAME?</v>
      </c>
      <c r="AO954" s="153" t="e">
        <f aca="false">_xlfn.xlookup(AN954,A:A,F:F)</f>
        <v>#NAME?</v>
      </c>
      <c r="AP954" s="153" t="e">
        <f aca="false">_xlfn.xlookup(AN954,A:A,J:J)</f>
        <v>#NAME?</v>
      </c>
      <c r="AQ954" s="153" t="e">
        <f aca="false">_xlfn.xlookup(AN954,A:A,N:N)+_xlfn.xlookup(AN954,A:A,O:O)</f>
        <v>#NAME?</v>
      </c>
      <c r="AR954" s="150" t="e">
        <f aca="false">_xlfn.xlookup(AN954,A:A,AH:AH)</f>
        <v>#NAME?</v>
      </c>
      <c r="AS954" s="150" t="e">
        <f aca="false">_xlfn.xlookup(AN954,A:A,S:S)</f>
        <v>#NAME?</v>
      </c>
      <c r="AT954" s="150" t="e">
        <f aca="false">_xlfn.xlookup(AN954,A:A,AE:AE)</f>
        <v>#NAME?</v>
      </c>
      <c r="AU954" s="150" t="e">
        <f aca="false">_xlfn.xlookup(AN954,A:A,AF:AF)</f>
        <v>#NAME?</v>
      </c>
      <c r="AX954" s="146"/>
      <c r="AY954" s="150"/>
      <c r="AZ954" s="150"/>
      <c r="BA954" s="150"/>
      <c r="BB954" s="146"/>
      <c r="BC954" s="146"/>
      <c r="BD954" s="151"/>
      <c r="BE954" s="146"/>
      <c r="BF954" s="146"/>
      <c r="BH954" s="152" t="e">
        <f aca="false">_xlfn.xlookup(BG954,A:A,F:F)</f>
        <v>#NAME?</v>
      </c>
      <c r="BI954" s="153" t="e">
        <f aca="false">_xlfn.xlookup(BG954,A:A,J:J)</f>
        <v>#NAME?</v>
      </c>
      <c r="BJ954" s="153" t="e">
        <f aca="false">_xlfn.xlookup(BG954,A:A,N:N)+_xlfn.xlookup(BG954,A:A,O:O)</f>
        <v>#NAME?</v>
      </c>
      <c r="BK954" s="153" t="e">
        <f aca="false">_xlfn.xlookup(BG954,A903:A1897,AB903:AB1897)</f>
        <v>#NAME?</v>
      </c>
    </row>
    <row r="955" s="153" customFormat="true" ht="15" hidden="false" customHeight="false" outlineLevel="0" collapsed="false">
      <c r="AN955" s="153" t="e">
        <v>#NAME?</v>
      </c>
      <c r="AO955" s="153" t="e">
        <f aca="false">_xlfn.xlookup(AN955,A:A,F:F)</f>
        <v>#NAME?</v>
      </c>
      <c r="AP955" s="153" t="e">
        <f aca="false">_xlfn.xlookup(AN955,A:A,J:J)</f>
        <v>#NAME?</v>
      </c>
      <c r="AQ955" s="153" t="e">
        <f aca="false">_xlfn.xlookup(AN955,A:A,N:N)+_xlfn.xlookup(AN955,A:A,O:O)</f>
        <v>#NAME?</v>
      </c>
      <c r="AR955" s="150" t="e">
        <f aca="false">_xlfn.xlookup(AN955,A:A,AH:AH)</f>
        <v>#NAME?</v>
      </c>
      <c r="AS955" s="150" t="e">
        <f aca="false">_xlfn.xlookup(AN955,A:A,S:S)</f>
        <v>#NAME?</v>
      </c>
      <c r="AT955" s="150" t="e">
        <f aca="false">_xlfn.xlookup(AN955,A:A,AE:AE)</f>
        <v>#NAME?</v>
      </c>
      <c r="AU955" s="150" t="e">
        <f aca="false">_xlfn.xlookup(AN955,A:A,AF:AF)</f>
        <v>#NAME?</v>
      </c>
      <c r="AX955" s="146"/>
      <c r="AY955" s="150"/>
      <c r="AZ955" s="150"/>
      <c r="BA955" s="150"/>
      <c r="BB955" s="146"/>
      <c r="BC955" s="146"/>
      <c r="BD955" s="151"/>
      <c r="BE955" s="146"/>
      <c r="BF955" s="146"/>
      <c r="BH955" s="152" t="e">
        <f aca="false">_xlfn.xlookup(BG955,A:A,F:F)</f>
        <v>#NAME?</v>
      </c>
      <c r="BI955" s="153" t="e">
        <f aca="false">_xlfn.xlookup(BG955,A:A,J:J)</f>
        <v>#NAME?</v>
      </c>
      <c r="BJ955" s="153" t="e">
        <f aca="false">_xlfn.xlookup(BG955,A:A,N:N)+_xlfn.xlookup(BG955,A:A,O:O)</f>
        <v>#NAME?</v>
      </c>
      <c r="BK955" s="153" t="e">
        <f aca="false">_xlfn.xlookup(BG955,A904:A1898,AB904:AB1898)</f>
        <v>#NAME?</v>
      </c>
    </row>
    <row r="956" s="153" customFormat="true" ht="15" hidden="false" customHeight="false" outlineLevel="0" collapsed="false">
      <c r="AN956" s="153" t="e">
        <v>#NAME?</v>
      </c>
      <c r="AO956" s="153" t="e">
        <f aca="false">_xlfn.xlookup(AN956,A:A,F:F)</f>
        <v>#NAME?</v>
      </c>
      <c r="AP956" s="153" t="e">
        <f aca="false">_xlfn.xlookup(AN956,A:A,J:J)</f>
        <v>#NAME?</v>
      </c>
      <c r="AQ956" s="153" t="e">
        <f aca="false">_xlfn.xlookup(AN956,A:A,N:N)+_xlfn.xlookup(AN956,A:A,O:O)</f>
        <v>#NAME?</v>
      </c>
      <c r="AR956" s="150" t="e">
        <f aca="false">_xlfn.xlookup(AN956,A:A,AH:AH)</f>
        <v>#NAME?</v>
      </c>
      <c r="AS956" s="150" t="e">
        <f aca="false">_xlfn.xlookup(AN956,A:A,S:S)</f>
        <v>#NAME?</v>
      </c>
      <c r="AT956" s="150" t="e">
        <f aca="false">_xlfn.xlookup(AN956,A:A,AE:AE)</f>
        <v>#NAME?</v>
      </c>
      <c r="AU956" s="150" t="e">
        <f aca="false">_xlfn.xlookup(AN956,A:A,AF:AF)</f>
        <v>#NAME?</v>
      </c>
      <c r="AX956" s="146"/>
      <c r="AY956" s="150"/>
      <c r="AZ956" s="150"/>
      <c r="BA956" s="150"/>
      <c r="BB956" s="146"/>
      <c r="BC956" s="146"/>
      <c r="BD956" s="151"/>
      <c r="BE956" s="146"/>
      <c r="BF956" s="146"/>
      <c r="BH956" s="152" t="e">
        <f aca="false">_xlfn.xlookup(BG956,A:A,F:F)</f>
        <v>#NAME?</v>
      </c>
      <c r="BI956" s="153" t="e">
        <f aca="false">_xlfn.xlookup(BG956,A:A,J:J)</f>
        <v>#NAME?</v>
      </c>
      <c r="BJ956" s="153" t="e">
        <f aca="false">_xlfn.xlookup(BG956,A:A,N:N)+_xlfn.xlookup(BG956,A:A,O:O)</f>
        <v>#NAME?</v>
      </c>
      <c r="BK956" s="153" t="e">
        <f aca="false">_xlfn.xlookup(BG956,A905:A1899,AB905:AB1899)</f>
        <v>#NAME?</v>
      </c>
    </row>
    <row r="957" s="153" customFormat="true" ht="15" hidden="false" customHeight="false" outlineLevel="0" collapsed="false">
      <c r="AN957" s="153" t="e">
        <v>#NAME?</v>
      </c>
      <c r="AO957" s="153" t="e">
        <f aca="false">_xlfn.xlookup(AN957,A:A,F:F)</f>
        <v>#NAME?</v>
      </c>
      <c r="AP957" s="153" t="e">
        <f aca="false">_xlfn.xlookup(AN957,A:A,J:J)</f>
        <v>#NAME?</v>
      </c>
      <c r="AQ957" s="153" t="e">
        <f aca="false">_xlfn.xlookup(AN957,A:A,N:N)+_xlfn.xlookup(AN957,A:A,O:O)</f>
        <v>#NAME?</v>
      </c>
      <c r="AR957" s="150" t="e">
        <f aca="false">_xlfn.xlookup(AN957,A:A,AH:AH)</f>
        <v>#NAME?</v>
      </c>
      <c r="AS957" s="150" t="e">
        <f aca="false">_xlfn.xlookup(AN957,A:A,S:S)</f>
        <v>#NAME?</v>
      </c>
      <c r="AT957" s="150" t="e">
        <f aca="false">_xlfn.xlookup(AN957,A:A,AE:AE)</f>
        <v>#NAME?</v>
      </c>
      <c r="AU957" s="150" t="e">
        <f aca="false">_xlfn.xlookup(AN957,A:A,AF:AF)</f>
        <v>#NAME?</v>
      </c>
      <c r="AX957" s="146"/>
      <c r="AY957" s="150"/>
      <c r="AZ957" s="150"/>
      <c r="BA957" s="150"/>
      <c r="BB957" s="146"/>
      <c r="BC957" s="146"/>
      <c r="BD957" s="151"/>
      <c r="BE957" s="146"/>
      <c r="BF957" s="146"/>
      <c r="BH957" s="152" t="e">
        <f aca="false">_xlfn.xlookup(BG957,A:A,F:F)</f>
        <v>#NAME?</v>
      </c>
      <c r="BI957" s="153" t="e">
        <f aca="false">_xlfn.xlookup(BG957,A:A,J:J)</f>
        <v>#NAME?</v>
      </c>
      <c r="BJ957" s="153" t="e">
        <f aca="false">_xlfn.xlookup(BG957,A:A,N:N)+_xlfn.xlookup(BG957,A:A,O:O)</f>
        <v>#NAME?</v>
      </c>
      <c r="BK957" s="153" t="e">
        <f aca="false">_xlfn.xlookup(BG957,A906:A1900,AB906:AB1900)</f>
        <v>#NAME?</v>
      </c>
    </row>
    <row r="958" s="153" customFormat="true" ht="15" hidden="false" customHeight="false" outlineLevel="0" collapsed="false">
      <c r="AN958" s="153" t="e">
        <v>#NAME?</v>
      </c>
      <c r="AO958" s="153" t="e">
        <f aca="false">_xlfn.xlookup(AN958,A:A,F:F)</f>
        <v>#NAME?</v>
      </c>
      <c r="AP958" s="153" t="e">
        <f aca="false">_xlfn.xlookup(AN958,A:A,J:J)</f>
        <v>#NAME?</v>
      </c>
      <c r="AQ958" s="153" t="e">
        <f aca="false">_xlfn.xlookup(AN958,A:A,N:N)+_xlfn.xlookup(AN958,A:A,O:O)</f>
        <v>#NAME?</v>
      </c>
      <c r="AR958" s="150" t="e">
        <f aca="false">_xlfn.xlookup(AN958,A:A,AH:AH)</f>
        <v>#NAME?</v>
      </c>
      <c r="AS958" s="150" t="e">
        <f aca="false">_xlfn.xlookup(AN958,A:A,S:S)</f>
        <v>#NAME?</v>
      </c>
      <c r="AT958" s="150" t="e">
        <f aca="false">_xlfn.xlookup(AN958,A:A,AE:AE)</f>
        <v>#NAME?</v>
      </c>
      <c r="AU958" s="150" t="e">
        <f aca="false">_xlfn.xlookup(AN958,A:A,AF:AF)</f>
        <v>#NAME?</v>
      </c>
      <c r="AX958" s="146"/>
      <c r="AY958" s="150"/>
      <c r="AZ958" s="150"/>
      <c r="BA958" s="150"/>
      <c r="BB958" s="146"/>
      <c r="BC958" s="146"/>
      <c r="BD958" s="151"/>
      <c r="BE958" s="146"/>
      <c r="BF958" s="146"/>
      <c r="BH958" s="152" t="e">
        <f aca="false">_xlfn.xlookup(BG958,A:A,F:F)</f>
        <v>#NAME?</v>
      </c>
      <c r="BI958" s="153" t="e">
        <f aca="false">_xlfn.xlookup(BG958,A:A,J:J)</f>
        <v>#NAME?</v>
      </c>
      <c r="BJ958" s="153" t="e">
        <f aca="false">_xlfn.xlookup(BG958,A:A,N:N)+_xlfn.xlookup(BG958,A:A,O:O)</f>
        <v>#NAME?</v>
      </c>
      <c r="BK958" s="153" t="e">
        <f aca="false">_xlfn.xlookup(BG958,A907:A1901,AB907:AB1901)</f>
        <v>#NAME?</v>
      </c>
    </row>
    <row r="959" s="153" customFormat="true" ht="15" hidden="false" customHeight="false" outlineLevel="0" collapsed="false">
      <c r="AN959" s="153" t="e">
        <v>#NAME?</v>
      </c>
      <c r="AO959" s="153" t="e">
        <f aca="false">_xlfn.xlookup(AN959,A:A,F:F)</f>
        <v>#NAME?</v>
      </c>
      <c r="AP959" s="153" t="e">
        <f aca="false">_xlfn.xlookup(AN959,A:A,J:J)</f>
        <v>#NAME?</v>
      </c>
      <c r="AQ959" s="153" t="e">
        <f aca="false">_xlfn.xlookup(AN959,A:A,N:N)+_xlfn.xlookup(AN959,A:A,O:O)</f>
        <v>#NAME?</v>
      </c>
      <c r="AR959" s="150" t="e">
        <f aca="false">_xlfn.xlookup(AN959,A:A,AH:AH)</f>
        <v>#NAME?</v>
      </c>
      <c r="AS959" s="150" t="e">
        <f aca="false">_xlfn.xlookup(AN959,A:A,S:S)</f>
        <v>#NAME?</v>
      </c>
      <c r="AT959" s="150" t="e">
        <f aca="false">_xlfn.xlookup(AN959,A:A,AE:AE)</f>
        <v>#NAME?</v>
      </c>
      <c r="AU959" s="150" t="e">
        <f aca="false">_xlfn.xlookup(AN959,A:A,AF:AF)</f>
        <v>#NAME?</v>
      </c>
      <c r="AX959" s="146"/>
      <c r="AY959" s="150"/>
      <c r="AZ959" s="150"/>
      <c r="BA959" s="150"/>
      <c r="BB959" s="146"/>
      <c r="BC959" s="146"/>
      <c r="BD959" s="151"/>
      <c r="BE959" s="146"/>
      <c r="BF959" s="146"/>
      <c r="BH959" s="152" t="e">
        <f aca="false">_xlfn.xlookup(BG959,A:A,F:F)</f>
        <v>#NAME?</v>
      </c>
      <c r="BI959" s="153" t="e">
        <f aca="false">_xlfn.xlookup(BG959,A:A,J:J)</f>
        <v>#NAME?</v>
      </c>
      <c r="BJ959" s="153" t="e">
        <f aca="false">_xlfn.xlookup(BG959,A:A,N:N)+_xlfn.xlookup(BG959,A:A,O:O)</f>
        <v>#NAME?</v>
      </c>
      <c r="BK959" s="153" t="e">
        <f aca="false">_xlfn.xlookup(BG959,A908:A1902,AB908:AB1902)</f>
        <v>#NAME?</v>
      </c>
    </row>
    <row r="960" s="153" customFormat="true" ht="15" hidden="false" customHeight="false" outlineLevel="0" collapsed="false">
      <c r="AN960" s="153" t="e">
        <v>#NAME?</v>
      </c>
      <c r="AO960" s="153" t="e">
        <f aca="false">_xlfn.xlookup(AN960,A:A,F:F)</f>
        <v>#NAME?</v>
      </c>
      <c r="AP960" s="153" t="e">
        <f aca="false">_xlfn.xlookup(AN960,A:A,J:J)</f>
        <v>#NAME?</v>
      </c>
      <c r="AQ960" s="153" t="e">
        <f aca="false">_xlfn.xlookup(AN960,A:A,N:N)+_xlfn.xlookup(AN960,A:A,O:O)</f>
        <v>#NAME?</v>
      </c>
      <c r="AR960" s="150" t="e">
        <f aca="false">_xlfn.xlookup(AN960,A:A,AH:AH)</f>
        <v>#NAME?</v>
      </c>
      <c r="AS960" s="150" t="e">
        <f aca="false">_xlfn.xlookup(AN960,A:A,S:S)</f>
        <v>#NAME?</v>
      </c>
      <c r="AT960" s="150" t="e">
        <f aca="false">_xlfn.xlookup(AN960,A:A,AE:AE)</f>
        <v>#NAME?</v>
      </c>
      <c r="AU960" s="150" t="e">
        <f aca="false">_xlfn.xlookup(AN960,A:A,AF:AF)</f>
        <v>#NAME?</v>
      </c>
      <c r="AX960" s="146"/>
      <c r="AY960" s="150"/>
      <c r="AZ960" s="150"/>
      <c r="BA960" s="150"/>
      <c r="BB960" s="146"/>
      <c r="BC960" s="146"/>
      <c r="BD960" s="151"/>
      <c r="BE960" s="146"/>
      <c r="BF960" s="146"/>
      <c r="BH960" s="152" t="e">
        <f aca="false">_xlfn.xlookup(BG960,A:A,F:F)</f>
        <v>#NAME?</v>
      </c>
      <c r="BI960" s="153" t="e">
        <f aca="false">_xlfn.xlookup(BG960,A:A,J:J)</f>
        <v>#NAME?</v>
      </c>
      <c r="BJ960" s="153" t="e">
        <f aca="false">_xlfn.xlookup(BG960,A:A,N:N)+_xlfn.xlookup(BG960,A:A,O:O)</f>
        <v>#NAME?</v>
      </c>
      <c r="BK960" s="153" t="e">
        <f aca="false">_xlfn.xlookup(BG960,A909:A1903,AB909:AB1903)</f>
        <v>#NAME?</v>
      </c>
    </row>
    <row r="961" s="153" customFormat="true" ht="15" hidden="false" customHeight="false" outlineLevel="0" collapsed="false">
      <c r="AN961" s="153" t="e">
        <v>#NAME?</v>
      </c>
      <c r="AO961" s="153" t="e">
        <f aca="false">_xlfn.xlookup(AN961,A:A,F:F)</f>
        <v>#NAME?</v>
      </c>
      <c r="AP961" s="153" t="e">
        <f aca="false">_xlfn.xlookup(AN961,A:A,J:J)</f>
        <v>#NAME?</v>
      </c>
      <c r="AQ961" s="153" t="e">
        <f aca="false">_xlfn.xlookup(AN961,A:A,N:N)+_xlfn.xlookup(AN961,A:A,O:O)</f>
        <v>#NAME?</v>
      </c>
      <c r="AR961" s="150" t="e">
        <f aca="false">_xlfn.xlookup(AN961,A:A,AH:AH)</f>
        <v>#NAME?</v>
      </c>
      <c r="AS961" s="150" t="e">
        <f aca="false">_xlfn.xlookup(AN961,A:A,S:S)</f>
        <v>#NAME?</v>
      </c>
      <c r="AT961" s="150" t="e">
        <f aca="false">_xlfn.xlookup(AN961,A:A,AE:AE)</f>
        <v>#NAME?</v>
      </c>
      <c r="AU961" s="150" t="e">
        <f aca="false">_xlfn.xlookup(AN961,A:A,AF:AF)</f>
        <v>#NAME?</v>
      </c>
      <c r="AX961" s="146"/>
      <c r="AY961" s="150"/>
      <c r="AZ961" s="150"/>
      <c r="BA961" s="150"/>
      <c r="BB961" s="146"/>
      <c r="BC961" s="146"/>
      <c r="BD961" s="151"/>
      <c r="BE961" s="146"/>
      <c r="BF961" s="146"/>
      <c r="BH961" s="152" t="e">
        <f aca="false">_xlfn.xlookup(BG961,A:A,F:F)</f>
        <v>#NAME?</v>
      </c>
      <c r="BI961" s="153" t="e">
        <f aca="false">_xlfn.xlookup(BG961,A:A,J:J)</f>
        <v>#NAME?</v>
      </c>
      <c r="BJ961" s="153" t="e">
        <f aca="false">_xlfn.xlookup(BG961,A:A,N:N)+_xlfn.xlookup(BG961,A:A,O:O)</f>
        <v>#NAME?</v>
      </c>
      <c r="BK961" s="153" t="e">
        <f aca="false">_xlfn.xlookup(BG961,A910:A1904,AB910:AB1904)</f>
        <v>#NAME?</v>
      </c>
    </row>
    <row r="962" s="153" customFormat="true" ht="15" hidden="false" customHeight="false" outlineLevel="0" collapsed="false">
      <c r="AN962" s="153" t="e">
        <v>#NAME?</v>
      </c>
      <c r="AO962" s="153" t="e">
        <f aca="false">_xlfn.xlookup(AN962,A:A,F:F)</f>
        <v>#NAME?</v>
      </c>
      <c r="AP962" s="153" t="e">
        <f aca="false">_xlfn.xlookup(AN962,A:A,J:J)</f>
        <v>#NAME?</v>
      </c>
      <c r="AQ962" s="153" t="e">
        <f aca="false">_xlfn.xlookup(AN962,A:A,N:N)+_xlfn.xlookup(AN962,A:A,O:O)</f>
        <v>#NAME?</v>
      </c>
      <c r="AR962" s="150" t="e">
        <f aca="false">_xlfn.xlookup(AN962,A:A,AH:AH)</f>
        <v>#NAME?</v>
      </c>
      <c r="AS962" s="150" t="e">
        <f aca="false">_xlfn.xlookup(AN962,A:A,S:S)</f>
        <v>#NAME?</v>
      </c>
      <c r="AT962" s="150" t="e">
        <f aca="false">_xlfn.xlookup(AN962,A:A,AE:AE)</f>
        <v>#NAME?</v>
      </c>
      <c r="AU962" s="150" t="e">
        <f aca="false">_xlfn.xlookup(AN962,A:A,AF:AF)</f>
        <v>#NAME?</v>
      </c>
      <c r="AX962" s="146"/>
      <c r="AY962" s="150"/>
      <c r="AZ962" s="150"/>
      <c r="BA962" s="150"/>
      <c r="BB962" s="146"/>
      <c r="BC962" s="146"/>
      <c r="BD962" s="151"/>
      <c r="BE962" s="146"/>
      <c r="BF962" s="146"/>
      <c r="BH962" s="152" t="e">
        <f aca="false">_xlfn.xlookup(BG962,A:A,F:F)</f>
        <v>#NAME?</v>
      </c>
      <c r="BI962" s="153" t="e">
        <f aca="false">_xlfn.xlookup(BG962,A:A,J:J)</f>
        <v>#NAME?</v>
      </c>
      <c r="BJ962" s="153" t="e">
        <f aca="false">_xlfn.xlookup(BG962,A:A,N:N)+_xlfn.xlookup(BG962,A:A,O:O)</f>
        <v>#NAME?</v>
      </c>
      <c r="BK962" s="153" t="e">
        <f aca="false">_xlfn.xlookup(BG962,A911:A1905,AB911:AB1905)</f>
        <v>#NAME?</v>
      </c>
    </row>
    <row r="963" s="153" customFormat="true" ht="15" hidden="false" customHeight="false" outlineLevel="0" collapsed="false">
      <c r="AN963" s="153" t="e">
        <v>#NAME?</v>
      </c>
      <c r="AO963" s="153" t="e">
        <f aca="false">_xlfn.xlookup(AN963,A:A,F:F)</f>
        <v>#NAME?</v>
      </c>
      <c r="AP963" s="153" t="e">
        <f aca="false">_xlfn.xlookup(AN963,A:A,J:J)</f>
        <v>#NAME?</v>
      </c>
      <c r="AQ963" s="153" t="e">
        <f aca="false">_xlfn.xlookup(AN963,A:A,N:N)+_xlfn.xlookup(AN963,A:A,O:O)</f>
        <v>#NAME?</v>
      </c>
      <c r="AR963" s="150" t="e">
        <f aca="false">_xlfn.xlookup(AN963,A:A,AH:AH)</f>
        <v>#NAME?</v>
      </c>
      <c r="AS963" s="150" t="e">
        <f aca="false">_xlfn.xlookup(AN963,A:A,S:S)</f>
        <v>#NAME?</v>
      </c>
      <c r="AT963" s="150" t="e">
        <f aca="false">_xlfn.xlookup(AN963,A:A,AE:AE)</f>
        <v>#NAME?</v>
      </c>
      <c r="AU963" s="150" t="e">
        <f aca="false">_xlfn.xlookup(AN963,A:A,AF:AF)</f>
        <v>#NAME?</v>
      </c>
      <c r="AX963" s="146"/>
      <c r="AY963" s="150"/>
      <c r="AZ963" s="150"/>
      <c r="BA963" s="150"/>
      <c r="BB963" s="146"/>
      <c r="BC963" s="146"/>
      <c r="BD963" s="151"/>
      <c r="BE963" s="146"/>
      <c r="BF963" s="146"/>
      <c r="BH963" s="152" t="e">
        <f aca="false">_xlfn.xlookup(BG963,A:A,F:F)</f>
        <v>#NAME?</v>
      </c>
      <c r="BI963" s="153" t="e">
        <f aca="false">_xlfn.xlookup(BG963,A:A,J:J)</f>
        <v>#NAME?</v>
      </c>
      <c r="BJ963" s="153" t="e">
        <f aca="false">_xlfn.xlookup(BG963,A:A,N:N)+_xlfn.xlookup(BG963,A:A,O:O)</f>
        <v>#NAME?</v>
      </c>
      <c r="BK963" s="153" t="e">
        <f aca="false">_xlfn.xlookup(BG963,A912:A1906,AB912:AB1906)</f>
        <v>#NAME?</v>
      </c>
    </row>
    <row r="964" s="153" customFormat="true" ht="15" hidden="false" customHeight="false" outlineLevel="0" collapsed="false">
      <c r="AN964" s="153" t="e">
        <v>#NAME?</v>
      </c>
      <c r="AO964" s="153" t="e">
        <f aca="false">_xlfn.xlookup(AN964,A:A,F:F)</f>
        <v>#NAME?</v>
      </c>
      <c r="AP964" s="153" t="e">
        <f aca="false">_xlfn.xlookup(AN964,A:A,J:J)</f>
        <v>#NAME?</v>
      </c>
      <c r="AQ964" s="153" t="e">
        <f aca="false">_xlfn.xlookup(AN964,A:A,N:N)+_xlfn.xlookup(AN964,A:A,O:O)</f>
        <v>#NAME?</v>
      </c>
      <c r="AR964" s="150" t="e">
        <f aca="false">_xlfn.xlookup(AN964,A:A,AH:AH)</f>
        <v>#NAME?</v>
      </c>
      <c r="AS964" s="150" t="e">
        <f aca="false">_xlfn.xlookup(AN964,A:A,S:S)</f>
        <v>#NAME?</v>
      </c>
      <c r="AT964" s="150" t="e">
        <f aca="false">_xlfn.xlookup(AN964,A:A,AE:AE)</f>
        <v>#NAME?</v>
      </c>
      <c r="AU964" s="150" t="e">
        <f aca="false">_xlfn.xlookup(AN964,A:A,AF:AF)</f>
        <v>#NAME?</v>
      </c>
      <c r="AX964" s="146"/>
      <c r="AY964" s="150"/>
      <c r="AZ964" s="150"/>
      <c r="BA964" s="150"/>
      <c r="BB964" s="146"/>
      <c r="BC964" s="146"/>
      <c r="BD964" s="151"/>
      <c r="BE964" s="146"/>
      <c r="BF964" s="146"/>
      <c r="BH964" s="152" t="e">
        <f aca="false">_xlfn.xlookup(BG964,A:A,F:F)</f>
        <v>#NAME?</v>
      </c>
      <c r="BI964" s="153" t="e">
        <f aca="false">_xlfn.xlookup(BG964,A:A,J:J)</f>
        <v>#NAME?</v>
      </c>
      <c r="BJ964" s="153" t="e">
        <f aca="false">_xlfn.xlookup(BG964,A:A,N:N)+_xlfn.xlookup(BG964,A:A,O:O)</f>
        <v>#NAME?</v>
      </c>
      <c r="BK964" s="153" t="e">
        <f aca="false">_xlfn.xlookup(BG964,A913:A1907,AB913:AB1907)</f>
        <v>#NAME?</v>
      </c>
    </row>
    <row r="965" s="153" customFormat="true" ht="15" hidden="false" customHeight="false" outlineLevel="0" collapsed="false">
      <c r="AN965" s="153" t="e">
        <v>#NAME?</v>
      </c>
      <c r="AO965" s="153" t="e">
        <f aca="false">_xlfn.xlookup(AN965,A:A,F:F)</f>
        <v>#NAME?</v>
      </c>
      <c r="AP965" s="153" t="e">
        <f aca="false">_xlfn.xlookup(AN965,A:A,J:J)</f>
        <v>#NAME?</v>
      </c>
      <c r="AQ965" s="153" t="e">
        <f aca="false">_xlfn.xlookup(AN965,A:A,N:N)+_xlfn.xlookup(AN965,A:A,O:O)</f>
        <v>#NAME?</v>
      </c>
      <c r="AR965" s="150" t="e">
        <f aca="false">_xlfn.xlookup(AN965,A:A,AH:AH)</f>
        <v>#NAME?</v>
      </c>
      <c r="AS965" s="150" t="e">
        <f aca="false">_xlfn.xlookup(AN965,A:A,S:S)</f>
        <v>#NAME?</v>
      </c>
      <c r="AT965" s="150" t="e">
        <f aca="false">_xlfn.xlookup(AN965,A:A,AE:AE)</f>
        <v>#NAME?</v>
      </c>
      <c r="AU965" s="150" t="e">
        <f aca="false">_xlfn.xlookup(AN965,A:A,AF:AF)</f>
        <v>#NAME?</v>
      </c>
      <c r="AX965" s="146"/>
      <c r="AY965" s="150"/>
      <c r="AZ965" s="150"/>
      <c r="BA965" s="150"/>
      <c r="BB965" s="146"/>
      <c r="BC965" s="146"/>
      <c r="BD965" s="151"/>
      <c r="BE965" s="146"/>
      <c r="BF965" s="146"/>
      <c r="BH965" s="152" t="e">
        <f aca="false">_xlfn.xlookup(BG965,A:A,F:F)</f>
        <v>#NAME?</v>
      </c>
      <c r="BI965" s="153" t="e">
        <f aca="false">_xlfn.xlookup(BG965,A:A,J:J)</f>
        <v>#NAME?</v>
      </c>
      <c r="BJ965" s="153" t="e">
        <f aca="false">_xlfn.xlookup(BG965,A:A,N:N)+_xlfn.xlookup(BG965,A:A,O:O)</f>
        <v>#NAME?</v>
      </c>
      <c r="BK965" s="153" t="e">
        <f aca="false">_xlfn.xlookup(BG965,A914:A1908,AB914:AB1908)</f>
        <v>#NAME?</v>
      </c>
    </row>
    <row r="966" s="153" customFormat="true" ht="15" hidden="false" customHeight="false" outlineLevel="0" collapsed="false">
      <c r="AN966" s="153" t="e">
        <v>#NAME?</v>
      </c>
      <c r="AO966" s="153" t="e">
        <f aca="false">_xlfn.xlookup(AN966,A:A,F:F)</f>
        <v>#NAME?</v>
      </c>
      <c r="AP966" s="153" t="e">
        <f aca="false">_xlfn.xlookup(AN966,A:A,J:J)</f>
        <v>#NAME?</v>
      </c>
      <c r="AQ966" s="153" t="e">
        <f aca="false">_xlfn.xlookup(AN966,A:A,N:N)+_xlfn.xlookup(AN966,A:A,O:O)</f>
        <v>#NAME?</v>
      </c>
      <c r="AR966" s="150" t="e">
        <f aca="false">_xlfn.xlookup(AN966,A:A,AH:AH)</f>
        <v>#NAME?</v>
      </c>
      <c r="AS966" s="150" t="e">
        <f aca="false">_xlfn.xlookup(AN966,A:A,S:S)</f>
        <v>#NAME?</v>
      </c>
      <c r="AT966" s="150" t="e">
        <f aca="false">_xlfn.xlookup(AN966,A:A,AE:AE)</f>
        <v>#NAME?</v>
      </c>
      <c r="AU966" s="150" t="e">
        <f aca="false">_xlfn.xlookup(AN966,A:A,AF:AF)</f>
        <v>#NAME?</v>
      </c>
      <c r="AX966" s="146"/>
      <c r="AY966" s="150"/>
      <c r="AZ966" s="150"/>
      <c r="BA966" s="150"/>
      <c r="BB966" s="146"/>
      <c r="BC966" s="146"/>
      <c r="BD966" s="151"/>
      <c r="BE966" s="146"/>
      <c r="BF966" s="146"/>
      <c r="BH966" s="152" t="e">
        <f aca="false">_xlfn.xlookup(BG966,A:A,F:F)</f>
        <v>#NAME?</v>
      </c>
      <c r="BI966" s="153" t="e">
        <f aca="false">_xlfn.xlookup(BG966,A:A,J:J)</f>
        <v>#NAME?</v>
      </c>
      <c r="BJ966" s="153" t="e">
        <f aca="false">_xlfn.xlookup(BG966,A:A,N:N)+_xlfn.xlookup(BG966,A:A,O:O)</f>
        <v>#NAME?</v>
      </c>
      <c r="BK966" s="153" t="e">
        <f aca="false">_xlfn.xlookup(BG966,A915:A1909,AB915:AB1909)</f>
        <v>#NAME?</v>
      </c>
    </row>
    <row r="967" s="153" customFormat="true" ht="15" hidden="false" customHeight="false" outlineLevel="0" collapsed="false">
      <c r="AN967" s="153" t="e">
        <v>#NAME?</v>
      </c>
      <c r="AO967" s="153" t="e">
        <f aca="false">_xlfn.xlookup(AN967,A:A,F:F)</f>
        <v>#NAME?</v>
      </c>
      <c r="AP967" s="153" t="e">
        <f aca="false">_xlfn.xlookup(AN967,A:A,J:J)</f>
        <v>#NAME?</v>
      </c>
      <c r="AQ967" s="153" t="e">
        <f aca="false">_xlfn.xlookup(AN967,A:A,N:N)+_xlfn.xlookup(AN967,A:A,O:O)</f>
        <v>#NAME?</v>
      </c>
      <c r="AR967" s="150" t="e">
        <f aca="false">_xlfn.xlookup(AN967,A:A,AH:AH)</f>
        <v>#NAME?</v>
      </c>
      <c r="AS967" s="150" t="e">
        <f aca="false">_xlfn.xlookup(AN967,A:A,S:S)</f>
        <v>#NAME?</v>
      </c>
      <c r="AT967" s="150" t="e">
        <f aca="false">_xlfn.xlookup(AN967,A:A,AE:AE)</f>
        <v>#NAME?</v>
      </c>
      <c r="AU967" s="150" t="e">
        <f aca="false">_xlfn.xlookup(AN967,A:A,AF:AF)</f>
        <v>#NAME?</v>
      </c>
      <c r="AX967" s="146"/>
      <c r="AY967" s="150"/>
      <c r="AZ967" s="150"/>
      <c r="BA967" s="150"/>
      <c r="BB967" s="146"/>
      <c r="BC967" s="146"/>
      <c r="BD967" s="151"/>
      <c r="BE967" s="146"/>
      <c r="BF967" s="146"/>
      <c r="BH967" s="152" t="e">
        <f aca="false">_xlfn.xlookup(BG967,A:A,F:F)</f>
        <v>#NAME?</v>
      </c>
      <c r="BI967" s="153" t="e">
        <f aca="false">_xlfn.xlookup(BG967,A:A,J:J)</f>
        <v>#NAME?</v>
      </c>
      <c r="BJ967" s="153" t="e">
        <f aca="false">_xlfn.xlookup(BG967,A:A,N:N)+_xlfn.xlookup(BG967,A:A,O:O)</f>
        <v>#NAME?</v>
      </c>
      <c r="BK967" s="153" t="e">
        <f aca="false">_xlfn.xlookup(BG967,A916:A1910,AB916:AB1910)</f>
        <v>#NAME?</v>
      </c>
    </row>
    <row r="968" s="153" customFormat="true" ht="15" hidden="false" customHeight="false" outlineLevel="0" collapsed="false">
      <c r="AN968" s="153" t="e">
        <v>#NAME?</v>
      </c>
      <c r="AO968" s="153" t="e">
        <f aca="false">_xlfn.xlookup(AN968,A:A,F:F)</f>
        <v>#NAME?</v>
      </c>
      <c r="AP968" s="153" t="e">
        <f aca="false">_xlfn.xlookup(AN968,A:A,J:J)</f>
        <v>#NAME?</v>
      </c>
      <c r="AQ968" s="153" t="e">
        <f aca="false">_xlfn.xlookup(AN968,A:A,N:N)+_xlfn.xlookup(AN968,A:A,O:O)</f>
        <v>#NAME?</v>
      </c>
      <c r="AR968" s="150" t="e">
        <f aca="false">_xlfn.xlookup(AN968,A:A,AH:AH)</f>
        <v>#NAME?</v>
      </c>
      <c r="AS968" s="150" t="e">
        <f aca="false">_xlfn.xlookup(AN968,A:A,S:S)</f>
        <v>#NAME?</v>
      </c>
      <c r="AT968" s="150" t="e">
        <f aca="false">_xlfn.xlookup(AN968,A:A,AE:AE)</f>
        <v>#NAME?</v>
      </c>
      <c r="AU968" s="150" t="e">
        <f aca="false">_xlfn.xlookup(AN968,A:A,AF:AF)</f>
        <v>#NAME?</v>
      </c>
      <c r="AX968" s="146"/>
      <c r="AY968" s="150"/>
      <c r="AZ968" s="150"/>
      <c r="BA968" s="150"/>
      <c r="BB968" s="146"/>
      <c r="BC968" s="146"/>
      <c r="BD968" s="151"/>
      <c r="BE968" s="146"/>
      <c r="BF968" s="146"/>
      <c r="BH968" s="152" t="e">
        <f aca="false">_xlfn.xlookup(BG968,A:A,F:F)</f>
        <v>#NAME?</v>
      </c>
      <c r="BI968" s="153" t="e">
        <f aca="false">_xlfn.xlookup(BG968,A:A,J:J)</f>
        <v>#NAME?</v>
      </c>
      <c r="BJ968" s="153" t="e">
        <f aca="false">_xlfn.xlookup(BG968,A:A,N:N)+_xlfn.xlookup(BG968,A:A,O:O)</f>
        <v>#NAME?</v>
      </c>
      <c r="BK968" s="153" t="e">
        <f aca="false">_xlfn.xlookup(BG968,A917:A1911,AB917:AB1911)</f>
        <v>#NAME?</v>
      </c>
    </row>
    <row r="969" s="153" customFormat="true" ht="15" hidden="false" customHeight="false" outlineLevel="0" collapsed="false">
      <c r="AN969" s="153" t="e">
        <v>#NAME?</v>
      </c>
      <c r="AO969" s="153" t="e">
        <f aca="false">_xlfn.xlookup(AN969,A:A,F:F)</f>
        <v>#NAME?</v>
      </c>
      <c r="AP969" s="153" t="e">
        <f aca="false">_xlfn.xlookup(AN969,A:A,J:J)</f>
        <v>#NAME?</v>
      </c>
      <c r="AQ969" s="153" t="e">
        <f aca="false">_xlfn.xlookup(AN969,A:A,N:N)+_xlfn.xlookup(AN969,A:A,O:O)</f>
        <v>#NAME?</v>
      </c>
      <c r="AR969" s="150" t="e">
        <f aca="false">_xlfn.xlookup(AN969,A:A,AH:AH)</f>
        <v>#NAME?</v>
      </c>
      <c r="AS969" s="150" t="e">
        <f aca="false">_xlfn.xlookup(AN969,A:A,S:S)</f>
        <v>#NAME?</v>
      </c>
      <c r="AT969" s="150" t="e">
        <f aca="false">_xlfn.xlookup(AN969,A:A,AE:AE)</f>
        <v>#NAME?</v>
      </c>
      <c r="AU969" s="150" t="e">
        <f aca="false">_xlfn.xlookup(AN969,A:A,AF:AF)</f>
        <v>#NAME?</v>
      </c>
      <c r="AX969" s="146"/>
      <c r="AY969" s="150"/>
      <c r="AZ969" s="150"/>
      <c r="BA969" s="150"/>
      <c r="BB969" s="146"/>
      <c r="BC969" s="146"/>
      <c r="BD969" s="151"/>
      <c r="BE969" s="146"/>
      <c r="BF969" s="146"/>
      <c r="BH969" s="152" t="e">
        <f aca="false">_xlfn.xlookup(BG969,A:A,F:F)</f>
        <v>#NAME?</v>
      </c>
      <c r="BI969" s="153" t="e">
        <f aca="false">_xlfn.xlookup(BG969,A:A,J:J)</f>
        <v>#NAME?</v>
      </c>
      <c r="BJ969" s="153" t="e">
        <f aca="false">_xlfn.xlookup(BG969,A:A,N:N)+_xlfn.xlookup(BG969,A:A,O:O)</f>
        <v>#NAME?</v>
      </c>
      <c r="BK969" s="153" t="e">
        <f aca="false">_xlfn.xlookup(BG969,A918:A1912,AB918:AB1912)</f>
        <v>#NAME?</v>
      </c>
    </row>
    <row r="970" s="153" customFormat="true" ht="15" hidden="false" customHeight="false" outlineLevel="0" collapsed="false">
      <c r="AN970" s="153" t="e">
        <v>#NAME?</v>
      </c>
      <c r="AO970" s="153" t="e">
        <f aca="false">_xlfn.xlookup(AN970,A:A,F:F)</f>
        <v>#NAME?</v>
      </c>
      <c r="AP970" s="153" t="e">
        <f aca="false">_xlfn.xlookup(AN970,A:A,J:J)</f>
        <v>#NAME?</v>
      </c>
      <c r="AQ970" s="153" t="e">
        <f aca="false">_xlfn.xlookup(AN970,A:A,N:N)+_xlfn.xlookup(AN970,A:A,O:O)</f>
        <v>#NAME?</v>
      </c>
      <c r="AR970" s="150" t="e">
        <f aca="false">_xlfn.xlookup(AN970,A:A,AH:AH)</f>
        <v>#NAME?</v>
      </c>
      <c r="AS970" s="150" t="e">
        <f aca="false">_xlfn.xlookup(AN970,A:A,S:S)</f>
        <v>#NAME?</v>
      </c>
      <c r="AT970" s="150" t="e">
        <f aca="false">_xlfn.xlookup(AN970,A:A,AE:AE)</f>
        <v>#NAME?</v>
      </c>
      <c r="AU970" s="150" t="e">
        <f aca="false">_xlfn.xlookup(AN970,A:A,AF:AF)</f>
        <v>#NAME?</v>
      </c>
      <c r="AX970" s="146"/>
      <c r="AY970" s="150"/>
      <c r="AZ970" s="150"/>
      <c r="BA970" s="150"/>
      <c r="BB970" s="146"/>
      <c r="BC970" s="146"/>
      <c r="BD970" s="151"/>
      <c r="BE970" s="146"/>
      <c r="BF970" s="146"/>
      <c r="BH970" s="152" t="e">
        <f aca="false">_xlfn.xlookup(BG970,A:A,F:F)</f>
        <v>#NAME?</v>
      </c>
      <c r="BI970" s="153" t="e">
        <f aca="false">_xlfn.xlookup(BG970,A:A,J:J)</f>
        <v>#NAME?</v>
      </c>
      <c r="BJ970" s="153" t="e">
        <f aca="false">_xlfn.xlookup(BG970,A:A,N:N)+_xlfn.xlookup(BG970,A:A,O:O)</f>
        <v>#NAME?</v>
      </c>
      <c r="BK970" s="153" t="e">
        <f aca="false">_xlfn.xlookup(BG970,A919:A1913,AB919:AB1913)</f>
        <v>#NAME?</v>
      </c>
    </row>
    <row r="971" s="153" customFormat="true" ht="15" hidden="false" customHeight="false" outlineLevel="0" collapsed="false">
      <c r="AN971" s="153" t="e">
        <v>#NAME?</v>
      </c>
      <c r="AO971" s="153" t="e">
        <f aca="false">_xlfn.xlookup(AN971,A:A,F:F)</f>
        <v>#NAME?</v>
      </c>
      <c r="AP971" s="153" t="e">
        <f aca="false">_xlfn.xlookup(AN971,A:A,J:J)</f>
        <v>#NAME?</v>
      </c>
      <c r="AQ971" s="153" t="e">
        <f aca="false">_xlfn.xlookup(AN971,A:A,N:N)+_xlfn.xlookup(AN971,A:A,O:O)</f>
        <v>#NAME?</v>
      </c>
      <c r="AR971" s="150" t="e">
        <f aca="false">_xlfn.xlookup(AN971,A:A,AH:AH)</f>
        <v>#NAME?</v>
      </c>
      <c r="AS971" s="150" t="e">
        <f aca="false">_xlfn.xlookup(AN971,A:A,S:S)</f>
        <v>#NAME?</v>
      </c>
      <c r="AT971" s="150" t="e">
        <f aca="false">_xlfn.xlookup(AN971,A:A,AE:AE)</f>
        <v>#NAME?</v>
      </c>
      <c r="AU971" s="150" t="e">
        <f aca="false">_xlfn.xlookup(AN971,A:A,AF:AF)</f>
        <v>#NAME?</v>
      </c>
      <c r="AX971" s="146"/>
      <c r="AY971" s="150"/>
      <c r="AZ971" s="150"/>
      <c r="BA971" s="150"/>
      <c r="BB971" s="146"/>
      <c r="BC971" s="146"/>
      <c r="BD971" s="151"/>
      <c r="BE971" s="146"/>
      <c r="BF971" s="146"/>
      <c r="BH971" s="152" t="e">
        <f aca="false">_xlfn.xlookup(BG971,A:A,F:F)</f>
        <v>#NAME?</v>
      </c>
      <c r="BI971" s="153" t="e">
        <f aca="false">_xlfn.xlookup(BG971,A:A,J:J)</f>
        <v>#NAME?</v>
      </c>
      <c r="BJ971" s="153" t="e">
        <f aca="false">_xlfn.xlookup(BG971,A:A,N:N)+_xlfn.xlookup(BG971,A:A,O:O)</f>
        <v>#NAME?</v>
      </c>
      <c r="BK971" s="153" t="e">
        <f aca="false">_xlfn.xlookup(BG971,A920:A1914,AB920:AB1914)</f>
        <v>#NAME?</v>
      </c>
    </row>
    <row r="972" s="153" customFormat="true" ht="15" hidden="false" customHeight="false" outlineLevel="0" collapsed="false">
      <c r="AN972" s="153" t="e">
        <v>#NAME?</v>
      </c>
      <c r="AO972" s="153" t="e">
        <f aca="false">_xlfn.xlookup(AN972,A:A,F:F)</f>
        <v>#NAME?</v>
      </c>
      <c r="AP972" s="153" t="e">
        <f aca="false">_xlfn.xlookup(AN972,A:A,J:J)</f>
        <v>#NAME?</v>
      </c>
      <c r="AQ972" s="153" t="e">
        <f aca="false">_xlfn.xlookup(AN972,A:A,N:N)+_xlfn.xlookup(AN972,A:A,O:O)</f>
        <v>#NAME?</v>
      </c>
      <c r="AR972" s="150" t="e">
        <f aca="false">_xlfn.xlookup(AN972,A:A,AH:AH)</f>
        <v>#NAME?</v>
      </c>
      <c r="AS972" s="150" t="e">
        <f aca="false">_xlfn.xlookup(AN972,A:A,S:S)</f>
        <v>#NAME?</v>
      </c>
      <c r="AT972" s="150" t="e">
        <f aca="false">_xlfn.xlookup(AN972,A:A,AE:AE)</f>
        <v>#NAME?</v>
      </c>
      <c r="AU972" s="150" t="e">
        <f aca="false">_xlfn.xlookup(AN972,A:A,AF:AF)</f>
        <v>#NAME?</v>
      </c>
      <c r="AX972" s="146"/>
      <c r="AY972" s="150"/>
      <c r="AZ972" s="150"/>
      <c r="BA972" s="150"/>
      <c r="BB972" s="146"/>
      <c r="BC972" s="146"/>
      <c r="BD972" s="151"/>
      <c r="BE972" s="146"/>
      <c r="BF972" s="146"/>
      <c r="BH972" s="152" t="e">
        <f aca="false">_xlfn.xlookup(BG972,A:A,F:F)</f>
        <v>#NAME?</v>
      </c>
      <c r="BI972" s="153" t="e">
        <f aca="false">_xlfn.xlookup(BG972,A:A,J:J)</f>
        <v>#NAME?</v>
      </c>
      <c r="BJ972" s="153" t="e">
        <f aca="false">_xlfn.xlookup(BG972,A:A,N:N)+_xlfn.xlookup(BG972,A:A,O:O)</f>
        <v>#NAME?</v>
      </c>
      <c r="BK972" s="153" t="e">
        <f aca="false">_xlfn.xlookup(BG972,A921:A1915,AB921:AB1915)</f>
        <v>#NAME?</v>
      </c>
    </row>
    <row r="973" s="153" customFormat="true" ht="15" hidden="false" customHeight="false" outlineLevel="0" collapsed="false">
      <c r="AN973" s="153" t="e">
        <v>#NAME?</v>
      </c>
      <c r="AO973" s="153" t="e">
        <f aca="false">_xlfn.xlookup(AN973,A:A,F:F)</f>
        <v>#NAME?</v>
      </c>
      <c r="AP973" s="153" t="e">
        <f aca="false">_xlfn.xlookup(AN973,A:A,J:J)</f>
        <v>#NAME?</v>
      </c>
      <c r="AQ973" s="153" t="e">
        <f aca="false">_xlfn.xlookup(AN973,A:A,N:N)+_xlfn.xlookup(AN973,A:A,O:O)</f>
        <v>#NAME?</v>
      </c>
      <c r="AR973" s="150" t="e">
        <f aca="false">_xlfn.xlookup(AN973,A:A,AH:AH)</f>
        <v>#NAME?</v>
      </c>
      <c r="AS973" s="150" t="e">
        <f aca="false">_xlfn.xlookup(AN973,A:A,S:S)</f>
        <v>#NAME?</v>
      </c>
      <c r="AT973" s="150" t="e">
        <f aca="false">_xlfn.xlookup(AN973,A:A,AE:AE)</f>
        <v>#NAME?</v>
      </c>
      <c r="AU973" s="150" t="e">
        <f aca="false">_xlfn.xlookup(AN973,A:A,AF:AF)</f>
        <v>#NAME?</v>
      </c>
      <c r="AX973" s="146"/>
      <c r="AY973" s="150"/>
      <c r="AZ973" s="150"/>
      <c r="BA973" s="150"/>
      <c r="BB973" s="146"/>
      <c r="BC973" s="146"/>
      <c r="BD973" s="151"/>
      <c r="BE973" s="146"/>
      <c r="BF973" s="146"/>
      <c r="BH973" s="152" t="e">
        <f aca="false">_xlfn.xlookup(BG973,A:A,F:F)</f>
        <v>#NAME?</v>
      </c>
      <c r="BI973" s="153" t="e">
        <f aca="false">_xlfn.xlookup(BG973,A:A,J:J)</f>
        <v>#NAME?</v>
      </c>
      <c r="BJ973" s="153" t="e">
        <f aca="false">_xlfn.xlookup(BG973,A:A,N:N)+_xlfn.xlookup(BG973,A:A,O:O)</f>
        <v>#NAME?</v>
      </c>
      <c r="BK973" s="153" t="e">
        <f aca="false">_xlfn.xlookup(BG973,A922:A1916,AB922:AB1916)</f>
        <v>#NAME?</v>
      </c>
    </row>
    <row r="974" s="153" customFormat="true" ht="15" hidden="false" customHeight="false" outlineLevel="0" collapsed="false">
      <c r="AN974" s="153" t="e">
        <v>#NAME?</v>
      </c>
      <c r="AO974" s="153" t="e">
        <f aca="false">_xlfn.xlookup(AN974,A:A,F:F)</f>
        <v>#NAME?</v>
      </c>
      <c r="AP974" s="153" t="e">
        <f aca="false">_xlfn.xlookup(AN974,A:A,J:J)</f>
        <v>#NAME?</v>
      </c>
      <c r="AQ974" s="153" t="e">
        <f aca="false">_xlfn.xlookup(AN974,A:A,N:N)+_xlfn.xlookup(AN974,A:A,O:O)</f>
        <v>#NAME?</v>
      </c>
      <c r="AR974" s="150" t="e">
        <f aca="false">_xlfn.xlookup(AN974,A:A,AH:AH)</f>
        <v>#NAME?</v>
      </c>
      <c r="AS974" s="150" t="e">
        <f aca="false">_xlfn.xlookup(AN974,A:A,S:S)</f>
        <v>#NAME?</v>
      </c>
      <c r="AT974" s="150" t="e">
        <f aca="false">_xlfn.xlookup(AN974,A:A,AE:AE)</f>
        <v>#NAME?</v>
      </c>
      <c r="AU974" s="150" t="e">
        <f aca="false">_xlfn.xlookup(AN974,A:A,AF:AF)</f>
        <v>#NAME?</v>
      </c>
      <c r="AX974" s="146"/>
      <c r="AY974" s="150"/>
      <c r="AZ974" s="150"/>
      <c r="BA974" s="150"/>
      <c r="BB974" s="146"/>
      <c r="BC974" s="146"/>
      <c r="BD974" s="151"/>
      <c r="BE974" s="146"/>
      <c r="BF974" s="146"/>
      <c r="BH974" s="152" t="e">
        <f aca="false">_xlfn.xlookup(BG974,A:A,F:F)</f>
        <v>#NAME?</v>
      </c>
      <c r="BI974" s="153" t="e">
        <f aca="false">_xlfn.xlookup(BG974,A:A,J:J)</f>
        <v>#NAME?</v>
      </c>
      <c r="BJ974" s="153" t="e">
        <f aca="false">_xlfn.xlookup(BG974,A:A,N:N)+_xlfn.xlookup(BG974,A:A,O:O)</f>
        <v>#NAME?</v>
      </c>
      <c r="BK974" s="153" t="e">
        <f aca="false">_xlfn.xlookup(BG974,A923:A1917,AB923:AB1917)</f>
        <v>#NAME?</v>
      </c>
    </row>
    <row r="975" s="153" customFormat="true" ht="15" hidden="false" customHeight="false" outlineLevel="0" collapsed="false">
      <c r="AN975" s="153" t="e">
        <v>#NAME?</v>
      </c>
      <c r="AO975" s="153" t="e">
        <f aca="false">_xlfn.xlookup(AN975,A:A,F:F)</f>
        <v>#NAME?</v>
      </c>
      <c r="AP975" s="153" t="e">
        <f aca="false">_xlfn.xlookup(AN975,A:A,J:J)</f>
        <v>#NAME?</v>
      </c>
      <c r="AQ975" s="153" t="e">
        <f aca="false">_xlfn.xlookup(AN975,A:A,N:N)+_xlfn.xlookup(AN975,A:A,O:O)</f>
        <v>#NAME?</v>
      </c>
      <c r="AR975" s="150" t="e">
        <f aca="false">_xlfn.xlookup(AN975,A:A,AH:AH)</f>
        <v>#NAME?</v>
      </c>
      <c r="AS975" s="150" t="e">
        <f aca="false">_xlfn.xlookup(AN975,A:A,S:S)</f>
        <v>#NAME?</v>
      </c>
      <c r="AT975" s="150" t="e">
        <f aca="false">_xlfn.xlookup(AN975,A:A,AE:AE)</f>
        <v>#NAME?</v>
      </c>
      <c r="AU975" s="150" t="e">
        <f aca="false">_xlfn.xlookup(AN975,A:A,AF:AF)</f>
        <v>#NAME?</v>
      </c>
      <c r="AX975" s="146"/>
      <c r="AY975" s="150"/>
      <c r="AZ975" s="150"/>
      <c r="BA975" s="150"/>
      <c r="BB975" s="146"/>
      <c r="BC975" s="146"/>
      <c r="BD975" s="151"/>
      <c r="BE975" s="146"/>
      <c r="BF975" s="146"/>
      <c r="BH975" s="152" t="e">
        <f aca="false">_xlfn.xlookup(BG975,A:A,F:F)</f>
        <v>#NAME?</v>
      </c>
      <c r="BI975" s="153" t="e">
        <f aca="false">_xlfn.xlookup(BG975,A:A,J:J)</f>
        <v>#NAME?</v>
      </c>
      <c r="BJ975" s="153" t="e">
        <f aca="false">_xlfn.xlookup(BG975,A:A,N:N)+_xlfn.xlookup(BG975,A:A,O:O)</f>
        <v>#NAME?</v>
      </c>
      <c r="BK975" s="153" t="e">
        <f aca="false">_xlfn.xlookup(BG975,A924:A1918,AB924:AB1918)</f>
        <v>#NAME?</v>
      </c>
    </row>
    <row r="976" s="153" customFormat="true" ht="15" hidden="false" customHeight="false" outlineLevel="0" collapsed="false">
      <c r="AN976" s="153" t="e">
        <v>#NAME?</v>
      </c>
      <c r="AO976" s="153" t="e">
        <f aca="false">_xlfn.xlookup(AN976,A:A,F:F)</f>
        <v>#NAME?</v>
      </c>
      <c r="AP976" s="153" t="e">
        <f aca="false">_xlfn.xlookup(AN976,A:A,J:J)</f>
        <v>#NAME?</v>
      </c>
      <c r="AQ976" s="153" t="e">
        <f aca="false">_xlfn.xlookup(AN976,A:A,N:N)+_xlfn.xlookup(AN976,A:A,O:O)</f>
        <v>#NAME?</v>
      </c>
      <c r="AR976" s="150" t="e">
        <f aca="false">_xlfn.xlookup(AN976,A:A,AH:AH)</f>
        <v>#NAME?</v>
      </c>
      <c r="AS976" s="150" t="e">
        <f aca="false">_xlfn.xlookup(AN976,A:A,S:S)</f>
        <v>#NAME?</v>
      </c>
      <c r="AT976" s="150" t="e">
        <f aca="false">_xlfn.xlookup(AN976,A:A,AE:AE)</f>
        <v>#NAME?</v>
      </c>
      <c r="AU976" s="150" t="e">
        <f aca="false">_xlfn.xlookup(AN976,A:A,AF:AF)</f>
        <v>#NAME?</v>
      </c>
      <c r="AX976" s="146"/>
      <c r="AY976" s="150"/>
      <c r="AZ976" s="150"/>
      <c r="BA976" s="150"/>
      <c r="BB976" s="146"/>
      <c r="BC976" s="146"/>
      <c r="BD976" s="151"/>
      <c r="BE976" s="146"/>
      <c r="BF976" s="146"/>
      <c r="BH976" s="152" t="e">
        <f aca="false">_xlfn.xlookup(BG976,A:A,F:F)</f>
        <v>#NAME?</v>
      </c>
      <c r="BI976" s="153" t="e">
        <f aca="false">_xlfn.xlookup(BG976,A:A,J:J)</f>
        <v>#NAME?</v>
      </c>
      <c r="BJ976" s="153" t="e">
        <f aca="false">_xlfn.xlookup(BG976,A:A,N:N)+_xlfn.xlookup(BG976,A:A,O:O)</f>
        <v>#NAME?</v>
      </c>
      <c r="BK976" s="153" t="e">
        <f aca="false">_xlfn.xlookup(BG976,A925:A1919,AB925:AB1919)</f>
        <v>#NAME?</v>
      </c>
    </row>
    <row r="977" s="153" customFormat="true" ht="15" hidden="false" customHeight="false" outlineLevel="0" collapsed="false">
      <c r="AN977" s="153" t="e">
        <v>#NAME?</v>
      </c>
      <c r="AO977" s="153" t="e">
        <f aca="false">_xlfn.xlookup(AN977,A:A,F:F)</f>
        <v>#NAME?</v>
      </c>
      <c r="AP977" s="153" t="e">
        <f aca="false">_xlfn.xlookup(AN977,A:A,J:J)</f>
        <v>#NAME?</v>
      </c>
      <c r="AQ977" s="153" t="e">
        <f aca="false">_xlfn.xlookup(AN977,A:A,N:N)+_xlfn.xlookup(AN977,A:A,O:O)</f>
        <v>#NAME?</v>
      </c>
      <c r="AR977" s="150" t="e">
        <f aca="false">_xlfn.xlookup(AN977,A:A,AH:AH)</f>
        <v>#NAME?</v>
      </c>
      <c r="AS977" s="150" t="e">
        <f aca="false">_xlfn.xlookup(AN977,A:A,S:S)</f>
        <v>#NAME?</v>
      </c>
      <c r="AT977" s="150" t="e">
        <f aca="false">_xlfn.xlookup(AN977,A:A,AE:AE)</f>
        <v>#NAME?</v>
      </c>
      <c r="AU977" s="150" t="e">
        <f aca="false">_xlfn.xlookup(AN977,A:A,AF:AF)</f>
        <v>#NAME?</v>
      </c>
      <c r="AX977" s="146"/>
      <c r="AY977" s="150"/>
      <c r="AZ977" s="150"/>
      <c r="BA977" s="150"/>
      <c r="BB977" s="146"/>
      <c r="BC977" s="146"/>
      <c r="BD977" s="151"/>
      <c r="BE977" s="146"/>
      <c r="BF977" s="146"/>
      <c r="BH977" s="152" t="e">
        <f aca="false">_xlfn.xlookup(BG977,A:A,F:F)</f>
        <v>#NAME?</v>
      </c>
      <c r="BI977" s="153" t="e">
        <f aca="false">_xlfn.xlookup(BG977,A:A,J:J)</f>
        <v>#NAME?</v>
      </c>
      <c r="BJ977" s="153" t="e">
        <f aca="false">_xlfn.xlookup(BG977,A:A,N:N)+_xlfn.xlookup(BG977,A:A,O:O)</f>
        <v>#NAME?</v>
      </c>
      <c r="BK977" s="153" t="e">
        <f aca="false">_xlfn.xlookup(BG977,A926:A1920,AB926:AB1920)</f>
        <v>#NAME?</v>
      </c>
    </row>
    <row r="978" s="153" customFormat="true" ht="15" hidden="false" customHeight="false" outlineLevel="0" collapsed="false">
      <c r="AN978" s="153" t="e">
        <v>#NAME?</v>
      </c>
      <c r="AO978" s="153" t="e">
        <f aca="false">_xlfn.xlookup(AN978,A:A,F:F)</f>
        <v>#NAME?</v>
      </c>
      <c r="AP978" s="153" t="e">
        <f aca="false">_xlfn.xlookup(AN978,A:A,J:J)</f>
        <v>#NAME?</v>
      </c>
      <c r="AQ978" s="153" t="e">
        <f aca="false">_xlfn.xlookup(AN978,A:A,N:N)+_xlfn.xlookup(AN978,A:A,O:O)</f>
        <v>#NAME?</v>
      </c>
      <c r="AR978" s="150" t="e">
        <f aca="false">_xlfn.xlookup(AN978,A:A,AH:AH)</f>
        <v>#NAME?</v>
      </c>
      <c r="AS978" s="150" t="e">
        <f aca="false">_xlfn.xlookup(AN978,A:A,S:S)</f>
        <v>#NAME?</v>
      </c>
      <c r="AT978" s="150" t="e">
        <f aca="false">_xlfn.xlookup(AN978,A:A,AE:AE)</f>
        <v>#NAME?</v>
      </c>
      <c r="AU978" s="150" t="e">
        <f aca="false">_xlfn.xlookup(AN978,A:A,AF:AF)</f>
        <v>#NAME?</v>
      </c>
      <c r="AX978" s="146"/>
      <c r="AY978" s="150"/>
      <c r="AZ978" s="150"/>
      <c r="BA978" s="150"/>
      <c r="BB978" s="146"/>
      <c r="BC978" s="146"/>
      <c r="BD978" s="151"/>
      <c r="BE978" s="146"/>
      <c r="BF978" s="146"/>
      <c r="BH978" s="152" t="e">
        <f aca="false">_xlfn.xlookup(BG978,A:A,F:F)</f>
        <v>#NAME?</v>
      </c>
      <c r="BI978" s="153" t="e">
        <f aca="false">_xlfn.xlookup(BG978,A:A,J:J)</f>
        <v>#NAME?</v>
      </c>
      <c r="BJ978" s="153" t="e">
        <f aca="false">_xlfn.xlookup(BG978,A:A,N:N)+_xlfn.xlookup(BG978,A:A,O:O)</f>
        <v>#NAME?</v>
      </c>
      <c r="BK978" s="153" t="e">
        <f aca="false">_xlfn.xlookup(BG978,A927:A1921,AB927:AB1921)</f>
        <v>#NAME?</v>
      </c>
    </row>
    <row r="979" s="153" customFormat="true" ht="15" hidden="false" customHeight="false" outlineLevel="0" collapsed="false">
      <c r="AN979" s="153" t="e">
        <v>#NAME?</v>
      </c>
      <c r="AO979" s="153" t="e">
        <f aca="false">_xlfn.xlookup(AN979,A:A,F:F)</f>
        <v>#NAME?</v>
      </c>
      <c r="AP979" s="153" t="e">
        <f aca="false">_xlfn.xlookup(AN979,A:A,J:J)</f>
        <v>#NAME?</v>
      </c>
      <c r="AQ979" s="153" t="e">
        <f aca="false">_xlfn.xlookup(AN979,A:A,N:N)+_xlfn.xlookup(AN979,A:A,O:O)</f>
        <v>#NAME?</v>
      </c>
      <c r="AR979" s="150" t="e">
        <f aca="false">_xlfn.xlookup(AN979,A:A,AH:AH)</f>
        <v>#NAME?</v>
      </c>
      <c r="AS979" s="150" t="e">
        <f aca="false">_xlfn.xlookup(AN979,A:A,S:S)</f>
        <v>#NAME?</v>
      </c>
      <c r="AT979" s="150" t="e">
        <f aca="false">_xlfn.xlookup(AN979,A:A,AE:AE)</f>
        <v>#NAME?</v>
      </c>
      <c r="AU979" s="150" t="e">
        <f aca="false">_xlfn.xlookup(AN979,A:A,AF:AF)</f>
        <v>#NAME?</v>
      </c>
      <c r="AX979" s="146"/>
      <c r="AY979" s="150"/>
      <c r="AZ979" s="150"/>
      <c r="BA979" s="150"/>
      <c r="BB979" s="146"/>
      <c r="BC979" s="146"/>
      <c r="BD979" s="151"/>
      <c r="BE979" s="146"/>
      <c r="BF979" s="146"/>
      <c r="BH979" s="152" t="e">
        <f aca="false">_xlfn.xlookup(BG979,A:A,F:F)</f>
        <v>#NAME?</v>
      </c>
      <c r="BI979" s="153" t="e">
        <f aca="false">_xlfn.xlookup(BG979,A:A,J:J)</f>
        <v>#NAME?</v>
      </c>
      <c r="BJ979" s="153" t="e">
        <f aca="false">_xlfn.xlookup(BG979,A:A,N:N)+_xlfn.xlookup(BG979,A:A,O:O)</f>
        <v>#NAME?</v>
      </c>
      <c r="BK979" s="153" t="e">
        <f aca="false">_xlfn.xlookup(BG979,A928:A1922,AB928:AB1922)</f>
        <v>#NAME?</v>
      </c>
    </row>
    <row r="980" s="153" customFormat="true" ht="15" hidden="false" customHeight="false" outlineLevel="0" collapsed="false">
      <c r="AN980" s="153" t="e">
        <v>#NAME?</v>
      </c>
      <c r="AO980" s="153" t="e">
        <f aca="false">_xlfn.xlookup(AN980,A:A,F:F)</f>
        <v>#NAME?</v>
      </c>
      <c r="AP980" s="153" t="e">
        <f aca="false">_xlfn.xlookup(AN980,A:A,J:J)</f>
        <v>#NAME?</v>
      </c>
      <c r="AQ980" s="153" t="e">
        <f aca="false">_xlfn.xlookup(AN980,A:A,N:N)+_xlfn.xlookup(AN980,A:A,O:O)</f>
        <v>#NAME?</v>
      </c>
      <c r="AR980" s="150" t="e">
        <f aca="false">_xlfn.xlookup(AN980,A:A,AH:AH)</f>
        <v>#NAME?</v>
      </c>
      <c r="AS980" s="150" t="e">
        <f aca="false">_xlfn.xlookup(AN980,A:A,S:S)</f>
        <v>#NAME?</v>
      </c>
      <c r="AT980" s="150" t="e">
        <f aca="false">_xlfn.xlookup(AN980,A:A,AE:AE)</f>
        <v>#NAME?</v>
      </c>
      <c r="AU980" s="150" t="e">
        <f aca="false">_xlfn.xlookup(AN980,A:A,AF:AF)</f>
        <v>#NAME?</v>
      </c>
      <c r="AX980" s="146"/>
      <c r="AY980" s="150"/>
      <c r="AZ980" s="150"/>
      <c r="BA980" s="150"/>
      <c r="BB980" s="146"/>
      <c r="BC980" s="146"/>
      <c r="BD980" s="151"/>
      <c r="BE980" s="146"/>
      <c r="BF980" s="146"/>
      <c r="BH980" s="152" t="e">
        <f aca="false">_xlfn.xlookup(BG980,A:A,F:F)</f>
        <v>#NAME?</v>
      </c>
      <c r="BI980" s="153" t="e">
        <f aca="false">_xlfn.xlookup(BG980,A:A,J:J)</f>
        <v>#NAME?</v>
      </c>
      <c r="BJ980" s="153" t="e">
        <f aca="false">_xlfn.xlookup(BG980,A:A,N:N)+_xlfn.xlookup(BG980,A:A,O:O)</f>
        <v>#NAME?</v>
      </c>
      <c r="BK980" s="153" t="e">
        <f aca="false">_xlfn.xlookup(BG980,A929:A1923,AB929:AB1923)</f>
        <v>#NAME?</v>
      </c>
    </row>
    <row r="981" s="153" customFormat="true" ht="15" hidden="false" customHeight="false" outlineLevel="0" collapsed="false">
      <c r="AN981" s="153" t="e">
        <v>#NAME?</v>
      </c>
      <c r="AO981" s="153" t="e">
        <f aca="false">_xlfn.xlookup(AN981,A:A,F:F)</f>
        <v>#NAME?</v>
      </c>
      <c r="AP981" s="153" t="e">
        <f aca="false">_xlfn.xlookup(AN981,A:A,J:J)</f>
        <v>#NAME?</v>
      </c>
      <c r="AQ981" s="153" t="e">
        <f aca="false">_xlfn.xlookup(AN981,A:A,N:N)+_xlfn.xlookup(AN981,A:A,O:O)</f>
        <v>#NAME?</v>
      </c>
      <c r="AR981" s="150" t="e">
        <f aca="false">_xlfn.xlookup(AN981,A:A,AH:AH)</f>
        <v>#NAME?</v>
      </c>
      <c r="AS981" s="150" t="e">
        <f aca="false">_xlfn.xlookup(AN981,A:A,S:S)</f>
        <v>#NAME?</v>
      </c>
      <c r="AT981" s="150" t="e">
        <f aca="false">_xlfn.xlookup(AN981,A:A,AE:AE)</f>
        <v>#NAME?</v>
      </c>
      <c r="AU981" s="150" t="e">
        <f aca="false">_xlfn.xlookup(AN981,A:A,AF:AF)</f>
        <v>#NAME?</v>
      </c>
      <c r="AX981" s="146"/>
      <c r="AY981" s="150"/>
      <c r="AZ981" s="150"/>
      <c r="BA981" s="150"/>
      <c r="BB981" s="146"/>
      <c r="BC981" s="146"/>
      <c r="BD981" s="151"/>
      <c r="BE981" s="146"/>
      <c r="BF981" s="146"/>
      <c r="BH981" s="152" t="e">
        <f aca="false">_xlfn.xlookup(BG981,A:A,F:F)</f>
        <v>#NAME?</v>
      </c>
      <c r="BI981" s="153" t="e">
        <f aca="false">_xlfn.xlookup(BG981,A:A,J:J)</f>
        <v>#NAME?</v>
      </c>
      <c r="BJ981" s="153" t="e">
        <f aca="false">_xlfn.xlookup(BG981,A:A,N:N)+_xlfn.xlookup(BG981,A:A,O:O)</f>
        <v>#NAME?</v>
      </c>
      <c r="BK981" s="153" t="e">
        <f aca="false">_xlfn.xlookup(BG981,A930:A1924,AB930:AB1924)</f>
        <v>#NAME?</v>
      </c>
    </row>
    <row r="982" s="153" customFormat="true" ht="15" hidden="false" customHeight="false" outlineLevel="0" collapsed="false">
      <c r="AN982" s="153" t="e">
        <v>#NAME?</v>
      </c>
      <c r="AO982" s="153" t="e">
        <f aca="false">_xlfn.xlookup(AN982,A:A,F:F)</f>
        <v>#NAME?</v>
      </c>
      <c r="AP982" s="153" t="e">
        <f aca="false">_xlfn.xlookup(AN982,A:A,J:J)</f>
        <v>#NAME?</v>
      </c>
      <c r="AQ982" s="153" t="e">
        <f aca="false">_xlfn.xlookup(AN982,A:A,N:N)+_xlfn.xlookup(AN982,A:A,O:O)</f>
        <v>#NAME?</v>
      </c>
      <c r="AR982" s="150" t="e">
        <f aca="false">_xlfn.xlookup(AN982,A:A,AH:AH)</f>
        <v>#NAME?</v>
      </c>
      <c r="AS982" s="150" t="e">
        <f aca="false">_xlfn.xlookup(AN982,A:A,S:S)</f>
        <v>#NAME?</v>
      </c>
      <c r="AT982" s="150" t="e">
        <f aca="false">_xlfn.xlookup(AN982,A:A,AE:AE)</f>
        <v>#NAME?</v>
      </c>
      <c r="AU982" s="150" t="e">
        <f aca="false">_xlfn.xlookup(AN982,A:A,AF:AF)</f>
        <v>#NAME?</v>
      </c>
      <c r="AX982" s="146"/>
      <c r="AY982" s="150"/>
      <c r="AZ982" s="150"/>
      <c r="BA982" s="150"/>
      <c r="BB982" s="146"/>
      <c r="BC982" s="146"/>
      <c r="BD982" s="151"/>
      <c r="BE982" s="146"/>
      <c r="BF982" s="146"/>
      <c r="BH982" s="152" t="e">
        <f aca="false">_xlfn.xlookup(BG982,A:A,F:F)</f>
        <v>#NAME?</v>
      </c>
      <c r="BI982" s="153" t="e">
        <f aca="false">_xlfn.xlookup(BG982,A:A,J:J)</f>
        <v>#NAME?</v>
      </c>
      <c r="BJ982" s="153" t="e">
        <f aca="false">_xlfn.xlookup(BG982,A:A,N:N)+_xlfn.xlookup(BG982,A:A,O:O)</f>
        <v>#NAME?</v>
      </c>
      <c r="BK982" s="153" t="e">
        <f aca="false">_xlfn.xlookup(BG982,A931:A1925,AB931:AB1925)</f>
        <v>#NAME?</v>
      </c>
    </row>
    <row r="983" s="153" customFormat="true" ht="15" hidden="false" customHeight="false" outlineLevel="0" collapsed="false">
      <c r="AN983" s="153" t="e">
        <v>#NAME?</v>
      </c>
      <c r="AO983" s="153" t="e">
        <f aca="false">_xlfn.xlookup(AN983,A:A,F:F)</f>
        <v>#NAME?</v>
      </c>
      <c r="AP983" s="153" t="e">
        <f aca="false">_xlfn.xlookup(AN983,A:A,J:J)</f>
        <v>#NAME?</v>
      </c>
      <c r="AQ983" s="153" t="e">
        <f aca="false">_xlfn.xlookup(AN983,A:A,N:N)+_xlfn.xlookup(AN983,A:A,O:O)</f>
        <v>#NAME?</v>
      </c>
      <c r="AR983" s="150" t="e">
        <f aca="false">_xlfn.xlookup(AN983,A:A,AH:AH)</f>
        <v>#NAME?</v>
      </c>
      <c r="AS983" s="150" t="e">
        <f aca="false">_xlfn.xlookup(AN983,A:A,S:S)</f>
        <v>#NAME?</v>
      </c>
      <c r="AT983" s="150" t="e">
        <f aca="false">_xlfn.xlookup(AN983,A:A,AE:AE)</f>
        <v>#NAME?</v>
      </c>
      <c r="AU983" s="150" t="e">
        <f aca="false">_xlfn.xlookup(AN983,A:A,AF:AF)</f>
        <v>#NAME?</v>
      </c>
      <c r="AX983" s="146"/>
      <c r="AY983" s="150"/>
      <c r="AZ983" s="150"/>
      <c r="BA983" s="150"/>
      <c r="BB983" s="146"/>
      <c r="BC983" s="146"/>
      <c r="BD983" s="151"/>
      <c r="BE983" s="146"/>
      <c r="BF983" s="146"/>
      <c r="BH983" s="152" t="e">
        <f aca="false">_xlfn.xlookup(BG983,A:A,F:F)</f>
        <v>#NAME?</v>
      </c>
      <c r="BI983" s="153" t="e">
        <f aca="false">_xlfn.xlookup(BG983,A:A,J:J)</f>
        <v>#NAME?</v>
      </c>
      <c r="BJ983" s="153" t="e">
        <f aca="false">_xlfn.xlookup(BG983,A:A,N:N)+_xlfn.xlookup(BG983,A:A,O:O)</f>
        <v>#NAME?</v>
      </c>
      <c r="BK983" s="153" t="e">
        <f aca="false">_xlfn.xlookup(BG983,A932:A1926,AB932:AB1926)</f>
        <v>#NAME?</v>
      </c>
    </row>
    <row r="984" s="153" customFormat="true" ht="15" hidden="false" customHeight="false" outlineLevel="0" collapsed="false">
      <c r="AN984" s="153" t="e">
        <v>#NAME?</v>
      </c>
      <c r="AO984" s="153" t="e">
        <f aca="false">_xlfn.xlookup(AN984,A:A,F:F)</f>
        <v>#NAME?</v>
      </c>
      <c r="AP984" s="153" t="e">
        <f aca="false">_xlfn.xlookup(AN984,A:A,J:J)</f>
        <v>#NAME?</v>
      </c>
      <c r="AQ984" s="153" t="e">
        <f aca="false">_xlfn.xlookup(AN984,A:A,N:N)+_xlfn.xlookup(AN984,A:A,O:O)</f>
        <v>#NAME?</v>
      </c>
      <c r="AR984" s="150" t="e">
        <f aca="false">_xlfn.xlookup(AN984,A:A,AH:AH)</f>
        <v>#NAME?</v>
      </c>
      <c r="AS984" s="150" t="e">
        <f aca="false">_xlfn.xlookup(AN984,A:A,S:S)</f>
        <v>#NAME?</v>
      </c>
      <c r="AT984" s="150" t="e">
        <f aca="false">_xlfn.xlookup(AN984,A:A,AE:AE)</f>
        <v>#NAME?</v>
      </c>
      <c r="AU984" s="150" t="e">
        <f aca="false">_xlfn.xlookup(AN984,A:A,AF:AF)</f>
        <v>#NAME?</v>
      </c>
      <c r="AX984" s="146"/>
      <c r="AY984" s="150"/>
      <c r="AZ984" s="150"/>
      <c r="BA984" s="150"/>
      <c r="BB984" s="146"/>
      <c r="BC984" s="146"/>
      <c r="BD984" s="151"/>
      <c r="BE984" s="146"/>
      <c r="BF984" s="146"/>
      <c r="BH984" s="152" t="e">
        <f aca="false">_xlfn.xlookup(BG984,A:A,F:F)</f>
        <v>#NAME?</v>
      </c>
      <c r="BI984" s="153" t="e">
        <f aca="false">_xlfn.xlookup(BG984,A:A,J:J)</f>
        <v>#NAME?</v>
      </c>
      <c r="BJ984" s="153" t="e">
        <f aca="false">_xlfn.xlookup(BG984,A:A,N:N)+_xlfn.xlookup(BG984,A:A,O:O)</f>
        <v>#NAME?</v>
      </c>
      <c r="BK984" s="153" t="e">
        <f aca="false">_xlfn.xlookup(BG984,A933:A1927,AB933:AB1927)</f>
        <v>#NAME?</v>
      </c>
    </row>
    <row r="985" s="153" customFormat="true" ht="15" hidden="false" customHeight="false" outlineLevel="0" collapsed="false">
      <c r="AN985" s="153" t="e">
        <v>#NAME?</v>
      </c>
      <c r="AO985" s="153" t="e">
        <f aca="false">_xlfn.xlookup(AN985,A:A,F:F)</f>
        <v>#NAME?</v>
      </c>
      <c r="AP985" s="153" t="e">
        <f aca="false">_xlfn.xlookup(AN985,A:A,J:J)</f>
        <v>#NAME?</v>
      </c>
      <c r="AQ985" s="153" t="e">
        <f aca="false">_xlfn.xlookup(AN985,A:A,N:N)+_xlfn.xlookup(AN985,A:A,O:O)</f>
        <v>#NAME?</v>
      </c>
      <c r="AR985" s="150" t="e">
        <f aca="false">_xlfn.xlookup(AN985,A:A,AH:AH)</f>
        <v>#NAME?</v>
      </c>
      <c r="AS985" s="150" t="e">
        <f aca="false">_xlfn.xlookup(AN985,A:A,S:S)</f>
        <v>#NAME?</v>
      </c>
      <c r="AT985" s="150" t="e">
        <f aca="false">_xlfn.xlookup(AN985,A:A,AE:AE)</f>
        <v>#NAME?</v>
      </c>
      <c r="AU985" s="150" t="e">
        <f aca="false">_xlfn.xlookup(AN985,A:A,AF:AF)</f>
        <v>#NAME?</v>
      </c>
      <c r="AX985" s="146"/>
      <c r="AY985" s="150"/>
      <c r="AZ985" s="150"/>
      <c r="BA985" s="150"/>
      <c r="BB985" s="146"/>
      <c r="BC985" s="146"/>
      <c r="BD985" s="151"/>
      <c r="BE985" s="146"/>
      <c r="BF985" s="146"/>
      <c r="BH985" s="152" t="e">
        <f aca="false">_xlfn.xlookup(BG985,A:A,F:F)</f>
        <v>#NAME?</v>
      </c>
      <c r="BI985" s="153" t="e">
        <f aca="false">_xlfn.xlookup(BG985,A:A,J:J)</f>
        <v>#NAME?</v>
      </c>
      <c r="BJ985" s="153" t="e">
        <f aca="false">_xlfn.xlookup(BG985,A:A,N:N)+_xlfn.xlookup(BG985,A:A,O:O)</f>
        <v>#NAME?</v>
      </c>
      <c r="BK985" s="153" t="e">
        <f aca="false">_xlfn.xlookup(BG985,A934:A1928,AB934:AB1928)</f>
        <v>#NAME?</v>
      </c>
    </row>
    <row r="986" s="153" customFormat="true" ht="15" hidden="false" customHeight="false" outlineLevel="0" collapsed="false">
      <c r="AN986" s="153" t="e">
        <v>#NAME?</v>
      </c>
      <c r="AO986" s="153" t="e">
        <f aca="false">_xlfn.xlookup(AN986,A:A,F:F)</f>
        <v>#NAME?</v>
      </c>
      <c r="AP986" s="153" t="e">
        <f aca="false">_xlfn.xlookup(AN986,A:A,J:J)</f>
        <v>#NAME?</v>
      </c>
      <c r="AQ986" s="153" t="e">
        <f aca="false">_xlfn.xlookup(AN986,A:A,N:N)+_xlfn.xlookup(AN986,A:A,O:O)</f>
        <v>#NAME?</v>
      </c>
      <c r="AR986" s="150" t="e">
        <f aca="false">_xlfn.xlookup(AN986,A:A,AH:AH)</f>
        <v>#NAME?</v>
      </c>
      <c r="AS986" s="150" t="e">
        <f aca="false">_xlfn.xlookup(AN986,A:A,S:S)</f>
        <v>#NAME?</v>
      </c>
      <c r="AT986" s="150" t="e">
        <f aca="false">_xlfn.xlookup(AN986,A:A,AE:AE)</f>
        <v>#NAME?</v>
      </c>
      <c r="AU986" s="150" t="e">
        <f aca="false">_xlfn.xlookup(AN986,A:A,AF:AF)</f>
        <v>#NAME?</v>
      </c>
      <c r="AX986" s="146"/>
      <c r="AY986" s="150"/>
      <c r="AZ986" s="150"/>
      <c r="BA986" s="150"/>
      <c r="BB986" s="146"/>
      <c r="BC986" s="146"/>
      <c r="BD986" s="151"/>
      <c r="BE986" s="146"/>
      <c r="BF986" s="146"/>
      <c r="BH986" s="152" t="e">
        <f aca="false">_xlfn.xlookup(BG986,A:A,F:F)</f>
        <v>#NAME?</v>
      </c>
      <c r="BI986" s="153" t="e">
        <f aca="false">_xlfn.xlookup(BG986,A:A,J:J)</f>
        <v>#NAME?</v>
      </c>
      <c r="BJ986" s="153" t="e">
        <f aca="false">_xlfn.xlookup(BG986,A:A,N:N)+_xlfn.xlookup(BG986,A:A,O:O)</f>
        <v>#NAME?</v>
      </c>
      <c r="BK986" s="153" t="e">
        <f aca="false">_xlfn.xlookup(BG986,A935:A1929,AB935:AB1929)</f>
        <v>#NAME?</v>
      </c>
    </row>
    <row r="987" s="153" customFormat="true" ht="15" hidden="false" customHeight="false" outlineLevel="0" collapsed="false">
      <c r="AN987" s="153" t="e">
        <v>#NAME?</v>
      </c>
      <c r="AO987" s="153" t="e">
        <f aca="false">_xlfn.xlookup(AN987,A:A,F:F)</f>
        <v>#NAME?</v>
      </c>
      <c r="AP987" s="153" t="e">
        <f aca="false">_xlfn.xlookup(AN987,A:A,J:J)</f>
        <v>#NAME?</v>
      </c>
      <c r="AQ987" s="153" t="e">
        <f aca="false">_xlfn.xlookup(AN987,A:A,N:N)+_xlfn.xlookup(AN987,A:A,O:O)</f>
        <v>#NAME?</v>
      </c>
      <c r="AR987" s="150" t="e">
        <f aca="false">_xlfn.xlookup(AN987,A:A,AH:AH)</f>
        <v>#NAME?</v>
      </c>
      <c r="AS987" s="150" t="e">
        <f aca="false">_xlfn.xlookup(AN987,A:A,S:S)</f>
        <v>#NAME?</v>
      </c>
      <c r="AT987" s="150" t="e">
        <f aca="false">_xlfn.xlookup(AN987,A:A,AE:AE)</f>
        <v>#NAME?</v>
      </c>
      <c r="AU987" s="150" t="e">
        <f aca="false">_xlfn.xlookup(AN987,A:A,AF:AF)</f>
        <v>#NAME?</v>
      </c>
      <c r="AX987" s="146"/>
      <c r="AY987" s="150"/>
      <c r="AZ987" s="150"/>
      <c r="BA987" s="150"/>
      <c r="BB987" s="146"/>
      <c r="BC987" s="146"/>
      <c r="BD987" s="151"/>
      <c r="BE987" s="146"/>
      <c r="BF987" s="146"/>
      <c r="BH987" s="152" t="e">
        <f aca="false">_xlfn.xlookup(BG987,A:A,F:F)</f>
        <v>#NAME?</v>
      </c>
      <c r="BI987" s="153" t="e">
        <f aca="false">_xlfn.xlookup(BG987,A:A,J:J)</f>
        <v>#NAME?</v>
      </c>
      <c r="BJ987" s="153" t="e">
        <f aca="false">_xlfn.xlookup(BG987,A:A,N:N)+_xlfn.xlookup(BG987,A:A,O:O)</f>
        <v>#NAME?</v>
      </c>
      <c r="BK987" s="153" t="e">
        <f aca="false">_xlfn.xlookup(BG987,A936:A1930,AB936:AB1930)</f>
        <v>#NAME?</v>
      </c>
    </row>
    <row r="988" s="153" customFormat="true" ht="15" hidden="false" customHeight="false" outlineLevel="0" collapsed="false">
      <c r="AN988" s="153" t="e">
        <v>#NAME?</v>
      </c>
      <c r="AO988" s="153" t="e">
        <f aca="false">_xlfn.xlookup(AN988,A:A,F:F)</f>
        <v>#NAME?</v>
      </c>
      <c r="AP988" s="153" t="e">
        <f aca="false">_xlfn.xlookup(AN988,A:A,J:J)</f>
        <v>#NAME?</v>
      </c>
      <c r="AQ988" s="153" t="e">
        <f aca="false">_xlfn.xlookup(AN988,A:A,N:N)+_xlfn.xlookup(AN988,A:A,O:O)</f>
        <v>#NAME?</v>
      </c>
      <c r="AR988" s="150" t="e">
        <f aca="false">_xlfn.xlookup(AN988,A:A,AH:AH)</f>
        <v>#NAME?</v>
      </c>
      <c r="AS988" s="150" t="e">
        <f aca="false">_xlfn.xlookup(AN988,A:A,S:S)</f>
        <v>#NAME?</v>
      </c>
      <c r="AT988" s="150" t="e">
        <f aca="false">_xlfn.xlookup(AN988,A:A,AE:AE)</f>
        <v>#NAME?</v>
      </c>
      <c r="AU988" s="150" t="e">
        <f aca="false">_xlfn.xlookup(AN988,A:A,AF:AF)</f>
        <v>#NAME?</v>
      </c>
      <c r="AX988" s="146"/>
      <c r="AY988" s="150"/>
      <c r="AZ988" s="150"/>
      <c r="BA988" s="150"/>
      <c r="BB988" s="146"/>
      <c r="BC988" s="146"/>
      <c r="BD988" s="151"/>
      <c r="BE988" s="146"/>
      <c r="BF988" s="146"/>
      <c r="BH988" s="152" t="e">
        <f aca="false">_xlfn.xlookup(BG988,A:A,F:F)</f>
        <v>#NAME?</v>
      </c>
      <c r="BI988" s="153" t="e">
        <f aca="false">_xlfn.xlookup(BG988,A:A,J:J)</f>
        <v>#NAME?</v>
      </c>
      <c r="BJ988" s="153" t="e">
        <f aca="false">_xlfn.xlookup(BG988,A:A,N:N)+_xlfn.xlookup(BG988,A:A,O:O)</f>
        <v>#NAME?</v>
      </c>
      <c r="BK988" s="153" t="e">
        <f aca="false">_xlfn.xlookup(BG988,A937:A1931,AB937:AB1931)</f>
        <v>#NAME?</v>
      </c>
    </row>
    <row r="989" s="153" customFormat="true" ht="15" hidden="false" customHeight="false" outlineLevel="0" collapsed="false">
      <c r="AN989" s="153" t="e">
        <v>#NAME?</v>
      </c>
      <c r="AO989" s="153" t="e">
        <f aca="false">_xlfn.xlookup(AN989,A:A,F:F)</f>
        <v>#NAME?</v>
      </c>
      <c r="AP989" s="153" t="e">
        <f aca="false">_xlfn.xlookup(AN989,A:A,J:J)</f>
        <v>#NAME?</v>
      </c>
      <c r="AQ989" s="153" t="e">
        <f aca="false">_xlfn.xlookup(AN989,A:A,N:N)+_xlfn.xlookup(AN989,A:A,O:O)</f>
        <v>#NAME?</v>
      </c>
      <c r="AR989" s="150" t="e">
        <f aca="false">_xlfn.xlookup(AN989,A:A,AH:AH)</f>
        <v>#NAME?</v>
      </c>
      <c r="AS989" s="150" t="e">
        <f aca="false">_xlfn.xlookup(AN989,A:A,S:S)</f>
        <v>#NAME?</v>
      </c>
      <c r="AT989" s="150" t="e">
        <f aca="false">_xlfn.xlookup(AN989,A:A,AE:AE)</f>
        <v>#NAME?</v>
      </c>
      <c r="AU989" s="150" t="e">
        <f aca="false">_xlfn.xlookup(AN989,A:A,AF:AF)</f>
        <v>#NAME?</v>
      </c>
      <c r="AX989" s="146"/>
      <c r="AY989" s="150"/>
      <c r="AZ989" s="150"/>
      <c r="BA989" s="150"/>
      <c r="BB989" s="146"/>
      <c r="BC989" s="146"/>
      <c r="BD989" s="151"/>
      <c r="BE989" s="146"/>
      <c r="BF989" s="146"/>
      <c r="BH989" s="152" t="e">
        <f aca="false">_xlfn.xlookup(BG989,A:A,F:F)</f>
        <v>#NAME?</v>
      </c>
      <c r="BI989" s="153" t="e">
        <f aca="false">_xlfn.xlookup(BG989,A:A,J:J)</f>
        <v>#NAME?</v>
      </c>
      <c r="BJ989" s="153" t="e">
        <f aca="false">_xlfn.xlookup(BG989,A:A,N:N)+_xlfn.xlookup(BG989,A:A,O:O)</f>
        <v>#NAME?</v>
      </c>
      <c r="BK989" s="153" t="e">
        <f aca="false">_xlfn.xlookup(BG989,A938:A1932,AB938:AB1932)</f>
        <v>#NAME?</v>
      </c>
    </row>
    <row r="990" s="153" customFormat="true" ht="15" hidden="false" customHeight="false" outlineLevel="0" collapsed="false">
      <c r="AN990" s="153" t="e">
        <v>#NAME?</v>
      </c>
      <c r="AO990" s="153" t="e">
        <f aca="false">_xlfn.xlookup(AN990,A:A,F:F)</f>
        <v>#NAME?</v>
      </c>
      <c r="AP990" s="153" t="e">
        <f aca="false">_xlfn.xlookup(AN990,A:A,J:J)</f>
        <v>#NAME?</v>
      </c>
      <c r="AQ990" s="153" t="e">
        <f aca="false">_xlfn.xlookup(AN990,A:A,N:N)+_xlfn.xlookup(AN990,A:A,O:O)</f>
        <v>#NAME?</v>
      </c>
      <c r="AR990" s="150" t="e">
        <f aca="false">_xlfn.xlookup(AN990,A:A,AH:AH)</f>
        <v>#NAME?</v>
      </c>
      <c r="AS990" s="150" t="e">
        <f aca="false">_xlfn.xlookup(AN990,A:A,S:S)</f>
        <v>#NAME?</v>
      </c>
      <c r="AT990" s="150" t="e">
        <f aca="false">_xlfn.xlookup(AN990,A:A,AE:AE)</f>
        <v>#NAME?</v>
      </c>
      <c r="AU990" s="150" t="e">
        <f aca="false">_xlfn.xlookup(AN990,A:A,AF:AF)</f>
        <v>#NAME?</v>
      </c>
      <c r="AX990" s="146"/>
      <c r="AY990" s="150"/>
      <c r="AZ990" s="150"/>
      <c r="BA990" s="150"/>
      <c r="BB990" s="146"/>
      <c r="BC990" s="146"/>
      <c r="BD990" s="151"/>
      <c r="BE990" s="146"/>
      <c r="BF990" s="146"/>
      <c r="BH990" s="152" t="e">
        <f aca="false">_xlfn.xlookup(BG990,A:A,F:F)</f>
        <v>#NAME?</v>
      </c>
      <c r="BI990" s="153" t="e">
        <f aca="false">_xlfn.xlookup(BG990,A:A,J:J)</f>
        <v>#NAME?</v>
      </c>
      <c r="BJ990" s="153" t="e">
        <f aca="false">_xlfn.xlookup(BG990,A:A,N:N)+_xlfn.xlookup(BG990,A:A,O:O)</f>
        <v>#NAME?</v>
      </c>
      <c r="BK990" s="153" t="e">
        <f aca="false">_xlfn.xlookup(BG990,A939:A1933,AB939:AB1933)</f>
        <v>#NAME?</v>
      </c>
    </row>
    <row r="991" s="153" customFormat="true" ht="15" hidden="false" customHeight="false" outlineLevel="0" collapsed="false">
      <c r="AN991" s="153" t="e">
        <v>#NAME?</v>
      </c>
      <c r="AO991" s="153" t="e">
        <f aca="false">_xlfn.xlookup(AN991,A:A,F:F)</f>
        <v>#NAME?</v>
      </c>
      <c r="AP991" s="153" t="e">
        <f aca="false">_xlfn.xlookup(AN991,A:A,J:J)</f>
        <v>#NAME?</v>
      </c>
      <c r="AQ991" s="153" t="e">
        <f aca="false">_xlfn.xlookup(AN991,A:A,N:N)+_xlfn.xlookup(AN991,A:A,O:O)</f>
        <v>#NAME?</v>
      </c>
      <c r="AR991" s="150" t="e">
        <f aca="false">_xlfn.xlookup(AN991,A:A,AH:AH)</f>
        <v>#NAME?</v>
      </c>
      <c r="AS991" s="150" t="e">
        <f aca="false">_xlfn.xlookup(AN991,A:A,S:S)</f>
        <v>#NAME?</v>
      </c>
      <c r="AT991" s="150" t="e">
        <f aca="false">_xlfn.xlookup(AN991,A:A,AE:AE)</f>
        <v>#NAME?</v>
      </c>
      <c r="AU991" s="150" t="e">
        <f aca="false">_xlfn.xlookup(AN991,A:A,AF:AF)</f>
        <v>#NAME?</v>
      </c>
      <c r="AX991" s="146"/>
      <c r="AY991" s="150"/>
      <c r="AZ991" s="150"/>
      <c r="BA991" s="150"/>
      <c r="BB991" s="146"/>
      <c r="BC991" s="146"/>
      <c r="BD991" s="151"/>
      <c r="BE991" s="146"/>
      <c r="BF991" s="146"/>
      <c r="BH991" s="152" t="e">
        <f aca="false">_xlfn.xlookup(BG991,A:A,F:F)</f>
        <v>#NAME?</v>
      </c>
      <c r="BI991" s="153" t="e">
        <f aca="false">_xlfn.xlookup(BG991,A:A,J:J)</f>
        <v>#NAME?</v>
      </c>
      <c r="BJ991" s="153" t="e">
        <f aca="false">_xlfn.xlookup(BG991,A:A,N:N)+_xlfn.xlookup(BG991,A:A,O:O)</f>
        <v>#NAME?</v>
      </c>
      <c r="BK991" s="153" t="e">
        <f aca="false">_xlfn.xlookup(BG991,A940:A1934,AB940:AB1934)</f>
        <v>#NAME?</v>
      </c>
    </row>
    <row r="992" s="153" customFormat="true" ht="15" hidden="false" customHeight="false" outlineLevel="0" collapsed="false">
      <c r="AN992" s="153" t="e">
        <v>#NAME?</v>
      </c>
      <c r="AO992" s="153" t="e">
        <f aca="false">_xlfn.xlookup(AN992,A:A,F:F)</f>
        <v>#NAME?</v>
      </c>
      <c r="AP992" s="153" t="e">
        <f aca="false">_xlfn.xlookup(AN992,A:A,J:J)</f>
        <v>#NAME?</v>
      </c>
      <c r="AQ992" s="153" t="e">
        <f aca="false">_xlfn.xlookup(AN992,A:A,N:N)+_xlfn.xlookup(AN992,A:A,O:O)</f>
        <v>#NAME?</v>
      </c>
      <c r="AR992" s="150" t="e">
        <f aca="false">_xlfn.xlookup(AN992,A:A,AH:AH)</f>
        <v>#NAME?</v>
      </c>
      <c r="AS992" s="150" t="e">
        <f aca="false">_xlfn.xlookup(AN992,A:A,S:S)</f>
        <v>#NAME?</v>
      </c>
      <c r="AT992" s="150" t="e">
        <f aca="false">_xlfn.xlookup(AN992,A:A,AE:AE)</f>
        <v>#NAME?</v>
      </c>
      <c r="AU992" s="150" t="e">
        <f aca="false">_xlfn.xlookup(AN992,A:A,AF:AF)</f>
        <v>#NAME?</v>
      </c>
      <c r="AX992" s="146"/>
      <c r="AY992" s="150"/>
      <c r="AZ992" s="150"/>
      <c r="BA992" s="150"/>
      <c r="BB992" s="146"/>
      <c r="BC992" s="146"/>
      <c r="BD992" s="151"/>
      <c r="BE992" s="146"/>
      <c r="BF992" s="146"/>
      <c r="BH992" s="152" t="e">
        <f aca="false">_xlfn.xlookup(BG992,A:A,F:F)</f>
        <v>#NAME?</v>
      </c>
      <c r="BI992" s="153" t="e">
        <f aca="false">_xlfn.xlookup(BG992,A:A,J:J)</f>
        <v>#NAME?</v>
      </c>
      <c r="BJ992" s="153" t="e">
        <f aca="false">_xlfn.xlookup(BG992,A:A,N:N)+_xlfn.xlookup(BG992,A:A,O:O)</f>
        <v>#NAME?</v>
      </c>
      <c r="BK992" s="153" t="e">
        <f aca="false">_xlfn.xlookup(BG992,A941:A1935,AB941:AB1935)</f>
        <v>#NAME?</v>
      </c>
    </row>
    <row r="993" s="153" customFormat="true" ht="15" hidden="false" customHeight="false" outlineLevel="0" collapsed="false">
      <c r="AN993" s="153" t="e">
        <v>#NAME?</v>
      </c>
      <c r="AO993" s="153" t="e">
        <f aca="false">_xlfn.xlookup(AN993,A:A,F:F)</f>
        <v>#NAME?</v>
      </c>
      <c r="AP993" s="153" t="e">
        <f aca="false">_xlfn.xlookup(AN993,A:A,J:J)</f>
        <v>#NAME?</v>
      </c>
      <c r="AQ993" s="153" t="e">
        <f aca="false">_xlfn.xlookup(AN993,A:A,N:N)+_xlfn.xlookup(AN993,A:A,O:O)</f>
        <v>#NAME?</v>
      </c>
      <c r="AR993" s="150" t="e">
        <f aca="false">_xlfn.xlookup(AN993,A:A,AH:AH)</f>
        <v>#NAME?</v>
      </c>
      <c r="AS993" s="150" t="e">
        <f aca="false">_xlfn.xlookup(AN993,A:A,S:S)</f>
        <v>#NAME?</v>
      </c>
      <c r="AT993" s="150" t="e">
        <f aca="false">_xlfn.xlookup(AN993,A:A,AE:AE)</f>
        <v>#NAME?</v>
      </c>
      <c r="AU993" s="150" t="e">
        <f aca="false">_xlfn.xlookup(AN993,A:A,AF:AF)</f>
        <v>#NAME?</v>
      </c>
      <c r="AX993" s="146"/>
      <c r="AY993" s="150"/>
      <c r="AZ993" s="150"/>
      <c r="BA993" s="150"/>
      <c r="BB993" s="146"/>
      <c r="BC993" s="146"/>
      <c r="BD993" s="151"/>
      <c r="BE993" s="146"/>
      <c r="BF993" s="146"/>
      <c r="BH993" s="152" t="e">
        <f aca="false">_xlfn.xlookup(BG993,A:A,F:F)</f>
        <v>#NAME?</v>
      </c>
      <c r="BI993" s="153" t="e">
        <f aca="false">_xlfn.xlookup(BG993,A:A,J:J)</f>
        <v>#NAME?</v>
      </c>
      <c r="BJ993" s="153" t="e">
        <f aca="false">_xlfn.xlookup(BG993,A:A,N:N)+_xlfn.xlookup(BG993,A:A,O:O)</f>
        <v>#NAME?</v>
      </c>
      <c r="BK993" s="153" t="e">
        <f aca="false">_xlfn.xlookup(BG993,A942:A1936,AB942:AB1936)</f>
        <v>#NAME?</v>
      </c>
    </row>
    <row r="994" s="153" customFormat="true" ht="15" hidden="false" customHeight="false" outlineLevel="0" collapsed="false">
      <c r="AN994" s="153" t="e">
        <v>#NAME?</v>
      </c>
      <c r="AO994" s="153" t="e">
        <f aca="false">_xlfn.xlookup(AN994,A:A,F:F)</f>
        <v>#NAME?</v>
      </c>
      <c r="AP994" s="153" t="e">
        <f aca="false">_xlfn.xlookup(AN994,A:A,J:J)</f>
        <v>#NAME?</v>
      </c>
      <c r="AQ994" s="153" t="e">
        <f aca="false">_xlfn.xlookup(AN994,A:A,N:N)+_xlfn.xlookup(AN994,A:A,O:O)</f>
        <v>#NAME?</v>
      </c>
      <c r="AR994" s="150" t="e">
        <f aca="false">_xlfn.xlookup(AN994,A:A,AH:AH)</f>
        <v>#NAME?</v>
      </c>
      <c r="AS994" s="150" t="e">
        <f aca="false">_xlfn.xlookup(AN994,A:A,S:S)</f>
        <v>#NAME?</v>
      </c>
      <c r="AT994" s="150" t="e">
        <f aca="false">_xlfn.xlookup(AN994,A:A,AE:AE)</f>
        <v>#NAME?</v>
      </c>
      <c r="AU994" s="150" t="e">
        <f aca="false">_xlfn.xlookup(AN994,A:A,AF:AF)</f>
        <v>#NAME?</v>
      </c>
      <c r="AX994" s="146"/>
      <c r="AY994" s="150"/>
      <c r="AZ994" s="150"/>
      <c r="BA994" s="150"/>
      <c r="BB994" s="146"/>
      <c r="BC994" s="146"/>
      <c r="BD994" s="151"/>
      <c r="BE994" s="146"/>
      <c r="BF994" s="146"/>
      <c r="BH994" s="152" t="e">
        <f aca="false">_xlfn.xlookup(BG994,A:A,F:F)</f>
        <v>#NAME?</v>
      </c>
      <c r="BI994" s="153" t="e">
        <f aca="false">_xlfn.xlookup(BG994,A:A,J:J)</f>
        <v>#NAME?</v>
      </c>
      <c r="BJ994" s="153" t="e">
        <f aca="false">_xlfn.xlookup(BG994,A:A,N:N)+_xlfn.xlookup(BG994,A:A,O:O)</f>
        <v>#NAME?</v>
      </c>
      <c r="BK994" s="153" t="e">
        <f aca="false">_xlfn.xlookup(BG994,A943:A1937,AB943:AB1937)</f>
        <v>#NAME?</v>
      </c>
    </row>
    <row r="995" s="153" customFormat="true" ht="15" hidden="false" customHeight="false" outlineLevel="0" collapsed="false">
      <c r="AN995" s="153" t="e">
        <v>#NAME?</v>
      </c>
      <c r="AO995" s="153" t="e">
        <f aca="false">_xlfn.xlookup(AN995,A:A,F:F)</f>
        <v>#NAME?</v>
      </c>
      <c r="AP995" s="153" t="e">
        <f aca="false">_xlfn.xlookup(AN995,A:A,J:J)</f>
        <v>#NAME?</v>
      </c>
      <c r="AQ995" s="153" t="e">
        <f aca="false">_xlfn.xlookup(AN995,A:A,N:N)+_xlfn.xlookup(AN995,A:A,O:O)</f>
        <v>#NAME?</v>
      </c>
      <c r="AR995" s="150" t="e">
        <f aca="false">_xlfn.xlookup(AN995,A:A,AH:AH)</f>
        <v>#NAME?</v>
      </c>
      <c r="AS995" s="150" t="e">
        <f aca="false">_xlfn.xlookup(AN995,A:A,S:S)</f>
        <v>#NAME?</v>
      </c>
      <c r="AT995" s="150" t="e">
        <f aca="false">_xlfn.xlookup(AN995,A:A,AE:AE)</f>
        <v>#NAME?</v>
      </c>
      <c r="AU995" s="150" t="e">
        <f aca="false">_xlfn.xlookup(AN995,A:A,AF:AF)</f>
        <v>#NAME?</v>
      </c>
      <c r="AX995" s="146"/>
      <c r="AY995" s="150"/>
      <c r="AZ995" s="150"/>
      <c r="BA995" s="150"/>
      <c r="BB995" s="146"/>
      <c r="BC995" s="146"/>
      <c r="BD995" s="151"/>
      <c r="BE995" s="146"/>
      <c r="BF995" s="146"/>
      <c r="BH995" s="152" t="e">
        <f aca="false">_xlfn.xlookup(BG995,A:A,F:F)</f>
        <v>#NAME?</v>
      </c>
      <c r="BI995" s="153" t="e">
        <f aca="false">_xlfn.xlookup(BG995,A:A,J:J)</f>
        <v>#NAME?</v>
      </c>
      <c r="BJ995" s="153" t="e">
        <f aca="false">_xlfn.xlookup(BG995,A:A,N:N)+_xlfn.xlookup(BG995,A:A,O:O)</f>
        <v>#NAME?</v>
      </c>
      <c r="BK995" s="153" t="e">
        <f aca="false">_xlfn.xlookup(BG995,A944:A1938,AB944:AB1938)</f>
        <v>#NAME?</v>
      </c>
    </row>
    <row r="996" s="153" customFormat="true" ht="15" hidden="false" customHeight="false" outlineLevel="0" collapsed="false">
      <c r="AN996" s="153" t="e">
        <v>#NAME?</v>
      </c>
      <c r="AO996" s="153" t="e">
        <f aca="false">_xlfn.xlookup(AN996,A:A,F:F)</f>
        <v>#NAME?</v>
      </c>
      <c r="AP996" s="153" t="e">
        <f aca="false">_xlfn.xlookup(AN996,A:A,J:J)</f>
        <v>#NAME?</v>
      </c>
      <c r="AQ996" s="153" t="e">
        <f aca="false">_xlfn.xlookup(AN996,A:A,N:N)+_xlfn.xlookup(AN996,A:A,O:O)</f>
        <v>#NAME?</v>
      </c>
      <c r="AR996" s="150" t="e">
        <f aca="false">_xlfn.xlookup(AN996,A:A,AH:AH)</f>
        <v>#NAME?</v>
      </c>
      <c r="AS996" s="150" t="e">
        <f aca="false">_xlfn.xlookup(AN996,A:A,S:S)</f>
        <v>#NAME?</v>
      </c>
      <c r="AT996" s="150" t="e">
        <f aca="false">_xlfn.xlookup(AN996,A:A,AE:AE)</f>
        <v>#NAME?</v>
      </c>
      <c r="AU996" s="150" t="e">
        <f aca="false">_xlfn.xlookup(AN996,A:A,AF:AF)</f>
        <v>#NAME?</v>
      </c>
      <c r="AX996" s="146"/>
      <c r="AY996" s="150"/>
      <c r="AZ996" s="150"/>
      <c r="BA996" s="150"/>
      <c r="BB996" s="146"/>
      <c r="BC996" s="146"/>
      <c r="BD996" s="151"/>
      <c r="BE996" s="146"/>
      <c r="BF996" s="146"/>
      <c r="BH996" s="152" t="e">
        <f aca="false">_xlfn.xlookup(BG996,A:A,F:F)</f>
        <v>#NAME?</v>
      </c>
      <c r="BI996" s="153" t="e">
        <f aca="false">_xlfn.xlookup(BG996,A:A,J:J)</f>
        <v>#NAME?</v>
      </c>
      <c r="BJ996" s="153" t="e">
        <f aca="false">_xlfn.xlookup(BG996,A:A,N:N)+_xlfn.xlookup(BG996,A:A,O:O)</f>
        <v>#NAME?</v>
      </c>
      <c r="BK996" s="153" t="e">
        <f aca="false">_xlfn.xlookup(BG996,A945:A1939,AB945:AB1939)</f>
        <v>#NAME?</v>
      </c>
    </row>
    <row r="997" s="153" customFormat="true" ht="15" hidden="false" customHeight="false" outlineLevel="0" collapsed="false">
      <c r="AN997" s="153" t="e">
        <v>#NAME?</v>
      </c>
      <c r="AO997" s="153" t="e">
        <f aca="false">_xlfn.xlookup(AN997,A:A,F:F)</f>
        <v>#NAME?</v>
      </c>
      <c r="AP997" s="153" t="e">
        <f aca="false">_xlfn.xlookup(AN997,A:A,J:J)</f>
        <v>#NAME?</v>
      </c>
      <c r="AQ997" s="153" t="e">
        <f aca="false">_xlfn.xlookup(AN997,A:A,N:N)+_xlfn.xlookup(AN997,A:A,O:O)</f>
        <v>#NAME?</v>
      </c>
      <c r="AR997" s="150" t="e">
        <f aca="false">_xlfn.xlookup(AN997,A:A,AH:AH)</f>
        <v>#NAME?</v>
      </c>
      <c r="AS997" s="150" t="e">
        <f aca="false">_xlfn.xlookup(AN997,A:A,S:S)</f>
        <v>#NAME?</v>
      </c>
      <c r="AT997" s="150" t="e">
        <f aca="false">_xlfn.xlookup(AN997,A:A,AE:AE)</f>
        <v>#NAME?</v>
      </c>
      <c r="AU997" s="150" t="e">
        <f aca="false">_xlfn.xlookup(AN997,A:A,AF:AF)</f>
        <v>#NAME?</v>
      </c>
      <c r="AX997" s="146"/>
      <c r="AY997" s="150"/>
      <c r="AZ997" s="150"/>
      <c r="BA997" s="150"/>
      <c r="BB997" s="146"/>
      <c r="BC997" s="146"/>
      <c r="BD997" s="151"/>
      <c r="BE997" s="146"/>
      <c r="BF997" s="146"/>
      <c r="BH997" s="152" t="e">
        <f aca="false">_xlfn.xlookup(BG997,A:A,F:F)</f>
        <v>#NAME?</v>
      </c>
      <c r="BI997" s="153" t="e">
        <f aca="false">_xlfn.xlookup(BG997,A:A,J:J)</f>
        <v>#NAME?</v>
      </c>
      <c r="BJ997" s="153" t="e">
        <f aca="false">_xlfn.xlookup(BG997,A:A,N:N)+_xlfn.xlookup(BG997,A:A,O:O)</f>
        <v>#NAME?</v>
      </c>
      <c r="BK997" s="153" t="e">
        <f aca="false">_xlfn.xlookup(BG997,A946:A1940,AB946:AB1940)</f>
        <v>#NAME?</v>
      </c>
    </row>
    <row r="998" s="153" customFormat="true" ht="15" hidden="false" customHeight="false" outlineLevel="0" collapsed="false">
      <c r="AN998" s="153" t="e">
        <v>#NAME?</v>
      </c>
      <c r="AO998" s="153" t="e">
        <f aca="false">_xlfn.xlookup(AN998,A:A,F:F)</f>
        <v>#NAME?</v>
      </c>
      <c r="AP998" s="153" t="e">
        <f aca="false">_xlfn.xlookup(AN998,A:A,J:J)</f>
        <v>#NAME?</v>
      </c>
      <c r="AQ998" s="153" t="e">
        <f aca="false">_xlfn.xlookup(AN998,A:A,N:N)+_xlfn.xlookup(AN998,A:A,O:O)</f>
        <v>#NAME?</v>
      </c>
      <c r="AR998" s="150" t="e">
        <f aca="false">_xlfn.xlookup(AN998,A:A,AH:AH)</f>
        <v>#NAME?</v>
      </c>
      <c r="AS998" s="150" t="e">
        <f aca="false">_xlfn.xlookup(AN998,A:A,S:S)</f>
        <v>#NAME?</v>
      </c>
      <c r="AT998" s="150" t="e">
        <f aca="false">_xlfn.xlookup(AN998,A:A,AE:AE)</f>
        <v>#NAME?</v>
      </c>
      <c r="AU998" s="150" t="e">
        <f aca="false">_xlfn.xlookup(AN998,A:A,AF:AF)</f>
        <v>#NAME?</v>
      </c>
      <c r="AX998" s="146"/>
      <c r="AY998" s="150"/>
      <c r="AZ998" s="150"/>
      <c r="BA998" s="150"/>
      <c r="BB998" s="146"/>
      <c r="BC998" s="146"/>
      <c r="BD998" s="151"/>
      <c r="BE998" s="146"/>
      <c r="BF998" s="146"/>
      <c r="BH998" s="152" t="e">
        <f aca="false">_xlfn.xlookup(BG998,A:A,F:F)</f>
        <v>#NAME?</v>
      </c>
      <c r="BI998" s="153" t="e">
        <f aca="false">_xlfn.xlookup(BG998,A:A,J:J)</f>
        <v>#NAME?</v>
      </c>
      <c r="BJ998" s="153" t="e">
        <f aca="false">_xlfn.xlookup(BG998,A:A,N:N)+_xlfn.xlookup(BG998,A:A,O:O)</f>
        <v>#NAME?</v>
      </c>
      <c r="BK998" s="153" t="e">
        <f aca="false">_xlfn.xlookup(BG998,A947:A1941,AB947:AB1941)</f>
        <v>#NAME?</v>
      </c>
    </row>
    <row r="999" s="153" customFormat="true" ht="15" hidden="false" customHeight="false" outlineLevel="0" collapsed="false">
      <c r="AN999" s="153" t="e">
        <v>#NAME?</v>
      </c>
      <c r="AO999" s="153" t="e">
        <f aca="false">_xlfn.xlookup(AN999,A:A,F:F)</f>
        <v>#NAME?</v>
      </c>
      <c r="AP999" s="153" t="e">
        <f aca="false">_xlfn.xlookup(AN999,A:A,J:J)</f>
        <v>#NAME?</v>
      </c>
      <c r="AQ999" s="153" t="e">
        <f aca="false">_xlfn.xlookup(AN999,A:A,N:N)+_xlfn.xlookup(AN999,A:A,O:O)</f>
        <v>#NAME?</v>
      </c>
      <c r="AR999" s="150" t="e">
        <f aca="false">_xlfn.xlookup(AN999,A:A,AH:AH)</f>
        <v>#NAME?</v>
      </c>
      <c r="AS999" s="150" t="e">
        <f aca="false">_xlfn.xlookup(AN999,A:A,S:S)</f>
        <v>#NAME?</v>
      </c>
      <c r="AT999" s="150" t="e">
        <f aca="false">_xlfn.xlookup(AN999,A:A,AE:AE)</f>
        <v>#NAME?</v>
      </c>
      <c r="AU999" s="150" t="e">
        <f aca="false">_xlfn.xlookup(AN999,A:A,AF:AF)</f>
        <v>#NAME?</v>
      </c>
      <c r="AX999" s="146"/>
      <c r="AY999" s="150"/>
      <c r="AZ999" s="150"/>
      <c r="BA999" s="150"/>
      <c r="BB999" s="146"/>
      <c r="BC999" s="146"/>
      <c r="BD999" s="151"/>
      <c r="BE999" s="146"/>
      <c r="BF999" s="146"/>
      <c r="BH999" s="152" t="e">
        <f aca="false">_xlfn.xlookup(BG999,A:A,F:F)</f>
        <v>#NAME?</v>
      </c>
      <c r="BI999" s="153" t="e">
        <f aca="false">_xlfn.xlookup(BG999,A:A,J:J)</f>
        <v>#NAME?</v>
      </c>
      <c r="BJ999" s="153" t="e">
        <f aca="false">_xlfn.xlookup(BG999,A:A,N:N)+_xlfn.xlookup(BG999,A:A,O:O)</f>
        <v>#NAME?</v>
      </c>
      <c r="BK999" s="153" t="e">
        <f aca="false">_xlfn.xlookup(BG999,A948:A1942,AB948:AB1942)</f>
        <v>#NAME?</v>
      </c>
    </row>
    <row r="1000" s="153" customFormat="true" ht="15" hidden="false" customHeight="false" outlineLevel="0" collapsed="false">
      <c r="AN1000" s="153" t="e">
        <v>#NAME?</v>
      </c>
      <c r="AO1000" s="153" t="e">
        <f aca="false">_xlfn.xlookup(AN1000,A:A,F:F)</f>
        <v>#NAME?</v>
      </c>
      <c r="AP1000" s="153" t="e">
        <f aca="false">_xlfn.xlookup(AN1000,A:A,J:J)</f>
        <v>#NAME?</v>
      </c>
      <c r="AQ1000" s="153" t="e">
        <f aca="false">_xlfn.xlookup(AN1000,A:A,N:N)+_xlfn.xlookup(AN1000,A:A,O:O)</f>
        <v>#NAME?</v>
      </c>
      <c r="AR1000" s="150" t="e">
        <f aca="false">_xlfn.xlookup(AN1000,A:A,AH:AH)</f>
        <v>#NAME?</v>
      </c>
      <c r="AS1000" s="150" t="e">
        <f aca="false">_xlfn.xlookup(AN1000,A:A,S:S)</f>
        <v>#NAME?</v>
      </c>
      <c r="AT1000" s="150" t="e">
        <f aca="false">_xlfn.xlookup(AN1000,A:A,AE:AE)</f>
        <v>#NAME?</v>
      </c>
      <c r="AU1000" s="150" t="e">
        <f aca="false">_xlfn.xlookup(AN1000,A:A,AF:AF)</f>
        <v>#NAME?</v>
      </c>
      <c r="AX1000" s="146"/>
      <c r="AY1000" s="150"/>
      <c r="AZ1000" s="150"/>
      <c r="BA1000" s="150"/>
      <c r="BB1000" s="146"/>
      <c r="BC1000" s="146"/>
      <c r="BD1000" s="151"/>
      <c r="BE1000" s="146"/>
      <c r="BF1000" s="146"/>
      <c r="BH1000" s="152" t="e">
        <f aca="false">_xlfn.xlookup(BG1000,A:A,F:F)</f>
        <v>#NAME?</v>
      </c>
      <c r="BI1000" s="153" t="e">
        <f aca="false">_xlfn.xlookup(BG1000,A:A,J:J)</f>
        <v>#NAME?</v>
      </c>
      <c r="BJ1000" s="153" t="e">
        <f aca="false">_xlfn.xlookup(BG1000,A:A,N:N)+_xlfn.xlookup(BG1000,A:A,O:O)</f>
        <v>#NAME?</v>
      </c>
      <c r="BK1000" s="153" t="e">
        <f aca="false">_xlfn.xlookup(BG1000,A949:A1943,AB949:AB1943)</f>
        <v>#NAME?</v>
      </c>
    </row>
    <row r="1001" s="153" customFormat="true" ht="15" hidden="false" customHeight="false" outlineLevel="0" collapsed="false">
      <c r="AN1001" s="153" t="e">
        <v>#NAME?</v>
      </c>
      <c r="AO1001" s="153" t="e">
        <f aca="false">_xlfn.xlookup(AN1001,A:A,F:F)</f>
        <v>#NAME?</v>
      </c>
      <c r="AP1001" s="153" t="e">
        <f aca="false">_xlfn.xlookup(AN1001,A:A,J:J)</f>
        <v>#NAME?</v>
      </c>
      <c r="AQ1001" s="153" t="e">
        <f aca="false">_xlfn.xlookup(AN1001,A:A,N:N)+_xlfn.xlookup(AN1001,A:A,O:O)</f>
        <v>#NAME?</v>
      </c>
      <c r="AR1001" s="150" t="e">
        <f aca="false">_xlfn.xlookup(AN1001,A:A,AH:AH)</f>
        <v>#NAME?</v>
      </c>
      <c r="AS1001" s="150" t="e">
        <f aca="false">_xlfn.xlookup(AN1001,A:A,S:S)</f>
        <v>#NAME?</v>
      </c>
      <c r="AT1001" s="150" t="e">
        <f aca="false">_xlfn.xlookup(AN1001,A:A,AE:AE)</f>
        <v>#NAME?</v>
      </c>
      <c r="AU1001" s="150" t="e">
        <f aca="false">_xlfn.xlookup(AN1001,A:A,AF:AF)</f>
        <v>#NAME?</v>
      </c>
      <c r="AX1001" s="146"/>
      <c r="AY1001" s="150"/>
      <c r="AZ1001" s="150"/>
      <c r="BA1001" s="150"/>
      <c r="BB1001" s="146"/>
      <c r="BC1001" s="146"/>
      <c r="BD1001" s="151"/>
      <c r="BE1001" s="146"/>
      <c r="BF1001" s="146"/>
      <c r="BH1001" s="152" t="e">
        <f aca="false">_xlfn.xlookup(BG1001,A:A,F:F)</f>
        <v>#NAME?</v>
      </c>
      <c r="BI1001" s="153" t="e">
        <f aca="false">_xlfn.xlookup(BG1001,A:A,J:J)</f>
        <v>#NAME?</v>
      </c>
      <c r="BJ1001" s="153" t="e">
        <f aca="false">_xlfn.xlookup(BG1001,A:A,N:N)+_xlfn.xlookup(BG1001,A:A,O:O)</f>
        <v>#NAME?</v>
      </c>
      <c r="BK1001" s="153" t="e">
        <f aca="false">_xlfn.xlookup(BG1001,A950:A1944,AB950:AB1944)</f>
        <v>#NAME?</v>
      </c>
    </row>
    <row r="1002" s="153" customFormat="true" ht="15" hidden="false" customHeight="false" outlineLevel="0" collapsed="false">
      <c r="AN1002" s="153" t="e">
        <v>#NAME?</v>
      </c>
      <c r="AO1002" s="153" t="e">
        <f aca="false">_xlfn.xlookup(AN1002,A:A,F:F)</f>
        <v>#NAME?</v>
      </c>
      <c r="AP1002" s="153" t="e">
        <f aca="false">_xlfn.xlookup(AN1002,A:A,J:J)</f>
        <v>#NAME?</v>
      </c>
      <c r="AQ1002" s="153" t="e">
        <f aca="false">_xlfn.xlookup(AN1002,A:A,N:N)+_xlfn.xlookup(AN1002,A:A,O:O)</f>
        <v>#NAME?</v>
      </c>
      <c r="AR1002" s="150" t="e">
        <f aca="false">_xlfn.xlookup(AN1002,A:A,AH:AH)</f>
        <v>#NAME?</v>
      </c>
      <c r="AS1002" s="150" t="e">
        <f aca="false">_xlfn.xlookup(AN1002,A:A,S:S)</f>
        <v>#NAME?</v>
      </c>
      <c r="AT1002" s="150" t="e">
        <f aca="false">_xlfn.xlookup(AN1002,A:A,AE:AE)</f>
        <v>#NAME?</v>
      </c>
      <c r="AU1002" s="150" t="e">
        <f aca="false">_xlfn.xlookup(AN1002,A:A,AF:AF)</f>
        <v>#NAME?</v>
      </c>
      <c r="AX1002" s="146"/>
      <c r="AY1002" s="150"/>
      <c r="AZ1002" s="150"/>
      <c r="BA1002" s="150"/>
      <c r="BB1002" s="146"/>
      <c r="BC1002" s="146"/>
      <c r="BD1002" s="151"/>
      <c r="BE1002" s="146"/>
      <c r="BF1002" s="146"/>
      <c r="BH1002" s="152" t="e">
        <f aca="false">_xlfn.xlookup(BG1002,A:A,F:F)</f>
        <v>#NAME?</v>
      </c>
      <c r="BI1002" s="153" t="e">
        <f aca="false">_xlfn.xlookup(BG1002,A:A,J:J)</f>
        <v>#NAME?</v>
      </c>
      <c r="BJ1002" s="153" t="e">
        <f aca="false">_xlfn.xlookup(BG1002,A:A,N:N)+_xlfn.xlookup(BG1002,A:A,O:O)</f>
        <v>#NAME?</v>
      </c>
      <c r="BK1002" s="153" t="e">
        <f aca="false">_xlfn.xlookup(BG1002,A951:A1945,AB951:AB1945)</f>
        <v>#NAME?</v>
      </c>
    </row>
    <row r="1003" s="153" customFormat="true" ht="15" hidden="false" customHeight="false" outlineLevel="0" collapsed="false">
      <c r="AN1003" s="153" t="e">
        <v>#NAME?</v>
      </c>
      <c r="AO1003" s="153" t="e">
        <f aca="false">_xlfn.xlookup(AN1003,A:A,F:F)</f>
        <v>#NAME?</v>
      </c>
      <c r="AP1003" s="153" t="e">
        <f aca="false">_xlfn.xlookup(AN1003,A:A,J:J)</f>
        <v>#NAME?</v>
      </c>
      <c r="AQ1003" s="153" t="e">
        <f aca="false">_xlfn.xlookup(AN1003,A:A,N:N)+_xlfn.xlookup(AN1003,A:A,O:O)</f>
        <v>#NAME?</v>
      </c>
      <c r="AR1003" s="150" t="e">
        <f aca="false">_xlfn.xlookup(AN1003,A:A,AH:AH)</f>
        <v>#NAME?</v>
      </c>
      <c r="AS1003" s="150" t="e">
        <f aca="false">_xlfn.xlookup(AN1003,A:A,S:S)</f>
        <v>#NAME?</v>
      </c>
      <c r="AT1003" s="150" t="e">
        <f aca="false">_xlfn.xlookup(AN1003,A:A,AE:AE)</f>
        <v>#NAME?</v>
      </c>
      <c r="AU1003" s="150" t="e">
        <f aca="false">_xlfn.xlookup(AN1003,A:A,AF:AF)</f>
        <v>#NAME?</v>
      </c>
      <c r="AX1003" s="146"/>
      <c r="AY1003" s="150"/>
      <c r="AZ1003" s="150"/>
      <c r="BA1003" s="150"/>
      <c r="BB1003" s="146"/>
      <c r="BC1003" s="146"/>
      <c r="BD1003" s="151"/>
      <c r="BE1003" s="146"/>
      <c r="BF1003" s="146"/>
      <c r="BH1003" s="152" t="e">
        <f aca="false">_xlfn.xlookup(BG1003,A:A,F:F)</f>
        <v>#NAME?</v>
      </c>
      <c r="BI1003" s="153" t="e">
        <f aca="false">_xlfn.xlookup(BG1003,A:A,J:J)</f>
        <v>#NAME?</v>
      </c>
      <c r="BJ1003" s="153" t="e">
        <f aca="false">_xlfn.xlookup(BG1003,A:A,N:N)+_xlfn.xlookup(BG1003,A:A,O:O)</f>
        <v>#NAME?</v>
      </c>
      <c r="BK1003" s="153" t="e">
        <f aca="false">_xlfn.xlookup(BG1003,A952:A1946,AB952:AB1946)</f>
        <v>#NAME?</v>
      </c>
    </row>
    <row r="1004" s="153" customFormat="true" ht="15" hidden="false" customHeight="false" outlineLevel="0" collapsed="false">
      <c r="AN1004" s="153" t="e">
        <v>#NAME?</v>
      </c>
      <c r="AO1004" s="153" t="e">
        <f aca="false">_xlfn.xlookup(AN1004,A:A,F:F)</f>
        <v>#NAME?</v>
      </c>
      <c r="AP1004" s="153" t="e">
        <f aca="false">_xlfn.xlookup(AN1004,A:A,J:J)</f>
        <v>#NAME?</v>
      </c>
      <c r="AQ1004" s="153" t="e">
        <f aca="false">_xlfn.xlookup(AN1004,A:A,N:N)+_xlfn.xlookup(AN1004,A:A,O:O)</f>
        <v>#NAME?</v>
      </c>
      <c r="AR1004" s="150" t="e">
        <f aca="false">_xlfn.xlookup(AN1004,A:A,AH:AH)</f>
        <v>#NAME?</v>
      </c>
      <c r="AS1004" s="150" t="e">
        <f aca="false">_xlfn.xlookup(AN1004,A:A,S:S)</f>
        <v>#NAME?</v>
      </c>
      <c r="AT1004" s="150" t="e">
        <f aca="false">_xlfn.xlookup(AN1004,A:A,AE:AE)</f>
        <v>#NAME?</v>
      </c>
      <c r="AU1004" s="150" t="e">
        <f aca="false">_xlfn.xlookup(AN1004,A:A,AF:AF)</f>
        <v>#NAME?</v>
      </c>
      <c r="AX1004" s="146"/>
      <c r="AY1004" s="150"/>
      <c r="AZ1004" s="150"/>
      <c r="BA1004" s="150"/>
      <c r="BB1004" s="146"/>
      <c r="BC1004" s="146"/>
      <c r="BD1004" s="151"/>
      <c r="BE1004" s="146"/>
      <c r="BF1004" s="146"/>
      <c r="BH1004" s="152" t="e">
        <f aca="false">_xlfn.xlookup(BG1004,A:A,F:F)</f>
        <v>#NAME?</v>
      </c>
      <c r="BI1004" s="153" t="e">
        <f aca="false">_xlfn.xlookup(BG1004,A:A,J:J)</f>
        <v>#NAME?</v>
      </c>
      <c r="BJ1004" s="153" t="e">
        <f aca="false">_xlfn.xlookup(BG1004,A:A,N:N)+_xlfn.xlookup(BG1004,A:A,O:O)</f>
        <v>#NAME?</v>
      </c>
      <c r="BK1004" s="153" t="e">
        <f aca="false">_xlfn.xlookup(BG1004,A953:A1947,AB953:AB1947)</f>
        <v>#NAME?</v>
      </c>
    </row>
    <row r="1005" s="153" customFormat="true" ht="15" hidden="false" customHeight="false" outlineLevel="0" collapsed="false">
      <c r="AN1005" s="153" t="e">
        <v>#NAME?</v>
      </c>
      <c r="AO1005" s="153" t="e">
        <f aca="false">_xlfn.xlookup(AN1005,A:A,F:F)</f>
        <v>#NAME?</v>
      </c>
      <c r="AP1005" s="153" t="e">
        <f aca="false">_xlfn.xlookup(AN1005,A:A,J:J)</f>
        <v>#NAME?</v>
      </c>
      <c r="AQ1005" s="153" t="e">
        <f aca="false">_xlfn.xlookup(AN1005,A:A,N:N)+_xlfn.xlookup(AN1005,A:A,O:O)</f>
        <v>#NAME?</v>
      </c>
      <c r="AR1005" s="150" t="e">
        <f aca="false">_xlfn.xlookup(AN1005,A:A,AH:AH)</f>
        <v>#NAME?</v>
      </c>
      <c r="AS1005" s="150" t="e">
        <f aca="false">_xlfn.xlookup(AN1005,A:A,S:S)</f>
        <v>#NAME?</v>
      </c>
      <c r="AT1005" s="150" t="e">
        <f aca="false">_xlfn.xlookup(AN1005,A:A,AE:AE)</f>
        <v>#NAME?</v>
      </c>
      <c r="AU1005" s="150" t="e">
        <f aca="false">_xlfn.xlookup(AN1005,A:A,AF:AF)</f>
        <v>#NAME?</v>
      </c>
      <c r="AX1005" s="146"/>
      <c r="AY1005" s="150"/>
      <c r="AZ1005" s="150"/>
      <c r="BA1005" s="150"/>
      <c r="BB1005" s="146"/>
      <c r="BC1005" s="146"/>
      <c r="BD1005" s="151"/>
      <c r="BE1005" s="146"/>
      <c r="BF1005" s="146"/>
      <c r="BH1005" s="152" t="e">
        <f aca="false">_xlfn.xlookup(BG1005,A:A,F:F)</f>
        <v>#NAME?</v>
      </c>
      <c r="BI1005" s="153" t="e">
        <f aca="false">_xlfn.xlookup(BG1005,A:A,J:J)</f>
        <v>#NAME?</v>
      </c>
      <c r="BJ1005" s="153" t="e">
        <f aca="false">_xlfn.xlookup(BG1005,A:A,N:N)+_xlfn.xlookup(BG1005,A:A,O:O)</f>
        <v>#NAME?</v>
      </c>
      <c r="BK1005" s="153" t="e">
        <f aca="false">_xlfn.xlookup(BG1005,A954:A1948,AB954:AB1948)</f>
        <v>#NAME?</v>
      </c>
    </row>
    <row r="1006" s="153" customFormat="true" ht="15" hidden="false" customHeight="false" outlineLevel="0" collapsed="false">
      <c r="AN1006" s="153" t="e">
        <v>#NAME?</v>
      </c>
      <c r="AO1006" s="153" t="e">
        <f aca="false">_xlfn.xlookup(AN1006,A:A,F:F)</f>
        <v>#NAME?</v>
      </c>
      <c r="AP1006" s="153" t="e">
        <f aca="false">_xlfn.xlookup(AN1006,A:A,J:J)</f>
        <v>#NAME?</v>
      </c>
      <c r="AQ1006" s="153" t="e">
        <f aca="false">_xlfn.xlookup(AN1006,A:A,N:N)+_xlfn.xlookup(AN1006,A:A,O:O)</f>
        <v>#NAME?</v>
      </c>
      <c r="AR1006" s="150" t="e">
        <f aca="false">_xlfn.xlookup(AN1006,A:A,AH:AH)</f>
        <v>#NAME?</v>
      </c>
      <c r="AS1006" s="150" t="e">
        <f aca="false">_xlfn.xlookup(AN1006,A:A,S:S)</f>
        <v>#NAME?</v>
      </c>
      <c r="AT1006" s="150" t="e">
        <f aca="false">_xlfn.xlookup(AN1006,A:A,AE:AE)</f>
        <v>#NAME?</v>
      </c>
      <c r="AU1006" s="150" t="e">
        <f aca="false">_xlfn.xlookup(AN1006,A:A,AF:AF)</f>
        <v>#NAME?</v>
      </c>
      <c r="AX1006" s="146"/>
      <c r="AY1006" s="150"/>
      <c r="AZ1006" s="150"/>
      <c r="BA1006" s="150"/>
      <c r="BB1006" s="146"/>
      <c r="BC1006" s="146"/>
      <c r="BD1006" s="151"/>
      <c r="BE1006" s="146"/>
      <c r="BF1006" s="146"/>
      <c r="BH1006" s="152" t="e">
        <f aca="false">_xlfn.xlookup(BG1006,A:A,F:F)</f>
        <v>#NAME?</v>
      </c>
      <c r="BI1006" s="153" t="e">
        <f aca="false">_xlfn.xlookup(BG1006,A:A,J:J)</f>
        <v>#NAME?</v>
      </c>
      <c r="BJ1006" s="153" t="e">
        <f aca="false">_xlfn.xlookup(BG1006,A:A,N:N)+_xlfn.xlookup(BG1006,A:A,O:O)</f>
        <v>#NAME?</v>
      </c>
      <c r="BK1006" s="153" t="e">
        <f aca="false">_xlfn.xlookup(BG1006,A955:A1949,AB955:AB1949)</f>
        <v>#NAME?</v>
      </c>
    </row>
    <row r="1007" s="153" customFormat="true" ht="15" hidden="false" customHeight="false" outlineLevel="0" collapsed="false">
      <c r="AN1007" s="153" t="e">
        <v>#NAME?</v>
      </c>
      <c r="AO1007" s="153" t="e">
        <f aca="false">_xlfn.xlookup(AN1007,A:A,F:F)</f>
        <v>#NAME?</v>
      </c>
      <c r="AP1007" s="153" t="e">
        <f aca="false">_xlfn.xlookup(AN1007,A:A,J:J)</f>
        <v>#NAME?</v>
      </c>
      <c r="AQ1007" s="153" t="e">
        <f aca="false">_xlfn.xlookup(AN1007,A:A,N:N)+_xlfn.xlookup(AN1007,A:A,O:O)</f>
        <v>#NAME?</v>
      </c>
      <c r="AR1007" s="150" t="e">
        <f aca="false">_xlfn.xlookup(AN1007,A:A,AH:AH)</f>
        <v>#NAME?</v>
      </c>
      <c r="AS1007" s="150" t="e">
        <f aca="false">_xlfn.xlookup(AN1007,A:A,S:S)</f>
        <v>#NAME?</v>
      </c>
      <c r="AT1007" s="150" t="e">
        <f aca="false">_xlfn.xlookup(AN1007,A:A,AE:AE)</f>
        <v>#NAME?</v>
      </c>
      <c r="AU1007" s="150" t="e">
        <f aca="false">_xlfn.xlookup(AN1007,A:A,AF:AF)</f>
        <v>#NAME?</v>
      </c>
      <c r="AX1007" s="146"/>
      <c r="AY1007" s="150"/>
      <c r="AZ1007" s="150"/>
      <c r="BA1007" s="150"/>
      <c r="BB1007" s="146"/>
      <c r="BC1007" s="146"/>
      <c r="BD1007" s="151"/>
      <c r="BE1007" s="146"/>
      <c r="BF1007" s="146"/>
      <c r="BH1007" s="152" t="e">
        <f aca="false">_xlfn.xlookup(BG1007,A:A,F:F)</f>
        <v>#NAME?</v>
      </c>
      <c r="BI1007" s="153" t="e">
        <f aca="false">_xlfn.xlookup(BG1007,A:A,J:J)</f>
        <v>#NAME?</v>
      </c>
      <c r="BJ1007" s="153" t="e">
        <f aca="false">_xlfn.xlookup(BG1007,A:A,N:N)+_xlfn.xlookup(BG1007,A:A,O:O)</f>
        <v>#NAME?</v>
      </c>
      <c r="BK1007" s="153" t="e">
        <f aca="false">_xlfn.xlookup(BG1007,A956:A1950,AB956:AB1950)</f>
        <v>#NAME?</v>
      </c>
    </row>
    <row r="1008" s="153" customFormat="true" ht="15" hidden="false" customHeight="false" outlineLevel="0" collapsed="false">
      <c r="AN1008" s="153" t="e">
        <v>#NAME?</v>
      </c>
      <c r="AO1008" s="153" t="e">
        <f aca="false">_xlfn.xlookup(AN1008,A:A,F:F)</f>
        <v>#NAME?</v>
      </c>
      <c r="AP1008" s="153" t="e">
        <f aca="false">_xlfn.xlookup(AN1008,A:A,J:J)</f>
        <v>#NAME?</v>
      </c>
      <c r="AQ1008" s="153" t="e">
        <f aca="false">_xlfn.xlookup(AN1008,A:A,N:N)+_xlfn.xlookup(AN1008,A:A,O:O)</f>
        <v>#NAME?</v>
      </c>
      <c r="AR1008" s="150" t="e">
        <f aca="false">_xlfn.xlookup(AN1008,A:A,AH:AH)</f>
        <v>#NAME?</v>
      </c>
      <c r="AS1008" s="150" t="e">
        <f aca="false">_xlfn.xlookup(AN1008,A:A,S:S)</f>
        <v>#NAME?</v>
      </c>
      <c r="AT1008" s="150" t="e">
        <f aca="false">_xlfn.xlookup(AN1008,A:A,AE:AE)</f>
        <v>#NAME?</v>
      </c>
      <c r="AU1008" s="150" t="e">
        <f aca="false">_xlfn.xlookup(AN1008,A:A,AF:AF)</f>
        <v>#NAME?</v>
      </c>
      <c r="AX1008" s="146"/>
      <c r="AY1008" s="150"/>
      <c r="AZ1008" s="150"/>
      <c r="BA1008" s="150"/>
      <c r="BB1008" s="146"/>
      <c r="BC1008" s="146"/>
      <c r="BD1008" s="151"/>
      <c r="BE1008" s="146"/>
      <c r="BF1008" s="146"/>
      <c r="BH1008" s="152" t="e">
        <f aca="false">_xlfn.xlookup(BG1008,A:A,F:F)</f>
        <v>#NAME?</v>
      </c>
      <c r="BI1008" s="153" t="e">
        <f aca="false">_xlfn.xlookup(BG1008,A:A,J:J)</f>
        <v>#NAME?</v>
      </c>
      <c r="BJ1008" s="153" t="e">
        <f aca="false">_xlfn.xlookup(BG1008,A:A,N:N)+_xlfn.xlookup(BG1008,A:A,O:O)</f>
        <v>#NAME?</v>
      </c>
      <c r="BK1008" s="153" t="e">
        <f aca="false">_xlfn.xlookup(BG1008,A957:A1951,AB957:AB1951)</f>
        <v>#NAME?</v>
      </c>
    </row>
    <row r="1009" s="153" customFormat="true" ht="15" hidden="false" customHeight="false" outlineLevel="0" collapsed="false">
      <c r="AN1009" s="153" t="e">
        <v>#NAME?</v>
      </c>
      <c r="AO1009" s="153" t="e">
        <f aca="false">_xlfn.xlookup(AN1009,A:A,F:F)</f>
        <v>#NAME?</v>
      </c>
      <c r="AP1009" s="153" t="e">
        <f aca="false">_xlfn.xlookup(AN1009,A:A,J:J)</f>
        <v>#NAME?</v>
      </c>
      <c r="AQ1009" s="153" t="e">
        <f aca="false">_xlfn.xlookup(AN1009,A:A,N:N)+_xlfn.xlookup(AN1009,A:A,O:O)</f>
        <v>#NAME?</v>
      </c>
      <c r="AR1009" s="150" t="e">
        <f aca="false">_xlfn.xlookup(AN1009,A:A,AH:AH)</f>
        <v>#NAME?</v>
      </c>
      <c r="AS1009" s="150" t="e">
        <f aca="false">_xlfn.xlookup(AN1009,A:A,S:S)</f>
        <v>#NAME?</v>
      </c>
      <c r="AT1009" s="150" t="e">
        <f aca="false">_xlfn.xlookup(AN1009,A:A,AE:AE)</f>
        <v>#NAME?</v>
      </c>
      <c r="AU1009" s="150" t="e">
        <f aca="false">_xlfn.xlookup(AN1009,A:A,AF:AF)</f>
        <v>#NAME?</v>
      </c>
      <c r="AX1009" s="146"/>
      <c r="AY1009" s="150"/>
      <c r="AZ1009" s="150"/>
      <c r="BA1009" s="150"/>
      <c r="BB1009" s="146"/>
      <c r="BC1009" s="146"/>
      <c r="BD1009" s="151"/>
      <c r="BE1009" s="146"/>
      <c r="BF1009" s="146"/>
      <c r="BH1009" s="152" t="e">
        <f aca="false">_xlfn.xlookup(BG1009,A:A,F:F)</f>
        <v>#NAME?</v>
      </c>
      <c r="BI1009" s="153" t="e">
        <f aca="false">_xlfn.xlookup(BG1009,A:A,J:J)</f>
        <v>#NAME?</v>
      </c>
      <c r="BJ1009" s="153" t="e">
        <f aca="false">_xlfn.xlookup(BG1009,A:A,N:N)+_xlfn.xlookup(BG1009,A:A,O:O)</f>
        <v>#NAME?</v>
      </c>
      <c r="BK1009" s="153" t="e">
        <f aca="false">_xlfn.xlookup(BG1009,A958:A1952,AB958:AB1952)</f>
        <v>#NAME?</v>
      </c>
    </row>
    <row r="1010" s="153" customFormat="true" ht="15" hidden="false" customHeight="false" outlineLevel="0" collapsed="false">
      <c r="AN1010" s="153" t="e">
        <v>#NAME?</v>
      </c>
      <c r="AO1010" s="153" t="e">
        <f aca="false">_xlfn.xlookup(AN1010,A:A,F:F)</f>
        <v>#NAME?</v>
      </c>
      <c r="AP1010" s="153" t="e">
        <f aca="false">_xlfn.xlookup(AN1010,A:A,J:J)</f>
        <v>#NAME?</v>
      </c>
      <c r="AQ1010" s="153" t="e">
        <f aca="false">_xlfn.xlookup(AN1010,A:A,N:N)+_xlfn.xlookup(AN1010,A:A,O:O)</f>
        <v>#NAME?</v>
      </c>
      <c r="AR1010" s="150" t="e">
        <f aca="false">_xlfn.xlookup(AN1010,A:A,AH:AH)</f>
        <v>#NAME?</v>
      </c>
      <c r="AS1010" s="150" t="e">
        <f aca="false">_xlfn.xlookup(AN1010,A:A,S:S)</f>
        <v>#NAME?</v>
      </c>
      <c r="AT1010" s="150" t="e">
        <f aca="false">_xlfn.xlookup(AN1010,A:A,AE:AE)</f>
        <v>#NAME?</v>
      </c>
      <c r="AU1010" s="150" t="e">
        <f aca="false">_xlfn.xlookup(AN1010,A:A,AF:AF)</f>
        <v>#NAME?</v>
      </c>
      <c r="AX1010" s="146"/>
      <c r="AY1010" s="150"/>
      <c r="AZ1010" s="150"/>
      <c r="BA1010" s="150"/>
      <c r="BB1010" s="146"/>
      <c r="BC1010" s="146"/>
      <c r="BD1010" s="151"/>
      <c r="BE1010" s="146"/>
      <c r="BF1010" s="146"/>
      <c r="BH1010" s="152" t="e">
        <f aca="false">_xlfn.xlookup(BG1010,A:A,F:F)</f>
        <v>#NAME?</v>
      </c>
      <c r="BI1010" s="153" t="e">
        <f aca="false">_xlfn.xlookup(BG1010,A:A,J:J)</f>
        <v>#NAME?</v>
      </c>
      <c r="BJ1010" s="153" t="e">
        <f aca="false">_xlfn.xlookup(BG1010,A:A,N:N)+_xlfn.xlookup(BG1010,A:A,O:O)</f>
        <v>#NAME?</v>
      </c>
      <c r="BK1010" s="153" t="e">
        <f aca="false">_xlfn.xlookup(BG1010,A959:A1953,AB959:AB1953)</f>
        <v>#NAME?</v>
      </c>
    </row>
    <row r="1011" s="153" customFormat="true" ht="15" hidden="false" customHeight="false" outlineLevel="0" collapsed="false">
      <c r="AN1011" s="153" t="e">
        <v>#NAME?</v>
      </c>
      <c r="AO1011" s="153" t="e">
        <f aca="false">_xlfn.xlookup(AN1011,A:A,F:F)</f>
        <v>#NAME?</v>
      </c>
      <c r="AP1011" s="153" t="e">
        <f aca="false">_xlfn.xlookup(AN1011,A:A,J:J)</f>
        <v>#NAME?</v>
      </c>
      <c r="AQ1011" s="153" t="e">
        <f aca="false">_xlfn.xlookup(AN1011,A:A,N:N)+_xlfn.xlookup(AN1011,A:A,O:O)</f>
        <v>#NAME?</v>
      </c>
      <c r="AR1011" s="150" t="e">
        <f aca="false">_xlfn.xlookup(AN1011,A:A,AH:AH)</f>
        <v>#NAME?</v>
      </c>
      <c r="AS1011" s="150" t="e">
        <f aca="false">_xlfn.xlookup(AN1011,A:A,S:S)</f>
        <v>#NAME?</v>
      </c>
      <c r="AT1011" s="150" t="e">
        <f aca="false">_xlfn.xlookup(AN1011,A:A,AE:AE)</f>
        <v>#NAME?</v>
      </c>
      <c r="AU1011" s="150" t="e">
        <f aca="false">_xlfn.xlookup(AN1011,A:A,AF:AF)</f>
        <v>#NAME?</v>
      </c>
      <c r="AX1011" s="146"/>
      <c r="AY1011" s="150"/>
      <c r="AZ1011" s="150"/>
      <c r="BA1011" s="150"/>
      <c r="BB1011" s="146"/>
      <c r="BC1011" s="146"/>
      <c r="BD1011" s="151"/>
      <c r="BE1011" s="146"/>
      <c r="BF1011" s="146"/>
      <c r="BH1011" s="152" t="e">
        <f aca="false">_xlfn.xlookup(BG1011,A:A,F:F)</f>
        <v>#NAME?</v>
      </c>
      <c r="BI1011" s="153" t="e">
        <f aca="false">_xlfn.xlookup(BG1011,A:A,J:J)</f>
        <v>#NAME?</v>
      </c>
      <c r="BJ1011" s="153" t="e">
        <f aca="false">_xlfn.xlookup(BG1011,A:A,N:N)+_xlfn.xlookup(BG1011,A:A,O:O)</f>
        <v>#NAME?</v>
      </c>
      <c r="BK1011" s="153" t="e">
        <f aca="false">_xlfn.xlookup(BG1011,A960:A1954,AB960:AB1954)</f>
        <v>#NAME?</v>
      </c>
    </row>
    <row r="1012" s="153" customFormat="true" ht="15" hidden="false" customHeight="false" outlineLevel="0" collapsed="false">
      <c r="AN1012" s="153" t="e">
        <v>#NAME?</v>
      </c>
      <c r="AO1012" s="153" t="e">
        <f aca="false">_xlfn.xlookup(AN1012,A:A,F:F)</f>
        <v>#NAME?</v>
      </c>
      <c r="AP1012" s="153" t="e">
        <f aca="false">_xlfn.xlookup(AN1012,A:A,J:J)</f>
        <v>#NAME?</v>
      </c>
      <c r="AQ1012" s="153" t="e">
        <f aca="false">_xlfn.xlookup(AN1012,A:A,N:N)+_xlfn.xlookup(AN1012,A:A,O:O)</f>
        <v>#NAME?</v>
      </c>
      <c r="AR1012" s="150" t="e">
        <f aca="false">_xlfn.xlookup(AN1012,A:A,AH:AH)</f>
        <v>#NAME?</v>
      </c>
      <c r="AS1012" s="150" t="e">
        <f aca="false">_xlfn.xlookup(AN1012,A:A,S:S)</f>
        <v>#NAME?</v>
      </c>
      <c r="AT1012" s="150" t="e">
        <f aca="false">_xlfn.xlookup(AN1012,A:A,AE:AE)</f>
        <v>#NAME?</v>
      </c>
      <c r="AU1012" s="150" t="e">
        <f aca="false">_xlfn.xlookup(AN1012,A:A,AF:AF)</f>
        <v>#NAME?</v>
      </c>
      <c r="AX1012" s="146"/>
      <c r="AY1012" s="150"/>
      <c r="AZ1012" s="150"/>
      <c r="BA1012" s="150"/>
      <c r="BB1012" s="146"/>
      <c r="BC1012" s="146"/>
      <c r="BD1012" s="151"/>
      <c r="BE1012" s="146"/>
      <c r="BF1012" s="146"/>
      <c r="BH1012" s="152" t="e">
        <f aca="false">_xlfn.xlookup(BG1012,A:A,F:F)</f>
        <v>#NAME?</v>
      </c>
      <c r="BI1012" s="153" t="e">
        <f aca="false">_xlfn.xlookup(BG1012,A:A,J:J)</f>
        <v>#NAME?</v>
      </c>
      <c r="BJ1012" s="153" t="e">
        <f aca="false">_xlfn.xlookup(BG1012,A:A,N:N)+_xlfn.xlookup(BG1012,A:A,O:O)</f>
        <v>#NAME?</v>
      </c>
      <c r="BK1012" s="153" t="e">
        <f aca="false">_xlfn.xlookup(BG1012,A961:A1955,AB961:AB1955)</f>
        <v>#NAME?</v>
      </c>
    </row>
    <row r="1013" s="153" customFormat="true" ht="15" hidden="false" customHeight="false" outlineLevel="0" collapsed="false">
      <c r="AN1013" s="153" t="e">
        <v>#NAME?</v>
      </c>
      <c r="AO1013" s="153" t="e">
        <f aca="false">_xlfn.xlookup(AN1013,A:A,F:F)</f>
        <v>#NAME?</v>
      </c>
      <c r="AP1013" s="153" t="e">
        <f aca="false">_xlfn.xlookup(AN1013,A:A,J:J)</f>
        <v>#NAME?</v>
      </c>
      <c r="AQ1013" s="153" t="e">
        <f aca="false">_xlfn.xlookup(AN1013,A:A,N:N)+_xlfn.xlookup(AN1013,A:A,O:O)</f>
        <v>#NAME?</v>
      </c>
      <c r="AR1013" s="150" t="e">
        <f aca="false">_xlfn.xlookup(AN1013,A:A,AH:AH)</f>
        <v>#NAME?</v>
      </c>
      <c r="AS1013" s="150" t="e">
        <f aca="false">_xlfn.xlookup(AN1013,A:A,S:S)</f>
        <v>#NAME?</v>
      </c>
      <c r="AT1013" s="150" t="e">
        <f aca="false">_xlfn.xlookup(AN1013,A:A,AE:AE)</f>
        <v>#NAME?</v>
      </c>
      <c r="AU1013" s="150" t="e">
        <f aca="false">_xlfn.xlookup(AN1013,A:A,AF:AF)</f>
        <v>#NAME?</v>
      </c>
      <c r="AX1013" s="146"/>
      <c r="AY1013" s="150"/>
      <c r="AZ1013" s="150"/>
      <c r="BA1013" s="150"/>
      <c r="BB1013" s="146"/>
      <c r="BC1013" s="146"/>
      <c r="BD1013" s="151"/>
      <c r="BE1013" s="146"/>
      <c r="BF1013" s="146"/>
      <c r="BH1013" s="152" t="e">
        <f aca="false">_xlfn.xlookup(BG1013,A:A,F:F)</f>
        <v>#NAME?</v>
      </c>
      <c r="BI1013" s="153" t="e">
        <f aca="false">_xlfn.xlookup(BG1013,A:A,J:J)</f>
        <v>#NAME?</v>
      </c>
      <c r="BJ1013" s="153" t="e">
        <f aca="false">_xlfn.xlookup(BG1013,A:A,N:N)+_xlfn.xlookup(BG1013,A:A,O:O)</f>
        <v>#NAME?</v>
      </c>
      <c r="BK1013" s="153" t="e">
        <f aca="false">_xlfn.xlookup(BG1013,A962:A1956,AB962:AB1956)</f>
        <v>#NAME?</v>
      </c>
    </row>
    <row r="1014" s="153" customFormat="true" ht="15" hidden="false" customHeight="false" outlineLevel="0" collapsed="false">
      <c r="AN1014" s="153" t="e">
        <v>#NAME?</v>
      </c>
      <c r="AO1014" s="153" t="e">
        <f aca="false">_xlfn.xlookup(AN1014,A:A,F:F)</f>
        <v>#NAME?</v>
      </c>
      <c r="AP1014" s="153" t="e">
        <f aca="false">_xlfn.xlookup(AN1014,A:A,J:J)</f>
        <v>#NAME?</v>
      </c>
      <c r="AQ1014" s="153" t="e">
        <f aca="false">_xlfn.xlookup(AN1014,A:A,N:N)+_xlfn.xlookup(AN1014,A:A,O:O)</f>
        <v>#NAME?</v>
      </c>
      <c r="AR1014" s="150" t="e">
        <f aca="false">_xlfn.xlookup(AN1014,A:A,AH:AH)</f>
        <v>#NAME?</v>
      </c>
      <c r="AS1014" s="150" t="e">
        <f aca="false">_xlfn.xlookup(AN1014,A:A,S:S)</f>
        <v>#NAME?</v>
      </c>
      <c r="AT1014" s="150" t="e">
        <f aca="false">_xlfn.xlookup(AN1014,A:A,AE:AE)</f>
        <v>#NAME?</v>
      </c>
      <c r="AU1014" s="150" t="e">
        <f aca="false">_xlfn.xlookup(AN1014,A:A,AF:AF)</f>
        <v>#NAME?</v>
      </c>
      <c r="AX1014" s="146"/>
      <c r="AY1014" s="150"/>
      <c r="AZ1014" s="150"/>
      <c r="BA1014" s="150"/>
      <c r="BB1014" s="146"/>
      <c r="BC1014" s="146"/>
      <c r="BD1014" s="151"/>
      <c r="BE1014" s="146"/>
      <c r="BF1014" s="146"/>
      <c r="BH1014" s="152" t="e">
        <f aca="false">_xlfn.xlookup(BG1014,A:A,F:F)</f>
        <v>#NAME?</v>
      </c>
      <c r="BI1014" s="153" t="e">
        <f aca="false">_xlfn.xlookup(BG1014,A:A,J:J)</f>
        <v>#NAME?</v>
      </c>
      <c r="BJ1014" s="153" t="e">
        <f aca="false">_xlfn.xlookup(BG1014,A:A,N:N)+_xlfn.xlookup(BG1014,A:A,O:O)</f>
        <v>#NAME?</v>
      </c>
      <c r="BK1014" s="153" t="e">
        <f aca="false">_xlfn.xlookup(BG1014,A963:A1957,AB963:AB1957)</f>
        <v>#NAME?</v>
      </c>
    </row>
    <row r="1015" s="153" customFormat="true" ht="15" hidden="false" customHeight="false" outlineLevel="0" collapsed="false">
      <c r="AN1015" s="153" t="e">
        <v>#NAME?</v>
      </c>
      <c r="AO1015" s="153" t="e">
        <f aca="false">_xlfn.xlookup(AN1015,A:A,F:F)</f>
        <v>#NAME?</v>
      </c>
      <c r="AP1015" s="153" t="e">
        <f aca="false">_xlfn.xlookup(AN1015,A:A,J:J)</f>
        <v>#NAME?</v>
      </c>
      <c r="AQ1015" s="153" t="e">
        <f aca="false">_xlfn.xlookup(AN1015,A:A,N:N)+_xlfn.xlookup(AN1015,A:A,O:O)</f>
        <v>#NAME?</v>
      </c>
      <c r="AR1015" s="150" t="e">
        <f aca="false">_xlfn.xlookup(AN1015,A:A,AH:AH)</f>
        <v>#NAME?</v>
      </c>
      <c r="AS1015" s="150" t="e">
        <f aca="false">_xlfn.xlookup(AN1015,A:A,S:S)</f>
        <v>#NAME?</v>
      </c>
      <c r="AT1015" s="150" t="e">
        <f aca="false">_xlfn.xlookup(AN1015,A:A,AE:AE)</f>
        <v>#NAME?</v>
      </c>
      <c r="AU1015" s="150" t="e">
        <f aca="false">_xlfn.xlookup(AN1015,A:A,AF:AF)</f>
        <v>#NAME?</v>
      </c>
      <c r="AX1015" s="146"/>
      <c r="AY1015" s="150"/>
      <c r="AZ1015" s="150"/>
      <c r="BA1015" s="150"/>
      <c r="BB1015" s="146"/>
      <c r="BC1015" s="146"/>
      <c r="BD1015" s="151"/>
      <c r="BE1015" s="146"/>
      <c r="BF1015" s="146"/>
      <c r="BH1015" s="152" t="e">
        <f aca="false">_xlfn.xlookup(BG1015,A:A,F:F)</f>
        <v>#NAME?</v>
      </c>
      <c r="BI1015" s="153" t="e">
        <f aca="false">_xlfn.xlookup(BG1015,A:A,J:J)</f>
        <v>#NAME?</v>
      </c>
      <c r="BJ1015" s="153" t="e">
        <f aca="false">_xlfn.xlookup(BG1015,A:A,N:N)+_xlfn.xlookup(BG1015,A:A,O:O)</f>
        <v>#NAME?</v>
      </c>
      <c r="BK1015" s="153" t="e">
        <f aca="false">_xlfn.xlookup(BG1015,A964:A1958,AB964:AB1958)</f>
        <v>#NAME?</v>
      </c>
    </row>
    <row r="1016" s="153" customFormat="true" ht="15" hidden="false" customHeight="false" outlineLevel="0" collapsed="false">
      <c r="AN1016" s="153" t="e">
        <v>#NAME?</v>
      </c>
      <c r="AO1016" s="153" t="e">
        <f aca="false">_xlfn.xlookup(AN1016,A:A,F:F)</f>
        <v>#NAME?</v>
      </c>
      <c r="AP1016" s="153" t="e">
        <f aca="false">_xlfn.xlookup(AN1016,A:A,J:J)</f>
        <v>#NAME?</v>
      </c>
      <c r="AQ1016" s="153" t="e">
        <f aca="false">_xlfn.xlookup(AN1016,A:A,N:N)+_xlfn.xlookup(AN1016,A:A,O:O)</f>
        <v>#NAME?</v>
      </c>
      <c r="AR1016" s="150" t="e">
        <f aca="false">_xlfn.xlookup(AN1016,A:A,AH:AH)</f>
        <v>#NAME?</v>
      </c>
      <c r="AS1016" s="150" t="e">
        <f aca="false">_xlfn.xlookup(AN1016,A:A,S:S)</f>
        <v>#NAME?</v>
      </c>
      <c r="AT1016" s="150" t="e">
        <f aca="false">_xlfn.xlookup(AN1016,A:A,AE:AE)</f>
        <v>#NAME?</v>
      </c>
      <c r="AU1016" s="150" t="e">
        <f aca="false">_xlfn.xlookup(AN1016,A:A,AF:AF)</f>
        <v>#NAME?</v>
      </c>
      <c r="AX1016" s="146"/>
      <c r="AY1016" s="150"/>
      <c r="AZ1016" s="150"/>
      <c r="BA1016" s="150"/>
      <c r="BB1016" s="146"/>
      <c r="BC1016" s="146"/>
      <c r="BD1016" s="151"/>
      <c r="BE1016" s="146"/>
      <c r="BF1016" s="146"/>
      <c r="BH1016" s="152" t="e">
        <f aca="false">_xlfn.xlookup(BG1016,A:A,F:F)</f>
        <v>#NAME?</v>
      </c>
      <c r="BI1016" s="153" t="e">
        <f aca="false">_xlfn.xlookup(BG1016,A:A,J:J)</f>
        <v>#NAME?</v>
      </c>
      <c r="BJ1016" s="153" t="e">
        <f aca="false">_xlfn.xlookup(BG1016,A:A,N:N)+_xlfn.xlookup(BG1016,A:A,O:O)</f>
        <v>#NAME?</v>
      </c>
      <c r="BK1016" s="153" t="e">
        <f aca="false">_xlfn.xlookup(BG1016,A965:A1959,AB965:AB1959)</f>
        <v>#NAME?</v>
      </c>
    </row>
    <row r="1017" s="153" customFormat="true" ht="15" hidden="false" customHeight="false" outlineLevel="0" collapsed="false">
      <c r="AN1017" s="153" t="e">
        <v>#NAME?</v>
      </c>
      <c r="AO1017" s="153" t="e">
        <f aca="false">_xlfn.xlookup(AN1017,A:A,F:F)</f>
        <v>#NAME?</v>
      </c>
      <c r="AP1017" s="153" t="e">
        <f aca="false">_xlfn.xlookup(AN1017,A:A,J:J)</f>
        <v>#NAME?</v>
      </c>
      <c r="AQ1017" s="153" t="e">
        <f aca="false">_xlfn.xlookup(AN1017,A:A,N:N)+_xlfn.xlookup(AN1017,A:A,O:O)</f>
        <v>#NAME?</v>
      </c>
      <c r="AR1017" s="150" t="e">
        <f aca="false">_xlfn.xlookup(AN1017,A:A,AH:AH)</f>
        <v>#NAME?</v>
      </c>
      <c r="AS1017" s="150" t="e">
        <f aca="false">_xlfn.xlookup(AN1017,A:A,S:S)</f>
        <v>#NAME?</v>
      </c>
      <c r="AT1017" s="150" t="e">
        <f aca="false">_xlfn.xlookup(AN1017,A:A,AE:AE)</f>
        <v>#NAME?</v>
      </c>
      <c r="AU1017" s="150" t="e">
        <f aca="false">_xlfn.xlookup(AN1017,A:A,AF:AF)</f>
        <v>#NAME?</v>
      </c>
      <c r="AX1017" s="146"/>
      <c r="AY1017" s="150"/>
      <c r="AZ1017" s="150"/>
      <c r="BA1017" s="150"/>
      <c r="BB1017" s="146"/>
      <c r="BC1017" s="146"/>
      <c r="BD1017" s="151"/>
      <c r="BE1017" s="146"/>
      <c r="BF1017" s="146"/>
      <c r="BH1017" s="152" t="e">
        <f aca="false">_xlfn.xlookup(BG1017,A:A,F:F)</f>
        <v>#NAME?</v>
      </c>
      <c r="BI1017" s="153" t="e">
        <f aca="false">_xlfn.xlookup(BG1017,A:A,J:J)</f>
        <v>#NAME?</v>
      </c>
      <c r="BJ1017" s="153" t="e">
        <f aca="false">_xlfn.xlookup(BG1017,A:A,N:N)+_xlfn.xlookup(BG1017,A:A,O:O)</f>
        <v>#NAME?</v>
      </c>
      <c r="BK1017" s="153" t="e">
        <f aca="false">_xlfn.xlookup(BG1017,A966:A1960,AB966:AB1960)</f>
        <v>#NAME?</v>
      </c>
    </row>
    <row r="1018" s="153" customFormat="true" ht="15" hidden="false" customHeight="false" outlineLevel="0" collapsed="false">
      <c r="AN1018" s="153" t="e">
        <v>#NAME?</v>
      </c>
      <c r="AO1018" s="153" t="e">
        <f aca="false">_xlfn.xlookup(AN1018,A:A,F:F)</f>
        <v>#NAME?</v>
      </c>
      <c r="AP1018" s="153" t="e">
        <f aca="false">_xlfn.xlookup(AN1018,A:A,J:J)</f>
        <v>#NAME?</v>
      </c>
      <c r="AQ1018" s="153" t="e">
        <f aca="false">_xlfn.xlookup(AN1018,A:A,N:N)+_xlfn.xlookup(AN1018,A:A,O:O)</f>
        <v>#NAME?</v>
      </c>
      <c r="AR1018" s="150" t="e">
        <f aca="false">_xlfn.xlookup(AN1018,A:A,AH:AH)</f>
        <v>#NAME?</v>
      </c>
      <c r="AS1018" s="150" t="e">
        <f aca="false">_xlfn.xlookup(AN1018,A:A,S:S)</f>
        <v>#NAME?</v>
      </c>
      <c r="AT1018" s="150" t="e">
        <f aca="false">_xlfn.xlookup(AN1018,A:A,AE:AE)</f>
        <v>#NAME?</v>
      </c>
      <c r="AU1018" s="150" t="e">
        <f aca="false">_xlfn.xlookup(AN1018,A:A,AF:AF)</f>
        <v>#NAME?</v>
      </c>
      <c r="AX1018" s="146"/>
      <c r="AY1018" s="150"/>
      <c r="AZ1018" s="150"/>
      <c r="BA1018" s="150"/>
      <c r="BB1018" s="146"/>
      <c r="BC1018" s="146"/>
      <c r="BD1018" s="151"/>
      <c r="BE1018" s="146"/>
      <c r="BF1018" s="146"/>
      <c r="BH1018" s="152" t="e">
        <f aca="false">_xlfn.xlookup(BG1018,A:A,F:F)</f>
        <v>#NAME?</v>
      </c>
      <c r="BI1018" s="153" t="e">
        <f aca="false">_xlfn.xlookup(BG1018,A:A,J:J)</f>
        <v>#NAME?</v>
      </c>
      <c r="BJ1018" s="153" t="e">
        <f aca="false">_xlfn.xlookup(BG1018,A:A,N:N)+_xlfn.xlookup(BG1018,A:A,O:O)</f>
        <v>#NAME?</v>
      </c>
      <c r="BK1018" s="153" t="e">
        <f aca="false">_xlfn.xlookup(BG1018,A967:A1961,AB967:AB1961)</f>
        <v>#NAME?</v>
      </c>
    </row>
    <row r="1019" s="153" customFormat="true" ht="15" hidden="false" customHeight="false" outlineLevel="0" collapsed="false">
      <c r="AN1019" s="153" t="e">
        <v>#NAME?</v>
      </c>
      <c r="AO1019" s="153" t="e">
        <f aca="false">_xlfn.xlookup(AN1019,A:A,F:F)</f>
        <v>#NAME?</v>
      </c>
      <c r="AP1019" s="153" t="e">
        <f aca="false">_xlfn.xlookup(AN1019,A:A,J:J)</f>
        <v>#NAME?</v>
      </c>
      <c r="AQ1019" s="153" t="e">
        <f aca="false">_xlfn.xlookup(AN1019,A:A,N:N)+_xlfn.xlookup(AN1019,A:A,O:O)</f>
        <v>#NAME?</v>
      </c>
      <c r="AR1019" s="150" t="e">
        <f aca="false">_xlfn.xlookup(AN1019,A:A,AH:AH)</f>
        <v>#NAME?</v>
      </c>
      <c r="AS1019" s="150" t="e">
        <f aca="false">_xlfn.xlookup(AN1019,A:A,S:S)</f>
        <v>#NAME?</v>
      </c>
      <c r="AT1019" s="150" t="e">
        <f aca="false">_xlfn.xlookup(AN1019,A:A,AE:AE)</f>
        <v>#NAME?</v>
      </c>
      <c r="AU1019" s="150" t="e">
        <f aca="false">_xlfn.xlookup(AN1019,A:A,AF:AF)</f>
        <v>#NAME?</v>
      </c>
      <c r="AX1019" s="146"/>
      <c r="AY1019" s="150"/>
      <c r="AZ1019" s="150"/>
      <c r="BA1019" s="150"/>
      <c r="BB1019" s="146"/>
      <c r="BC1019" s="146"/>
      <c r="BD1019" s="151"/>
      <c r="BE1019" s="146"/>
      <c r="BF1019" s="146"/>
      <c r="BH1019" s="152" t="e">
        <f aca="false">_xlfn.xlookup(BG1019,A:A,F:F)</f>
        <v>#NAME?</v>
      </c>
      <c r="BI1019" s="153" t="e">
        <f aca="false">_xlfn.xlookup(BG1019,A:A,J:J)</f>
        <v>#NAME?</v>
      </c>
      <c r="BJ1019" s="153" t="e">
        <f aca="false">_xlfn.xlookup(BG1019,A:A,N:N)+_xlfn.xlookup(BG1019,A:A,O:O)</f>
        <v>#NAME?</v>
      </c>
      <c r="BK1019" s="153" t="e">
        <f aca="false">_xlfn.xlookup(BG1019,A968:A1962,AB968:AB1962)</f>
        <v>#NAME?</v>
      </c>
    </row>
    <row r="1020" s="153" customFormat="true" ht="15" hidden="false" customHeight="false" outlineLevel="0" collapsed="false">
      <c r="AN1020" s="153" t="e">
        <v>#NAME?</v>
      </c>
      <c r="AO1020" s="153" t="e">
        <f aca="false">_xlfn.xlookup(AN1020,A:A,F:F)</f>
        <v>#NAME?</v>
      </c>
      <c r="AP1020" s="153" t="e">
        <f aca="false">_xlfn.xlookup(AN1020,A:A,J:J)</f>
        <v>#NAME?</v>
      </c>
      <c r="AQ1020" s="153" t="e">
        <f aca="false">_xlfn.xlookup(AN1020,A:A,N:N)+_xlfn.xlookup(AN1020,A:A,O:O)</f>
        <v>#NAME?</v>
      </c>
      <c r="AR1020" s="150" t="e">
        <f aca="false">_xlfn.xlookup(AN1020,A:A,AH:AH)</f>
        <v>#NAME?</v>
      </c>
      <c r="AS1020" s="150" t="e">
        <f aca="false">_xlfn.xlookup(AN1020,A:A,S:S)</f>
        <v>#NAME?</v>
      </c>
      <c r="AT1020" s="150" t="e">
        <f aca="false">_xlfn.xlookup(AN1020,A:A,AE:AE)</f>
        <v>#NAME?</v>
      </c>
      <c r="AU1020" s="150" t="e">
        <f aca="false">_xlfn.xlookup(AN1020,A:A,AF:AF)</f>
        <v>#NAME?</v>
      </c>
      <c r="AX1020" s="146"/>
      <c r="AY1020" s="150"/>
      <c r="AZ1020" s="150"/>
      <c r="BA1020" s="150"/>
      <c r="BB1020" s="146"/>
      <c r="BC1020" s="146"/>
      <c r="BD1020" s="151"/>
      <c r="BE1020" s="146"/>
      <c r="BF1020" s="146"/>
      <c r="BH1020" s="152" t="e">
        <f aca="false">_xlfn.xlookup(BG1020,A:A,F:F)</f>
        <v>#NAME?</v>
      </c>
      <c r="BI1020" s="153" t="e">
        <f aca="false">_xlfn.xlookup(BG1020,A:A,J:J)</f>
        <v>#NAME?</v>
      </c>
      <c r="BJ1020" s="153" t="e">
        <f aca="false">_xlfn.xlookup(BG1020,A:A,N:N)+_xlfn.xlookup(BG1020,A:A,O:O)</f>
        <v>#NAME?</v>
      </c>
      <c r="BK1020" s="153" t="e">
        <f aca="false">_xlfn.xlookup(BG1020,A969:A1963,AB969:AB1963)</f>
        <v>#NAME?</v>
      </c>
    </row>
    <row r="1021" s="153" customFormat="true" ht="15" hidden="false" customHeight="false" outlineLevel="0" collapsed="false">
      <c r="AN1021" s="153" t="e">
        <v>#NAME?</v>
      </c>
      <c r="AO1021" s="153" t="e">
        <f aca="false">_xlfn.xlookup(AN1021,A:A,F:F)</f>
        <v>#NAME?</v>
      </c>
      <c r="AP1021" s="153" t="e">
        <f aca="false">_xlfn.xlookup(AN1021,A:A,J:J)</f>
        <v>#NAME?</v>
      </c>
      <c r="AQ1021" s="153" t="e">
        <f aca="false">_xlfn.xlookup(AN1021,A:A,N:N)+_xlfn.xlookup(AN1021,A:A,O:O)</f>
        <v>#NAME?</v>
      </c>
      <c r="AR1021" s="150" t="e">
        <f aca="false">_xlfn.xlookup(AN1021,A:A,AH:AH)</f>
        <v>#NAME?</v>
      </c>
      <c r="AS1021" s="150" t="e">
        <f aca="false">_xlfn.xlookup(AN1021,A:A,S:S)</f>
        <v>#NAME?</v>
      </c>
      <c r="AT1021" s="150" t="e">
        <f aca="false">_xlfn.xlookup(AN1021,A:A,AE:AE)</f>
        <v>#NAME?</v>
      </c>
      <c r="AU1021" s="150" t="e">
        <f aca="false">_xlfn.xlookup(AN1021,A:A,AF:AF)</f>
        <v>#NAME?</v>
      </c>
      <c r="AX1021" s="146"/>
      <c r="AY1021" s="150"/>
      <c r="AZ1021" s="150"/>
      <c r="BA1021" s="150"/>
      <c r="BB1021" s="146"/>
      <c r="BC1021" s="146"/>
      <c r="BD1021" s="151"/>
      <c r="BE1021" s="146"/>
      <c r="BF1021" s="146"/>
      <c r="BH1021" s="152" t="e">
        <f aca="false">_xlfn.xlookup(BG1021,A:A,F:F)</f>
        <v>#NAME?</v>
      </c>
      <c r="BI1021" s="153" t="e">
        <f aca="false">_xlfn.xlookup(BG1021,A:A,J:J)</f>
        <v>#NAME?</v>
      </c>
      <c r="BJ1021" s="153" t="e">
        <f aca="false">_xlfn.xlookup(BG1021,A:A,N:N)+_xlfn.xlookup(BG1021,A:A,O:O)</f>
        <v>#NAME?</v>
      </c>
      <c r="BK1021" s="153" t="e">
        <f aca="false">_xlfn.xlookup(BG1021,A970:A1964,AB970:AB1964)</f>
        <v>#NAME?</v>
      </c>
    </row>
    <row r="1022" s="153" customFormat="true" ht="15" hidden="false" customHeight="false" outlineLevel="0" collapsed="false">
      <c r="AN1022" s="153" t="e">
        <v>#NAME?</v>
      </c>
      <c r="AO1022" s="153" t="e">
        <f aca="false">_xlfn.xlookup(AN1022,A:A,F:F)</f>
        <v>#NAME?</v>
      </c>
      <c r="AP1022" s="153" t="e">
        <f aca="false">_xlfn.xlookup(AN1022,A:A,J:J)</f>
        <v>#NAME?</v>
      </c>
      <c r="AQ1022" s="153" t="e">
        <f aca="false">_xlfn.xlookup(AN1022,A:A,N:N)+_xlfn.xlookup(AN1022,A:A,O:O)</f>
        <v>#NAME?</v>
      </c>
      <c r="AR1022" s="150" t="e">
        <f aca="false">_xlfn.xlookup(AN1022,A:A,AH:AH)</f>
        <v>#NAME?</v>
      </c>
      <c r="AS1022" s="150" t="e">
        <f aca="false">_xlfn.xlookup(AN1022,A:A,S:S)</f>
        <v>#NAME?</v>
      </c>
      <c r="AT1022" s="150" t="e">
        <f aca="false">_xlfn.xlookup(AN1022,A:A,AE:AE)</f>
        <v>#NAME?</v>
      </c>
      <c r="AU1022" s="150" t="e">
        <f aca="false">_xlfn.xlookup(AN1022,A:A,AF:AF)</f>
        <v>#NAME?</v>
      </c>
      <c r="AX1022" s="146"/>
      <c r="AY1022" s="150"/>
      <c r="AZ1022" s="150"/>
      <c r="BA1022" s="150"/>
      <c r="BB1022" s="146"/>
      <c r="BC1022" s="146"/>
      <c r="BD1022" s="151"/>
      <c r="BE1022" s="146"/>
      <c r="BF1022" s="146"/>
      <c r="BH1022" s="152" t="e">
        <f aca="false">_xlfn.xlookup(BG1022,A:A,F:F)</f>
        <v>#NAME?</v>
      </c>
      <c r="BI1022" s="153" t="e">
        <f aca="false">_xlfn.xlookup(BG1022,A:A,J:J)</f>
        <v>#NAME?</v>
      </c>
      <c r="BJ1022" s="153" t="e">
        <f aca="false">_xlfn.xlookup(BG1022,A:A,N:N)+_xlfn.xlookup(BG1022,A:A,O:O)</f>
        <v>#NAME?</v>
      </c>
      <c r="BK1022" s="153" t="e">
        <f aca="false">_xlfn.xlookup(BG1022,A971:A1965,AB971:AB1965)</f>
        <v>#NAME?</v>
      </c>
    </row>
    <row r="1023" s="153" customFormat="true" ht="15" hidden="false" customHeight="false" outlineLevel="0" collapsed="false">
      <c r="AN1023" s="153" t="e">
        <v>#NAME?</v>
      </c>
      <c r="AO1023" s="153" t="e">
        <f aca="false">_xlfn.xlookup(AN1023,A:A,F:F)</f>
        <v>#NAME?</v>
      </c>
      <c r="AP1023" s="153" t="e">
        <f aca="false">_xlfn.xlookup(AN1023,A:A,J:J)</f>
        <v>#NAME?</v>
      </c>
      <c r="AQ1023" s="153" t="e">
        <f aca="false">_xlfn.xlookup(AN1023,A:A,N:N)+_xlfn.xlookup(AN1023,A:A,O:O)</f>
        <v>#NAME?</v>
      </c>
      <c r="AR1023" s="150" t="e">
        <f aca="false">_xlfn.xlookup(AN1023,A:A,AH:AH)</f>
        <v>#NAME?</v>
      </c>
      <c r="AS1023" s="150" t="e">
        <f aca="false">_xlfn.xlookup(AN1023,A:A,S:S)</f>
        <v>#NAME?</v>
      </c>
      <c r="AT1023" s="150" t="e">
        <f aca="false">_xlfn.xlookup(AN1023,A:A,AE:AE)</f>
        <v>#NAME?</v>
      </c>
      <c r="AU1023" s="150" t="e">
        <f aca="false">_xlfn.xlookup(AN1023,A:A,AF:AF)</f>
        <v>#NAME?</v>
      </c>
      <c r="AX1023" s="146"/>
      <c r="AY1023" s="150"/>
      <c r="AZ1023" s="150"/>
      <c r="BA1023" s="150"/>
      <c r="BB1023" s="146"/>
      <c r="BC1023" s="146"/>
      <c r="BD1023" s="151"/>
      <c r="BE1023" s="146"/>
      <c r="BF1023" s="146"/>
      <c r="BH1023" s="152" t="e">
        <f aca="false">_xlfn.xlookup(BG1023,A:A,F:F)</f>
        <v>#NAME?</v>
      </c>
      <c r="BI1023" s="153" t="e">
        <f aca="false">_xlfn.xlookup(BG1023,A:A,J:J)</f>
        <v>#NAME?</v>
      </c>
      <c r="BJ1023" s="153" t="e">
        <f aca="false">_xlfn.xlookup(BG1023,A:A,N:N)+_xlfn.xlookup(BG1023,A:A,O:O)</f>
        <v>#NAME?</v>
      </c>
      <c r="BK1023" s="153" t="e">
        <f aca="false">_xlfn.xlookup(BG1023,A972:A1966,AB972:AB1966)</f>
        <v>#NAME?</v>
      </c>
    </row>
    <row r="1024" s="153" customFormat="true" ht="15" hidden="false" customHeight="false" outlineLevel="0" collapsed="false">
      <c r="AN1024" s="153" t="e">
        <v>#NAME?</v>
      </c>
      <c r="AO1024" s="153" t="e">
        <f aca="false">_xlfn.xlookup(AN1024,A:A,F:F)</f>
        <v>#NAME?</v>
      </c>
      <c r="AP1024" s="153" t="e">
        <f aca="false">_xlfn.xlookup(AN1024,A:A,J:J)</f>
        <v>#NAME?</v>
      </c>
      <c r="AQ1024" s="153" t="e">
        <f aca="false">_xlfn.xlookup(AN1024,A:A,N:N)+_xlfn.xlookup(AN1024,A:A,O:O)</f>
        <v>#NAME?</v>
      </c>
      <c r="AR1024" s="150" t="e">
        <f aca="false">_xlfn.xlookup(AN1024,A:A,AH:AH)</f>
        <v>#NAME?</v>
      </c>
      <c r="AS1024" s="150" t="e">
        <f aca="false">_xlfn.xlookup(AN1024,A:A,S:S)</f>
        <v>#NAME?</v>
      </c>
      <c r="AT1024" s="150" t="e">
        <f aca="false">_xlfn.xlookup(AN1024,A:A,AE:AE)</f>
        <v>#NAME?</v>
      </c>
      <c r="AU1024" s="150" t="e">
        <f aca="false">_xlfn.xlookup(AN1024,A:A,AF:AF)</f>
        <v>#NAME?</v>
      </c>
      <c r="AX1024" s="146"/>
      <c r="AY1024" s="150"/>
      <c r="AZ1024" s="150"/>
      <c r="BA1024" s="150"/>
      <c r="BB1024" s="146"/>
      <c r="BC1024" s="146"/>
      <c r="BD1024" s="151"/>
      <c r="BE1024" s="146"/>
      <c r="BF1024" s="146"/>
      <c r="BH1024" s="152" t="e">
        <f aca="false">_xlfn.xlookup(BG1024,A:A,F:F)</f>
        <v>#NAME?</v>
      </c>
      <c r="BI1024" s="153" t="e">
        <f aca="false">_xlfn.xlookup(BG1024,A:A,J:J)</f>
        <v>#NAME?</v>
      </c>
      <c r="BJ1024" s="153" t="e">
        <f aca="false">_xlfn.xlookup(BG1024,A:A,N:N)+_xlfn.xlookup(BG1024,A:A,O:O)</f>
        <v>#NAME?</v>
      </c>
      <c r="BK1024" s="153" t="e">
        <f aca="false">_xlfn.xlookup(BG1024,A973:A1967,AB973:AB1967)</f>
        <v>#NAME?</v>
      </c>
    </row>
    <row r="1025" s="153" customFormat="true" ht="15" hidden="false" customHeight="false" outlineLevel="0" collapsed="false">
      <c r="AN1025" s="153" t="e">
        <v>#NAME?</v>
      </c>
      <c r="AO1025" s="153" t="e">
        <f aca="false">_xlfn.xlookup(AN1025,A:A,F:F)</f>
        <v>#NAME?</v>
      </c>
      <c r="AP1025" s="153" t="e">
        <f aca="false">_xlfn.xlookup(AN1025,A:A,J:J)</f>
        <v>#NAME?</v>
      </c>
      <c r="AQ1025" s="153" t="e">
        <f aca="false">_xlfn.xlookup(AN1025,A:A,N:N)+_xlfn.xlookup(AN1025,A:A,O:O)</f>
        <v>#NAME?</v>
      </c>
      <c r="AR1025" s="150" t="e">
        <f aca="false">_xlfn.xlookup(AN1025,A:A,AH:AH)</f>
        <v>#NAME?</v>
      </c>
      <c r="AS1025" s="150" t="e">
        <f aca="false">_xlfn.xlookup(AN1025,A:A,S:S)</f>
        <v>#NAME?</v>
      </c>
      <c r="AT1025" s="150" t="e">
        <f aca="false">_xlfn.xlookup(AN1025,A:A,AE:AE)</f>
        <v>#NAME?</v>
      </c>
      <c r="AU1025" s="150" t="e">
        <f aca="false">_xlfn.xlookup(AN1025,A:A,AF:AF)</f>
        <v>#NAME?</v>
      </c>
      <c r="AX1025" s="146"/>
      <c r="AY1025" s="150"/>
      <c r="AZ1025" s="150"/>
      <c r="BA1025" s="150"/>
      <c r="BB1025" s="146"/>
      <c r="BC1025" s="146"/>
      <c r="BD1025" s="151"/>
      <c r="BE1025" s="146"/>
      <c r="BF1025" s="146"/>
      <c r="BH1025" s="152" t="e">
        <f aca="false">_xlfn.xlookup(BG1025,A:A,F:F)</f>
        <v>#NAME?</v>
      </c>
      <c r="BI1025" s="153" t="e">
        <f aca="false">_xlfn.xlookup(BG1025,A:A,J:J)</f>
        <v>#NAME?</v>
      </c>
      <c r="BJ1025" s="153" t="e">
        <f aca="false">_xlfn.xlookup(BG1025,A:A,N:N)+_xlfn.xlookup(BG1025,A:A,O:O)</f>
        <v>#NAME?</v>
      </c>
      <c r="BK1025" s="153" t="e">
        <f aca="false">_xlfn.xlookup(BG1025,A974:A1968,AB974:AB1968)</f>
        <v>#NAME?</v>
      </c>
    </row>
    <row r="1026" s="153" customFormat="true" ht="15" hidden="false" customHeight="false" outlineLevel="0" collapsed="false">
      <c r="AN1026" s="153" t="e">
        <v>#NAME?</v>
      </c>
      <c r="AO1026" s="153" t="e">
        <f aca="false">_xlfn.xlookup(AN1026,A:A,F:F)</f>
        <v>#NAME?</v>
      </c>
      <c r="AP1026" s="153" t="e">
        <f aca="false">_xlfn.xlookup(AN1026,A:A,J:J)</f>
        <v>#NAME?</v>
      </c>
      <c r="AQ1026" s="153" t="e">
        <f aca="false">_xlfn.xlookup(AN1026,A:A,N:N)+_xlfn.xlookup(AN1026,A:A,O:O)</f>
        <v>#NAME?</v>
      </c>
      <c r="AR1026" s="150" t="e">
        <f aca="false">_xlfn.xlookup(AN1026,A:A,AH:AH)</f>
        <v>#NAME?</v>
      </c>
      <c r="AS1026" s="150" t="e">
        <f aca="false">_xlfn.xlookup(AN1026,A:A,S:S)</f>
        <v>#NAME?</v>
      </c>
      <c r="AT1026" s="150" t="e">
        <f aca="false">_xlfn.xlookup(AN1026,A:A,AE:AE)</f>
        <v>#NAME?</v>
      </c>
      <c r="AU1026" s="150" t="e">
        <f aca="false">_xlfn.xlookup(AN1026,A:A,AF:AF)</f>
        <v>#NAME?</v>
      </c>
      <c r="AX1026" s="146"/>
      <c r="AY1026" s="150"/>
      <c r="AZ1026" s="150"/>
      <c r="BA1026" s="150"/>
      <c r="BB1026" s="146"/>
      <c r="BC1026" s="146"/>
      <c r="BD1026" s="151"/>
      <c r="BE1026" s="146"/>
      <c r="BF1026" s="146"/>
      <c r="BH1026" s="152" t="e">
        <f aca="false">_xlfn.xlookup(BG1026,A:A,F:F)</f>
        <v>#NAME?</v>
      </c>
      <c r="BI1026" s="153" t="e">
        <f aca="false">_xlfn.xlookup(BG1026,A:A,J:J)</f>
        <v>#NAME?</v>
      </c>
      <c r="BJ1026" s="153" t="e">
        <f aca="false">_xlfn.xlookup(BG1026,A:A,N:N)+_xlfn.xlookup(BG1026,A:A,O:O)</f>
        <v>#NAME?</v>
      </c>
      <c r="BK1026" s="153" t="e">
        <f aca="false">_xlfn.xlookup(BG1026,A975:A1969,AB975:AB1969)</f>
        <v>#NAME?</v>
      </c>
    </row>
    <row r="1027" s="153" customFormat="true" ht="15" hidden="false" customHeight="false" outlineLevel="0" collapsed="false">
      <c r="AN1027" s="153" t="e">
        <v>#NAME?</v>
      </c>
      <c r="AO1027" s="153" t="e">
        <f aca="false">_xlfn.xlookup(AN1027,A:A,F:F)</f>
        <v>#NAME?</v>
      </c>
      <c r="AP1027" s="153" t="e">
        <f aca="false">_xlfn.xlookup(AN1027,A:A,J:J)</f>
        <v>#NAME?</v>
      </c>
      <c r="AQ1027" s="153" t="e">
        <f aca="false">_xlfn.xlookup(AN1027,A:A,N:N)+_xlfn.xlookup(AN1027,A:A,O:O)</f>
        <v>#NAME?</v>
      </c>
      <c r="AR1027" s="150" t="e">
        <f aca="false">_xlfn.xlookup(AN1027,A:A,AH:AH)</f>
        <v>#NAME?</v>
      </c>
      <c r="AS1027" s="150" t="e">
        <f aca="false">_xlfn.xlookup(AN1027,A:A,S:S)</f>
        <v>#NAME?</v>
      </c>
      <c r="AT1027" s="150" t="e">
        <f aca="false">_xlfn.xlookup(AN1027,A:A,AE:AE)</f>
        <v>#NAME?</v>
      </c>
      <c r="AU1027" s="150" t="e">
        <f aca="false">_xlfn.xlookup(AN1027,A:A,AF:AF)</f>
        <v>#NAME?</v>
      </c>
      <c r="AX1027" s="146"/>
      <c r="AY1027" s="150"/>
      <c r="AZ1027" s="150"/>
      <c r="BA1027" s="150"/>
      <c r="BB1027" s="146"/>
      <c r="BC1027" s="146"/>
      <c r="BD1027" s="151"/>
      <c r="BE1027" s="146"/>
      <c r="BF1027" s="146"/>
      <c r="BH1027" s="152" t="e">
        <f aca="false">_xlfn.xlookup(BG1027,A:A,F:F)</f>
        <v>#NAME?</v>
      </c>
      <c r="BI1027" s="153" t="e">
        <f aca="false">_xlfn.xlookup(BG1027,A:A,J:J)</f>
        <v>#NAME?</v>
      </c>
      <c r="BJ1027" s="153" t="e">
        <f aca="false">_xlfn.xlookup(BG1027,A:A,N:N)+_xlfn.xlookup(BG1027,A:A,O:O)</f>
        <v>#NAME?</v>
      </c>
      <c r="BK1027" s="153" t="e">
        <f aca="false">_xlfn.xlookup(BG1027,A976:A1970,AB976:AB1970)</f>
        <v>#NAME?</v>
      </c>
    </row>
    <row r="1028" s="153" customFormat="true" ht="15" hidden="false" customHeight="false" outlineLevel="0" collapsed="false">
      <c r="AN1028" s="153" t="e">
        <v>#NAME?</v>
      </c>
      <c r="AO1028" s="153" t="e">
        <f aca="false">_xlfn.xlookup(AN1028,A:A,F:F)</f>
        <v>#NAME?</v>
      </c>
      <c r="AP1028" s="153" t="e">
        <f aca="false">_xlfn.xlookup(AN1028,A:A,J:J)</f>
        <v>#NAME?</v>
      </c>
      <c r="AQ1028" s="153" t="e">
        <f aca="false">_xlfn.xlookup(AN1028,A:A,N:N)+_xlfn.xlookup(AN1028,A:A,O:O)</f>
        <v>#NAME?</v>
      </c>
      <c r="AR1028" s="150" t="e">
        <f aca="false">_xlfn.xlookup(AN1028,A:A,AH:AH)</f>
        <v>#NAME?</v>
      </c>
      <c r="AS1028" s="150" t="e">
        <f aca="false">_xlfn.xlookup(AN1028,A:A,S:S)</f>
        <v>#NAME?</v>
      </c>
      <c r="AT1028" s="150" t="e">
        <f aca="false">_xlfn.xlookup(AN1028,A:A,AE:AE)</f>
        <v>#NAME?</v>
      </c>
      <c r="AU1028" s="150" t="e">
        <f aca="false">_xlfn.xlookup(AN1028,A:A,AF:AF)</f>
        <v>#NAME?</v>
      </c>
      <c r="AX1028" s="146"/>
      <c r="AY1028" s="150"/>
      <c r="AZ1028" s="150"/>
      <c r="BA1028" s="150"/>
      <c r="BB1028" s="146"/>
      <c r="BC1028" s="146"/>
      <c r="BD1028" s="151"/>
      <c r="BE1028" s="146"/>
      <c r="BF1028" s="146"/>
      <c r="BH1028" s="152" t="e">
        <f aca="false">_xlfn.xlookup(BG1028,A:A,F:F)</f>
        <v>#NAME?</v>
      </c>
      <c r="BI1028" s="153" t="e">
        <f aca="false">_xlfn.xlookup(BG1028,A:A,J:J)</f>
        <v>#NAME?</v>
      </c>
      <c r="BJ1028" s="153" t="e">
        <f aca="false">_xlfn.xlookup(BG1028,A:A,N:N)+_xlfn.xlookup(BG1028,A:A,O:O)</f>
        <v>#NAME?</v>
      </c>
      <c r="BK1028" s="153" t="e">
        <f aca="false">_xlfn.xlookup(BG1028,A977:A1971,AB977:AB1971)</f>
        <v>#NAME?</v>
      </c>
    </row>
    <row r="1029" s="153" customFormat="true" ht="15" hidden="false" customHeight="false" outlineLevel="0" collapsed="false">
      <c r="AN1029" s="153" t="e">
        <v>#NAME?</v>
      </c>
      <c r="AO1029" s="153" t="e">
        <f aca="false">_xlfn.xlookup(AN1029,A:A,F:F)</f>
        <v>#NAME?</v>
      </c>
      <c r="AP1029" s="153" t="e">
        <f aca="false">_xlfn.xlookup(AN1029,A:A,J:J)</f>
        <v>#NAME?</v>
      </c>
      <c r="AQ1029" s="153" t="e">
        <f aca="false">_xlfn.xlookup(AN1029,A:A,N:N)+_xlfn.xlookup(AN1029,A:A,O:O)</f>
        <v>#NAME?</v>
      </c>
      <c r="AR1029" s="150" t="e">
        <f aca="false">_xlfn.xlookup(AN1029,A:A,AH:AH)</f>
        <v>#NAME?</v>
      </c>
      <c r="AS1029" s="150" t="e">
        <f aca="false">_xlfn.xlookup(AN1029,A:A,S:S)</f>
        <v>#NAME?</v>
      </c>
      <c r="AT1029" s="150" t="e">
        <f aca="false">_xlfn.xlookup(AN1029,A:A,AE:AE)</f>
        <v>#NAME?</v>
      </c>
      <c r="AU1029" s="150" t="e">
        <f aca="false">_xlfn.xlookup(AN1029,A:A,AF:AF)</f>
        <v>#NAME?</v>
      </c>
      <c r="AX1029" s="146"/>
      <c r="AY1029" s="150"/>
      <c r="AZ1029" s="150"/>
      <c r="BA1029" s="150"/>
      <c r="BB1029" s="146"/>
      <c r="BC1029" s="146"/>
      <c r="BD1029" s="151"/>
      <c r="BE1029" s="146"/>
      <c r="BF1029" s="146"/>
      <c r="BH1029" s="152" t="e">
        <f aca="false">_xlfn.xlookup(BG1029,A:A,F:F)</f>
        <v>#NAME?</v>
      </c>
      <c r="BI1029" s="153" t="e">
        <f aca="false">_xlfn.xlookup(BG1029,A:A,J:J)</f>
        <v>#NAME?</v>
      </c>
      <c r="BJ1029" s="153" t="e">
        <f aca="false">_xlfn.xlookup(BG1029,A:A,N:N)+_xlfn.xlookup(BG1029,A:A,O:O)</f>
        <v>#NAME?</v>
      </c>
      <c r="BK1029" s="153" t="e">
        <f aca="false">_xlfn.xlookup(BG1029,A978:A1972,AB978:AB1972)</f>
        <v>#NAME?</v>
      </c>
    </row>
    <row r="1030" s="153" customFormat="true" ht="15" hidden="false" customHeight="false" outlineLevel="0" collapsed="false">
      <c r="AN1030" s="153" t="e">
        <v>#NAME?</v>
      </c>
      <c r="AO1030" s="153" t="e">
        <f aca="false">_xlfn.xlookup(AN1030,A:A,F:F)</f>
        <v>#NAME?</v>
      </c>
      <c r="AP1030" s="153" t="e">
        <f aca="false">_xlfn.xlookup(AN1030,A:A,J:J)</f>
        <v>#NAME?</v>
      </c>
      <c r="AQ1030" s="153" t="e">
        <f aca="false">_xlfn.xlookup(AN1030,A:A,N:N)+_xlfn.xlookup(AN1030,A:A,O:O)</f>
        <v>#NAME?</v>
      </c>
      <c r="AR1030" s="150" t="e">
        <f aca="false">_xlfn.xlookup(AN1030,A:A,AH:AH)</f>
        <v>#NAME?</v>
      </c>
      <c r="AS1030" s="150" t="e">
        <f aca="false">_xlfn.xlookup(AN1030,A:A,S:S)</f>
        <v>#NAME?</v>
      </c>
      <c r="AT1030" s="150" t="e">
        <f aca="false">_xlfn.xlookup(AN1030,A:A,AE:AE)</f>
        <v>#NAME?</v>
      </c>
      <c r="AU1030" s="150" t="e">
        <f aca="false">_xlfn.xlookup(AN1030,A:A,AF:AF)</f>
        <v>#NAME?</v>
      </c>
      <c r="AX1030" s="146"/>
      <c r="AY1030" s="150"/>
      <c r="AZ1030" s="150"/>
      <c r="BA1030" s="150"/>
      <c r="BB1030" s="146"/>
      <c r="BC1030" s="146"/>
      <c r="BD1030" s="151"/>
      <c r="BE1030" s="146"/>
      <c r="BF1030" s="146"/>
      <c r="BH1030" s="152" t="e">
        <f aca="false">_xlfn.xlookup(BG1030,A:A,F:F)</f>
        <v>#NAME?</v>
      </c>
      <c r="BI1030" s="153" t="e">
        <f aca="false">_xlfn.xlookup(BG1030,A:A,J:J)</f>
        <v>#NAME?</v>
      </c>
      <c r="BJ1030" s="153" t="e">
        <f aca="false">_xlfn.xlookup(BG1030,A:A,N:N)+_xlfn.xlookup(BG1030,A:A,O:O)</f>
        <v>#NAME?</v>
      </c>
      <c r="BK1030" s="153" t="e">
        <f aca="false">_xlfn.xlookup(BG1030,A979:A1973,AB979:AB1973)</f>
        <v>#NAME?</v>
      </c>
    </row>
    <row r="1031" s="153" customFormat="true" ht="15" hidden="false" customHeight="false" outlineLevel="0" collapsed="false">
      <c r="AN1031" s="153" t="e">
        <v>#NAME?</v>
      </c>
      <c r="AO1031" s="153" t="e">
        <f aca="false">_xlfn.xlookup(AN1031,A:A,F:F)</f>
        <v>#NAME?</v>
      </c>
      <c r="AP1031" s="153" t="e">
        <f aca="false">_xlfn.xlookup(AN1031,A:A,J:J)</f>
        <v>#NAME?</v>
      </c>
      <c r="AQ1031" s="153" t="e">
        <f aca="false">_xlfn.xlookup(AN1031,A:A,N:N)+_xlfn.xlookup(AN1031,A:A,O:O)</f>
        <v>#NAME?</v>
      </c>
      <c r="AR1031" s="150" t="e">
        <f aca="false">_xlfn.xlookup(AN1031,A:A,AH:AH)</f>
        <v>#NAME?</v>
      </c>
      <c r="AS1031" s="150" t="e">
        <f aca="false">_xlfn.xlookup(AN1031,A:A,S:S)</f>
        <v>#NAME?</v>
      </c>
      <c r="AT1031" s="150" t="e">
        <f aca="false">_xlfn.xlookup(AN1031,A:A,AE:AE)</f>
        <v>#NAME?</v>
      </c>
      <c r="AU1031" s="150" t="e">
        <f aca="false">_xlfn.xlookup(AN1031,A:A,AF:AF)</f>
        <v>#NAME?</v>
      </c>
      <c r="AX1031" s="146"/>
      <c r="AY1031" s="150"/>
      <c r="AZ1031" s="150"/>
      <c r="BA1031" s="150"/>
      <c r="BB1031" s="146"/>
      <c r="BC1031" s="146"/>
      <c r="BD1031" s="151"/>
      <c r="BE1031" s="146"/>
      <c r="BF1031" s="146"/>
      <c r="BH1031" s="152" t="e">
        <f aca="false">_xlfn.xlookup(BG1031,A:A,F:F)</f>
        <v>#NAME?</v>
      </c>
      <c r="BI1031" s="153" t="e">
        <f aca="false">_xlfn.xlookup(BG1031,A:A,J:J)</f>
        <v>#NAME?</v>
      </c>
      <c r="BJ1031" s="153" t="e">
        <f aca="false">_xlfn.xlookup(BG1031,A:A,N:N)+_xlfn.xlookup(BG1031,A:A,O:O)</f>
        <v>#NAME?</v>
      </c>
      <c r="BK1031" s="153" t="e">
        <f aca="false">_xlfn.xlookup(BG1031,A980:A1974,AB980:AB1974)</f>
        <v>#NAME?</v>
      </c>
    </row>
    <row r="1032" s="153" customFormat="true" ht="15" hidden="false" customHeight="false" outlineLevel="0" collapsed="false">
      <c r="AN1032" s="153" t="e">
        <v>#NAME?</v>
      </c>
      <c r="AO1032" s="153" t="e">
        <f aca="false">_xlfn.xlookup(AN1032,A:A,F:F)</f>
        <v>#NAME?</v>
      </c>
      <c r="AP1032" s="153" t="e">
        <f aca="false">_xlfn.xlookup(AN1032,A:A,J:J)</f>
        <v>#NAME?</v>
      </c>
      <c r="AQ1032" s="153" t="e">
        <f aca="false">_xlfn.xlookup(AN1032,A:A,N:N)+_xlfn.xlookup(AN1032,A:A,O:O)</f>
        <v>#NAME?</v>
      </c>
      <c r="AR1032" s="150" t="e">
        <f aca="false">_xlfn.xlookup(AN1032,A:A,AH:AH)</f>
        <v>#NAME?</v>
      </c>
      <c r="AS1032" s="150" t="e">
        <f aca="false">_xlfn.xlookup(AN1032,A:A,S:S)</f>
        <v>#NAME?</v>
      </c>
      <c r="AT1032" s="150" t="e">
        <f aca="false">_xlfn.xlookup(AN1032,A:A,AE:AE)</f>
        <v>#NAME?</v>
      </c>
      <c r="AU1032" s="150" t="e">
        <f aca="false">_xlfn.xlookup(AN1032,A:A,AF:AF)</f>
        <v>#NAME?</v>
      </c>
      <c r="AX1032" s="146"/>
      <c r="AY1032" s="150"/>
      <c r="AZ1032" s="150"/>
      <c r="BA1032" s="150"/>
      <c r="BB1032" s="146"/>
      <c r="BC1032" s="146"/>
      <c r="BD1032" s="151"/>
      <c r="BE1032" s="146"/>
      <c r="BF1032" s="146"/>
      <c r="BH1032" s="152" t="e">
        <f aca="false">_xlfn.xlookup(BG1032,A:A,F:F)</f>
        <v>#NAME?</v>
      </c>
      <c r="BI1032" s="153" t="e">
        <f aca="false">_xlfn.xlookup(BG1032,A:A,J:J)</f>
        <v>#NAME?</v>
      </c>
      <c r="BJ1032" s="153" t="e">
        <f aca="false">_xlfn.xlookup(BG1032,A:A,N:N)+_xlfn.xlookup(BG1032,A:A,O:O)</f>
        <v>#NAME?</v>
      </c>
      <c r="BK1032" s="153" t="e">
        <f aca="false">_xlfn.xlookup(BG1032,A981:A1975,AB981:AB1975)</f>
        <v>#NAME?</v>
      </c>
    </row>
    <row r="1033" s="153" customFormat="true" ht="15" hidden="false" customHeight="false" outlineLevel="0" collapsed="false">
      <c r="AN1033" s="153" t="e">
        <v>#NAME?</v>
      </c>
      <c r="AO1033" s="153" t="e">
        <f aca="false">_xlfn.xlookup(AN1033,A:A,F:F)</f>
        <v>#NAME?</v>
      </c>
      <c r="AP1033" s="153" t="e">
        <f aca="false">_xlfn.xlookup(AN1033,A:A,J:J)</f>
        <v>#NAME?</v>
      </c>
      <c r="AQ1033" s="153" t="e">
        <f aca="false">_xlfn.xlookup(AN1033,A:A,N:N)+_xlfn.xlookup(AN1033,A:A,O:O)</f>
        <v>#NAME?</v>
      </c>
      <c r="AR1033" s="150" t="e">
        <f aca="false">_xlfn.xlookup(AN1033,A:A,AH:AH)</f>
        <v>#NAME?</v>
      </c>
      <c r="AS1033" s="150" t="e">
        <f aca="false">_xlfn.xlookup(AN1033,A:A,S:S)</f>
        <v>#NAME?</v>
      </c>
      <c r="AT1033" s="150" t="e">
        <f aca="false">_xlfn.xlookup(AN1033,A:A,AE:AE)</f>
        <v>#NAME?</v>
      </c>
      <c r="AU1033" s="150" t="e">
        <f aca="false">_xlfn.xlookup(AN1033,A:A,AF:AF)</f>
        <v>#NAME?</v>
      </c>
      <c r="AX1033" s="146"/>
      <c r="AY1033" s="150"/>
      <c r="AZ1033" s="150"/>
      <c r="BA1033" s="150"/>
      <c r="BB1033" s="146"/>
      <c r="BC1033" s="146"/>
      <c r="BD1033" s="151"/>
      <c r="BE1033" s="146"/>
      <c r="BF1033" s="146"/>
      <c r="BH1033" s="152" t="e">
        <f aca="false">_xlfn.xlookup(BG1033,A:A,F:F)</f>
        <v>#NAME?</v>
      </c>
      <c r="BI1033" s="153" t="e">
        <f aca="false">_xlfn.xlookup(BG1033,A:A,J:J)</f>
        <v>#NAME?</v>
      </c>
      <c r="BJ1033" s="153" t="e">
        <f aca="false">_xlfn.xlookup(BG1033,A:A,N:N)+_xlfn.xlookup(BG1033,A:A,O:O)</f>
        <v>#NAME?</v>
      </c>
      <c r="BK1033" s="153" t="e">
        <f aca="false">_xlfn.xlookup(BG1033,A982:A1976,AB982:AB1976)</f>
        <v>#NAME?</v>
      </c>
    </row>
    <row r="1034" s="153" customFormat="true" ht="15" hidden="false" customHeight="false" outlineLevel="0" collapsed="false">
      <c r="AN1034" s="153" t="e">
        <v>#NAME?</v>
      </c>
      <c r="AO1034" s="153" t="e">
        <f aca="false">_xlfn.xlookup(AN1034,A:A,F:F)</f>
        <v>#NAME?</v>
      </c>
      <c r="AP1034" s="153" t="e">
        <f aca="false">_xlfn.xlookup(AN1034,A:A,J:J)</f>
        <v>#NAME?</v>
      </c>
      <c r="AQ1034" s="153" t="e">
        <f aca="false">_xlfn.xlookup(AN1034,A:A,N:N)+_xlfn.xlookup(AN1034,A:A,O:O)</f>
        <v>#NAME?</v>
      </c>
      <c r="AR1034" s="150" t="e">
        <f aca="false">_xlfn.xlookup(AN1034,A:A,AH:AH)</f>
        <v>#NAME?</v>
      </c>
      <c r="AS1034" s="150" t="e">
        <f aca="false">_xlfn.xlookup(AN1034,A:A,S:S)</f>
        <v>#NAME?</v>
      </c>
      <c r="AT1034" s="150" t="e">
        <f aca="false">_xlfn.xlookup(AN1034,A:A,AE:AE)</f>
        <v>#NAME?</v>
      </c>
      <c r="AU1034" s="150" t="e">
        <f aca="false">_xlfn.xlookup(AN1034,A:A,AF:AF)</f>
        <v>#NAME?</v>
      </c>
      <c r="AX1034" s="146"/>
      <c r="AY1034" s="150"/>
      <c r="AZ1034" s="150"/>
      <c r="BA1034" s="150"/>
      <c r="BB1034" s="146"/>
      <c r="BC1034" s="146"/>
      <c r="BD1034" s="151"/>
      <c r="BE1034" s="146"/>
      <c r="BF1034" s="146"/>
      <c r="BH1034" s="152" t="e">
        <f aca="false">_xlfn.xlookup(BG1034,A:A,F:F)</f>
        <v>#NAME?</v>
      </c>
      <c r="BI1034" s="153" t="e">
        <f aca="false">_xlfn.xlookup(BG1034,A:A,J:J)</f>
        <v>#NAME?</v>
      </c>
      <c r="BJ1034" s="153" t="e">
        <f aca="false">_xlfn.xlookup(BG1034,A:A,N:N)+_xlfn.xlookup(BG1034,A:A,O:O)</f>
        <v>#NAME?</v>
      </c>
      <c r="BK1034" s="153" t="e">
        <f aca="false">_xlfn.xlookup(BG1034,A983:A1977,AB983:AB1977)</f>
        <v>#NAME?</v>
      </c>
    </row>
    <row r="1035" s="153" customFormat="true" ht="15" hidden="false" customHeight="false" outlineLevel="0" collapsed="false">
      <c r="AN1035" s="153" t="e">
        <v>#NAME?</v>
      </c>
      <c r="AO1035" s="153" t="e">
        <f aca="false">_xlfn.xlookup(AN1035,A:A,F:F)</f>
        <v>#NAME?</v>
      </c>
      <c r="AP1035" s="153" t="e">
        <f aca="false">_xlfn.xlookup(AN1035,A:A,J:J)</f>
        <v>#NAME?</v>
      </c>
      <c r="AQ1035" s="153" t="e">
        <f aca="false">_xlfn.xlookup(AN1035,A:A,N:N)+_xlfn.xlookup(AN1035,A:A,O:O)</f>
        <v>#NAME?</v>
      </c>
      <c r="AR1035" s="150" t="e">
        <f aca="false">_xlfn.xlookup(AN1035,A:A,AH:AH)</f>
        <v>#NAME?</v>
      </c>
      <c r="AS1035" s="150" t="e">
        <f aca="false">_xlfn.xlookup(AN1035,A:A,S:S)</f>
        <v>#NAME?</v>
      </c>
      <c r="AT1035" s="150" t="e">
        <f aca="false">_xlfn.xlookup(AN1035,A:A,AE:AE)</f>
        <v>#NAME?</v>
      </c>
      <c r="AU1035" s="150" t="e">
        <f aca="false">_xlfn.xlookup(AN1035,A:A,AF:AF)</f>
        <v>#NAME?</v>
      </c>
      <c r="AX1035" s="146"/>
      <c r="AY1035" s="150"/>
      <c r="AZ1035" s="150"/>
      <c r="BA1035" s="150"/>
      <c r="BB1035" s="146"/>
      <c r="BC1035" s="146"/>
      <c r="BD1035" s="151"/>
      <c r="BE1035" s="146"/>
      <c r="BF1035" s="146"/>
      <c r="BH1035" s="152" t="e">
        <f aca="false">_xlfn.xlookup(BG1035,A:A,F:F)</f>
        <v>#NAME?</v>
      </c>
      <c r="BI1035" s="153" t="e">
        <f aca="false">_xlfn.xlookup(BG1035,A:A,J:J)</f>
        <v>#NAME?</v>
      </c>
      <c r="BJ1035" s="153" t="e">
        <f aca="false">_xlfn.xlookup(BG1035,A:A,N:N)+_xlfn.xlookup(BG1035,A:A,O:O)</f>
        <v>#NAME?</v>
      </c>
      <c r="BK1035" s="153" t="e">
        <f aca="false">_xlfn.xlookup(BG1035,A984:A1978,AB984:AB1978)</f>
        <v>#NAME?</v>
      </c>
    </row>
    <row r="1036" s="153" customFormat="true" ht="15" hidden="false" customHeight="false" outlineLevel="0" collapsed="false">
      <c r="AN1036" s="153" t="e">
        <v>#NAME?</v>
      </c>
      <c r="AO1036" s="153" t="e">
        <f aca="false">_xlfn.xlookup(AN1036,A:A,F:F)</f>
        <v>#NAME?</v>
      </c>
      <c r="AP1036" s="153" t="e">
        <f aca="false">_xlfn.xlookup(AN1036,A:A,J:J)</f>
        <v>#NAME?</v>
      </c>
      <c r="AQ1036" s="153" t="e">
        <f aca="false">_xlfn.xlookup(AN1036,A:A,N:N)+_xlfn.xlookup(AN1036,A:A,O:O)</f>
        <v>#NAME?</v>
      </c>
      <c r="AR1036" s="150" t="e">
        <f aca="false">_xlfn.xlookup(AN1036,A:A,AH:AH)</f>
        <v>#NAME?</v>
      </c>
      <c r="AS1036" s="150" t="e">
        <f aca="false">_xlfn.xlookup(AN1036,A:A,S:S)</f>
        <v>#NAME?</v>
      </c>
      <c r="AT1036" s="150" t="e">
        <f aca="false">_xlfn.xlookup(AN1036,A:A,AE:AE)</f>
        <v>#NAME?</v>
      </c>
      <c r="AU1036" s="150" t="e">
        <f aca="false">_xlfn.xlookup(AN1036,A:A,AF:AF)</f>
        <v>#NAME?</v>
      </c>
      <c r="AX1036" s="146"/>
      <c r="AY1036" s="150"/>
      <c r="AZ1036" s="150"/>
      <c r="BA1036" s="150"/>
      <c r="BB1036" s="146"/>
      <c r="BC1036" s="146"/>
      <c r="BD1036" s="151"/>
      <c r="BE1036" s="146"/>
      <c r="BF1036" s="146"/>
      <c r="BH1036" s="152" t="e">
        <f aca="false">_xlfn.xlookup(BG1036,A:A,F:F)</f>
        <v>#NAME?</v>
      </c>
      <c r="BI1036" s="153" t="e">
        <f aca="false">_xlfn.xlookup(BG1036,A:A,J:J)</f>
        <v>#NAME?</v>
      </c>
      <c r="BJ1036" s="153" t="e">
        <f aca="false">_xlfn.xlookup(BG1036,A:A,N:N)+_xlfn.xlookup(BG1036,A:A,O:O)</f>
        <v>#NAME?</v>
      </c>
      <c r="BK1036" s="153" t="e">
        <f aca="false">_xlfn.xlookup(BG1036,A985:A1979,AB985:AB1979)</f>
        <v>#NAME?</v>
      </c>
    </row>
    <row r="1037" s="153" customFormat="true" ht="15" hidden="false" customHeight="false" outlineLevel="0" collapsed="false">
      <c r="AN1037" s="153" t="e">
        <v>#NAME?</v>
      </c>
      <c r="AO1037" s="153" t="e">
        <f aca="false">_xlfn.xlookup(AN1037,A:A,F:F)</f>
        <v>#NAME?</v>
      </c>
      <c r="AP1037" s="153" t="e">
        <f aca="false">_xlfn.xlookup(AN1037,A:A,J:J)</f>
        <v>#NAME?</v>
      </c>
      <c r="AQ1037" s="153" t="e">
        <f aca="false">_xlfn.xlookup(AN1037,A:A,N:N)+_xlfn.xlookup(AN1037,A:A,O:O)</f>
        <v>#NAME?</v>
      </c>
      <c r="AR1037" s="150" t="e">
        <f aca="false">_xlfn.xlookup(AN1037,A:A,AH:AH)</f>
        <v>#NAME?</v>
      </c>
      <c r="AS1037" s="150" t="e">
        <f aca="false">_xlfn.xlookup(AN1037,A:A,S:S)</f>
        <v>#NAME?</v>
      </c>
      <c r="AT1037" s="150" t="e">
        <f aca="false">_xlfn.xlookup(AN1037,A:A,AE:AE)</f>
        <v>#NAME?</v>
      </c>
      <c r="AU1037" s="150" t="e">
        <f aca="false">_xlfn.xlookup(AN1037,A:A,AF:AF)</f>
        <v>#NAME?</v>
      </c>
      <c r="AX1037" s="146"/>
      <c r="AY1037" s="150"/>
      <c r="AZ1037" s="150"/>
      <c r="BA1037" s="150"/>
      <c r="BB1037" s="146"/>
      <c r="BC1037" s="146"/>
      <c r="BD1037" s="151"/>
      <c r="BE1037" s="146"/>
      <c r="BF1037" s="146"/>
      <c r="BH1037" s="152" t="e">
        <f aca="false">_xlfn.xlookup(BG1037,A:A,F:F)</f>
        <v>#NAME?</v>
      </c>
      <c r="BI1037" s="153" t="e">
        <f aca="false">_xlfn.xlookup(BG1037,A:A,J:J)</f>
        <v>#NAME?</v>
      </c>
      <c r="BJ1037" s="153" t="e">
        <f aca="false">_xlfn.xlookup(BG1037,A:A,N:N)+_xlfn.xlookup(BG1037,A:A,O:O)</f>
        <v>#NAME?</v>
      </c>
      <c r="BK1037" s="153" t="e">
        <f aca="false">_xlfn.xlookup(BG1037,A986:A1980,AB986:AB1980)</f>
        <v>#NAME?</v>
      </c>
    </row>
    <row r="1038" s="153" customFormat="true" ht="15" hidden="false" customHeight="false" outlineLevel="0" collapsed="false">
      <c r="AN1038" s="153" t="e">
        <v>#NAME?</v>
      </c>
      <c r="AO1038" s="153" t="e">
        <f aca="false">_xlfn.xlookup(AN1038,A:A,F:F)</f>
        <v>#NAME?</v>
      </c>
      <c r="AP1038" s="153" t="e">
        <f aca="false">_xlfn.xlookup(AN1038,A:A,J:J)</f>
        <v>#NAME?</v>
      </c>
      <c r="AQ1038" s="153" t="e">
        <f aca="false">_xlfn.xlookup(AN1038,A:A,N:N)+_xlfn.xlookup(AN1038,A:A,O:O)</f>
        <v>#NAME?</v>
      </c>
      <c r="AR1038" s="150" t="e">
        <f aca="false">_xlfn.xlookup(AN1038,A:A,AH:AH)</f>
        <v>#NAME?</v>
      </c>
      <c r="AS1038" s="150" t="e">
        <f aca="false">_xlfn.xlookup(AN1038,A:A,S:S)</f>
        <v>#NAME?</v>
      </c>
      <c r="AT1038" s="150" t="e">
        <f aca="false">_xlfn.xlookup(AN1038,A:A,AE:AE)</f>
        <v>#NAME?</v>
      </c>
      <c r="AU1038" s="150" t="e">
        <f aca="false">_xlfn.xlookup(AN1038,A:A,AF:AF)</f>
        <v>#NAME?</v>
      </c>
      <c r="AX1038" s="146"/>
      <c r="AY1038" s="150"/>
      <c r="AZ1038" s="150"/>
      <c r="BA1038" s="150"/>
      <c r="BB1038" s="146"/>
      <c r="BC1038" s="146"/>
      <c r="BD1038" s="151"/>
      <c r="BE1038" s="146"/>
      <c r="BF1038" s="146"/>
      <c r="BH1038" s="152" t="e">
        <f aca="false">_xlfn.xlookup(BG1038,A:A,F:F)</f>
        <v>#NAME?</v>
      </c>
      <c r="BI1038" s="153" t="e">
        <f aca="false">_xlfn.xlookup(BG1038,A:A,J:J)</f>
        <v>#NAME?</v>
      </c>
      <c r="BJ1038" s="153" t="e">
        <f aca="false">_xlfn.xlookup(BG1038,A:A,N:N)+_xlfn.xlookup(BG1038,A:A,O:O)</f>
        <v>#NAME?</v>
      </c>
      <c r="BK1038" s="153" t="e">
        <f aca="false">_xlfn.xlookup(BG1038,A987:A1981,AB987:AB1981)</f>
        <v>#NAME?</v>
      </c>
    </row>
    <row r="1039" s="153" customFormat="true" ht="15" hidden="false" customHeight="false" outlineLevel="0" collapsed="false">
      <c r="AN1039" s="153" t="e">
        <v>#NAME?</v>
      </c>
      <c r="AO1039" s="153" t="e">
        <f aca="false">_xlfn.xlookup(AN1039,A:A,F:F)</f>
        <v>#NAME?</v>
      </c>
      <c r="AP1039" s="153" t="e">
        <f aca="false">_xlfn.xlookup(AN1039,A:A,J:J)</f>
        <v>#NAME?</v>
      </c>
      <c r="AQ1039" s="153" t="e">
        <f aca="false">_xlfn.xlookup(AN1039,A:A,N:N)+_xlfn.xlookup(AN1039,A:A,O:O)</f>
        <v>#NAME?</v>
      </c>
      <c r="AR1039" s="150" t="e">
        <f aca="false">_xlfn.xlookup(AN1039,A:A,AH:AH)</f>
        <v>#NAME?</v>
      </c>
      <c r="AS1039" s="150" t="e">
        <f aca="false">_xlfn.xlookup(AN1039,A:A,S:S)</f>
        <v>#NAME?</v>
      </c>
      <c r="AT1039" s="150" t="e">
        <f aca="false">_xlfn.xlookup(AN1039,A:A,AE:AE)</f>
        <v>#NAME?</v>
      </c>
      <c r="AU1039" s="150" t="e">
        <f aca="false">_xlfn.xlookup(AN1039,A:A,AF:AF)</f>
        <v>#NAME?</v>
      </c>
      <c r="AX1039" s="146"/>
      <c r="AY1039" s="150"/>
      <c r="AZ1039" s="150"/>
      <c r="BA1039" s="150"/>
      <c r="BB1039" s="146"/>
      <c r="BC1039" s="146"/>
      <c r="BD1039" s="151"/>
      <c r="BE1039" s="146"/>
      <c r="BF1039" s="146"/>
      <c r="BH1039" s="152" t="e">
        <f aca="false">_xlfn.xlookup(BG1039,A:A,F:F)</f>
        <v>#NAME?</v>
      </c>
      <c r="BI1039" s="153" t="e">
        <f aca="false">_xlfn.xlookup(BG1039,A:A,J:J)</f>
        <v>#NAME?</v>
      </c>
      <c r="BJ1039" s="153" t="e">
        <f aca="false">_xlfn.xlookup(BG1039,A:A,N:N)+_xlfn.xlookup(BG1039,A:A,O:O)</f>
        <v>#NAME?</v>
      </c>
      <c r="BK1039" s="153" t="e">
        <f aca="false">_xlfn.xlookup(BG1039,A988:A1982,AB988:AB1982)</f>
        <v>#NAME?</v>
      </c>
    </row>
    <row r="1040" s="153" customFormat="true" ht="15" hidden="false" customHeight="false" outlineLevel="0" collapsed="false">
      <c r="AN1040" s="153" t="e">
        <v>#NAME?</v>
      </c>
      <c r="AO1040" s="153" t="e">
        <f aca="false">_xlfn.xlookup(AN1040,A:A,F:F)</f>
        <v>#NAME?</v>
      </c>
      <c r="AP1040" s="153" t="e">
        <f aca="false">_xlfn.xlookup(AN1040,A:A,J:J)</f>
        <v>#NAME?</v>
      </c>
      <c r="AQ1040" s="153" t="e">
        <f aca="false">_xlfn.xlookup(AN1040,A:A,N:N)+_xlfn.xlookup(AN1040,A:A,O:O)</f>
        <v>#NAME?</v>
      </c>
      <c r="AR1040" s="150" t="e">
        <f aca="false">_xlfn.xlookup(AN1040,A:A,AH:AH)</f>
        <v>#NAME?</v>
      </c>
      <c r="AS1040" s="150" t="e">
        <f aca="false">_xlfn.xlookup(AN1040,A:A,S:S)</f>
        <v>#NAME?</v>
      </c>
      <c r="AT1040" s="150" t="e">
        <f aca="false">_xlfn.xlookup(AN1040,A:A,AE:AE)</f>
        <v>#NAME?</v>
      </c>
      <c r="AU1040" s="150" t="e">
        <f aca="false">_xlfn.xlookup(AN1040,A:A,AF:AF)</f>
        <v>#NAME?</v>
      </c>
      <c r="AX1040" s="146"/>
      <c r="AY1040" s="150"/>
      <c r="AZ1040" s="150"/>
      <c r="BA1040" s="150"/>
      <c r="BB1040" s="146"/>
      <c r="BC1040" s="146"/>
      <c r="BD1040" s="151"/>
      <c r="BE1040" s="146"/>
      <c r="BF1040" s="146"/>
      <c r="BH1040" s="152" t="e">
        <f aca="false">_xlfn.xlookup(BG1040,A:A,F:F)</f>
        <v>#NAME?</v>
      </c>
      <c r="BI1040" s="153" t="e">
        <f aca="false">_xlfn.xlookup(BG1040,A:A,J:J)</f>
        <v>#NAME?</v>
      </c>
      <c r="BJ1040" s="153" t="e">
        <f aca="false">_xlfn.xlookup(BG1040,A:A,N:N)+_xlfn.xlookup(BG1040,A:A,O:O)</f>
        <v>#NAME?</v>
      </c>
      <c r="BK1040" s="153" t="e">
        <f aca="false">_xlfn.xlookup(BG1040,A989:A1983,AB989:AB1983)</f>
        <v>#NAME?</v>
      </c>
    </row>
    <row r="1041" s="153" customFormat="true" ht="15" hidden="false" customHeight="false" outlineLevel="0" collapsed="false">
      <c r="AN1041" s="153" t="e">
        <v>#NAME?</v>
      </c>
      <c r="AO1041" s="153" t="e">
        <f aca="false">_xlfn.xlookup(AN1041,A:A,F:F)</f>
        <v>#NAME?</v>
      </c>
      <c r="AP1041" s="153" t="e">
        <f aca="false">_xlfn.xlookup(AN1041,A:A,J:J)</f>
        <v>#NAME?</v>
      </c>
      <c r="AQ1041" s="153" t="e">
        <f aca="false">_xlfn.xlookup(AN1041,A:A,N:N)+_xlfn.xlookup(AN1041,A:A,O:O)</f>
        <v>#NAME?</v>
      </c>
      <c r="AR1041" s="150" t="e">
        <f aca="false">_xlfn.xlookup(AN1041,A:A,AH:AH)</f>
        <v>#NAME?</v>
      </c>
      <c r="AS1041" s="150" t="e">
        <f aca="false">_xlfn.xlookup(AN1041,A:A,S:S)</f>
        <v>#NAME?</v>
      </c>
      <c r="AT1041" s="150" t="e">
        <f aca="false">_xlfn.xlookup(AN1041,A:A,AE:AE)</f>
        <v>#NAME?</v>
      </c>
      <c r="AU1041" s="150" t="e">
        <f aca="false">_xlfn.xlookup(AN1041,A:A,AF:AF)</f>
        <v>#NAME?</v>
      </c>
      <c r="AX1041" s="146"/>
      <c r="AY1041" s="150"/>
      <c r="AZ1041" s="150"/>
      <c r="BA1041" s="150"/>
      <c r="BB1041" s="146"/>
      <c r="BC1041" s="146"/>
      <c r="BD1041" s="151"/>
      <c r="BE1041" s="146"/>
      <c r="BF1041" s="146"/>
      <c r="BH1041" s="152" t="e">
        <f aca="false">_xlfn.xlookup(BG1041,A:A,F:F)</f>
        <v>#NAME?</v>
      </c>
      <c r="BI1041" s="153" t="e">
        <f aca="false">_xlfn.xlookup(BG1041,A:A,J:J)</f>
        <v>#NAME?</v>
      </c>
      <c r="BJ1041" s="153" t="e">
        <f aca="false">_xlfn.xlookup(BG1041,A:A,N:N)+_xlfn.xlookup(BG1041,A:A,O:O)</f>
        <v>#NAME?</v>
      </c>
      <c r="BK1041" s="153" t="e">
        <f aca="false">_xlfn.xlookup(BG1041,A990:A1984,AB990:AB1984)</f>
        <v>#NAME?</v>
      </c>
    </row>
    <row r="1042" s="153" customFormat="true" ht="15" hidden="false" customHeight="false" outlineLevel="0" collapsed="false">
      <c r="AN1042" s="153" t="e">
        <v>#NAME?</v>
      </c>
      <c r="AO1042" s="153" t="e">
        <f aca="false">_xlfn.xlookup(AN1042,A:A,F:F)</f>
        <v>#NAME?</v>
      </c>
      <c r="AP1042" s="153" t="e">
        <f aca="false">_xlfn.xlookup(AN1042,A:A,J:J)</f>
        <v>#NAME?</v>
      </c>
      <c r="AQ1042" s="153" t="e">
        <f aca="false">_xlfn.xlookup(AN1042,A:A,N:N)+_xlfn.xlookup(AN1042,A:A,O:O)</f>
        <v>#NAME?</v>
      </c>
      <c r="AR1042" s="150" t="e">
        <f aca="false">_xlfn.xlookup(AN1042,A:A,AH:AH)</f>
        <v>#NAME?</v>
      </c>
      <c r="AS1042" s="150" t="e">
        <f aca="false">_xlfn.xlookup(AN1042,A:A,S:S)</f>
        <v>#NAME?</v>
      </c>
      <c r="AT1042" s="150" t="e">
        <f aca="false">_xlfn.xlookup(AN1042,A:A,AE:AE)</f>
        <v>#NAME?</v>
      </c>
      <c r="AU1042" s="150" t="e">
        <f aca="false">_xlfn.xlookup(AN1042,A:A,AF:AF)</f>
        <v>#NAME?</v>
      </c>
      <c r="AX1042" s="146"/>
      <c r="AY1042" s="150"/>
      <c r="AZ1042" s="150"/>
      <c r="BA1042" s="150"/>
      <c r="BB1042" s="146"/>
      <c r="BC1042" s="146"/>
      <c r="BD1042" s="151"/>
      <c r="BE1042" s="146"/>
      <c r="BF1042" s="146"/>
      <c r="BH1042" s="152" t="e">
        <f aca="false">_xlfn.xlookup(BG1042,A:A,F:F)</f>
        <v>#NAME?</v>
      </c>
      <c r="BI1042" s="153" t="e">
        <f aca="false">_xlfn.xlookup(BG1042,A:A,J:J)</f>
        <v>#NAME?</v>
      </c>
      <c r="BJ1042" s="153" t="e">
        <f aca="false">_xlfn.xlookup(BG1042,A:A,N:N)+_xlfn.xlookup(BG1042,A:A,O:O)</f>
        <v>#NAME?</v>
      </c>
      <c r="BK1042" s="153" t="e">
        <f aca="false">_xlfn.xlookup(BG1042,A991:A1985,AB991:AB1985)</f>
        <v>#NAME?</v>
      </c>
    </row>
    <row r="1043" s="153" customFormat="true" ht="15" hidden="false" customHeight="false" outlineLevel="0" collapsed="false">
      <c r="AN1043" s="153" t="e">
        <v>#NAME?</v>
      </c>
      <c r="AO1043" s="153" t="e">
        <f aca="false">_xlfn.xlookup(AN1043,A:A,F:F)</f>
        <v>#NAME?</v>
      </c>
      <c r="AP1043" s="153" t="e">
        <f aca="false">_xlfn.xlookup(AN1043,A:A,J:J)</f>
        <v>#NAME?</v>
      </c>
      <c r="AQ1043" s="153" t="e">
        <f aca="false">_xlfn.xlookup(AN1043,A:A,N:N)+_xlfn.xlookup(AN1043,A:A,O:O)</f>
        <v>#NAME?</v>
      </c>
      <c r="AR1043" s="150" t="e">
        <f aca="false">_xlfn.xlookup(AN1043,A:A,AH:AH)</f>
        <v>#NAME?</v>
      </c>
      <c r="AS1043" s="150" t="e">
        <f aca="false">_xlfn.xlookup(AN1043,A:A,S:S)</f>
        <v>#NAME?</v>
      </c>
      <c r="AT1043" s="150" t="e">
        <f aca="false">_xlfn.xlookup(AN1043,A:A,AE:AE)</f>
        <v>#NAME?</v>
      </c>
      <c r="AU1043" s="150" t="e">
        <f aca="false">_xlfn.xlookup(AN1043,A:A,AF:AF)</f>
        <v>#NAME?</v>
      </c>
      <c r="AX1043" s="146"/>
      <c r="AY1043" s="150"/>
      <c r="AZ1043" s="150"/>
      <c r="BA1043" s="150"/>
      <c r="BB1043" s="146"/>
      <c r="BC1043" s="146"/>
      <c r="BD1043" s="151"/>
      <c r="BE1043" s="146"/>
      <c r="BF1043" s="146"/>
      <c r="BH1043" s="152" t="e">
        <f aca="false">_xlfn.xlookup(BG1043,A:A,F:F)</f>
        <v>#NAME?</v>
      </c>
      <c r="BI1043" s="153" t="e">
        <f aca="false">_xlfn.xlookup(BG1043,A:A,J:J)</f>
        <v>#NAME?</v>
      </c>
      <c r="BJ1043" s="153" t="e">
        <f aca="false">_xlfn.xlookup(BG1043,A:A,N:N)+_xlfn.xlookup(BG1043,A:A,O:O)</f>
        <v>#NAME?</v>
      </c>
      <c r="BK1043" s="153" t="e">
        <f aca="false">_xlfn.xlookup(BG1043,A992:A1986,AB992:AB1986)</f>
        <v>#NAME?</v>
      </c>
    </row>
    <row r="1044" s="153" customFormat="true" ht="15" hidden="false" customHeight="false" outlineLevel="0" collapsed="false">
      <c r="AN1044" s="153" t="e">
        <v>#NAME?</v>
      </c>
      <c r="AO1044" s="153" t="e">
        <f aca="false">_xlfn.xlookup(AN1044,A:A,F:F)</f>
        <v>#NAME?</v>
      </c>
      <c r="AP1044" s="153" t="e">
        <f aca="false">_xlfn.xlookup(AN1044,A:A,J:J)</f>
        <v>#NAME?</v>
      </c>
      <c r="AQ1044" s="153" t="e">
        <f aca="false">_xlfn.xlookup(AN1044,A:A,N:N)+_xlfn.xlookup(AN1044,A:A,O:O)</f>
        <v>#NAME?</v>
      </c>
      <c r="AR1044" s="150" t="e">
        <f aca="false">_xlfn.xlookup(AN1044,A:A,AH:AH)</f>
        <v>#NAME?</v>
      </c>
      <c r="AS1044" s="150" t="e">
        <f aca="false">_xlfn.xlookup(AN1044,A:A,S:S)</f>
        <v>#NAME?</v>
      </c>
      <c r="AT1044" s="150" t="e">
        <f aca="false">_xlfn.xlookup(AN1044,A:A,AE:AE)</f>
        <v>#NAME?</v>
      </c>
      <c r="AU1044" s="150" t="e">
        <f aca="false">_xlfn.xlookup(AN1044,A:A,AF:AF)</f>
        <v>#NAME?</v>
      </c>
      <c r="AX1044" s="146"/>
      <c r="AY1044" s="150"/>
      <c r="AZ1044" s="150"/>
      <c r="BA1044" s="150"/>
      <c r="BB1044" s="146"/>
      <c r="BC1044" s="146"/>
      <c r="BD1044" s="151"/>
      <c r="BE1044" s="146"/>
      <c r="BF1044" s="146"/>
      <c r="BH1044" s="152" t="e">
        <f aca="false">_xlfn.xlookup(BG1044,A:A,F:F)</f>
        <v>#NAME?</v>
      </c>
      <c r="BI1044" s="153" t="e">
        <f aca="false">_xlfn.xlookup(BG1044,A:A,J:J)</f>
        <v>#NAME?</v>
      </c>
      <c r="BJ1044" s="153" t="e">
        <f aca="false">_xlfn.xlookup(BG1044,A:A,N:N)+_xlfn.xlookup(BG1044,A:A,O:O)</f>
        <v>#NAME?</v>
      </c>
      <c r="BK1044" s="153" t="e">
        <f aca="false">_xlfn.xlookup(BG1044,A993:A1987,AB993:AB1987)</f>
        <v>#NAME?</v>
      </c>
    </row>
    <row r="1045" s="153" customFormat="true" ht="15" hidden="false" customHeight="false" outlineLevel="0" collapsed="false">
      <c r="AN1045" s="153" t="e">
        <v>#NAME?</v>
      </c>
      <c r="AO1045" s="153" t="e">
        <f aca="false">_xlfn.xlookup(AN1045,A:A,F:F)</f>
        <v>#NAME?</v>
      </c>
      <c r="AP1045" s="153" t="e">
        <f aca="false">_xlfn.xlookup(AN1045,A:A,J:J)</f>
        <v>#NAME?</v>
      </c>
      <c r="AQ1045" s="153" t="e">
        <f aca="false">_xlfn.xlookup(AN1045,A:A,N:N)+_xlfn.xlookup(AN1045,A:A,O:O)</f>
        <v>#NAME?</v>
      </c>
      <c r="AR1045" s="150" t="e">
        <f aca="false">_xlfn.xlookup(AN1045,A:A,AH:AH)</f>
        <v>#NAME?</v>
      </c>
      <c r="AS1045" s="150" t="e">
        <f aca="false">_xlfn.xlookup(AN1045,A:A,S:S)</f>
        <v>#NAME?</v>
      </c>
      <c r="AT1045" s="150" t="e">
        <f aca="false">_xlfn.xlookup(AN1045,A:A,AE:AE)</f>
        <v>#NAME?</v>
      </c>
      <c r="AU1045" s="150" t="e">
        <f aca="false">_xlfn.xlookup(AN1045,A:A,AF:AF)</f>
        <v>#NAME?</v>
      </c>
      <c r="AX1045" s="146"/>
      <c r="AY1045" s="150"/>
      <c r="AZ1045" s="150"/>
      <c r="BA1045" s="150"/>
      <c r="BB1045" s="146"/>
      <c r="BC1045" s="146"/>
      <c r="BD1045" s="151"/>
      <c r="BE1045" s="146"/>
      <c r="BF1045" s="146"/>
      <c r="BH1045" s="152" t="e">
        <f aca="false">_xlfn.xlookup(BG1045,A:A,F:F)</f>
        <v>#NAME?</v>
      </c>
      <c r="BI1045" s="153" t="e">
        <f aca="false">_xlfn.xlookup(BG1045,A:A,J:J)</f>
        <v>#NAME?</v>
      </c>
      <c r="BJ1045" s="153" t="e">
        <f aca="false">_xlfn.xlookup(BG1045,A:A,N:N)+_xlfn.xlookup(BG1045,A:A,O:O)</f>
        <v>#NAME?</v>
      </c>
      <c r="BK1045" s="153" t="e">
        <f aca="false">_xlfn.xlookup(BG1045,A994:A1988,AB994:AB1988)</f>
        <v>#NAME?</v>
      </c>
    </row>
    <row r="1046" s="153" customFormat="true" ht="15" hidden="false" customHeight="false" outlineLevel="0" collapsed="false">
      <c r="AN1046" s="153" t="e">
        <v>#NAME?</v>
      </c>
      <c r="AO1046" s="153" t="e">
        <f aca="false">_xlfn.xlookup(AN1046,A:A,F:F)</f>
        <v>#NAME?</v>
      </c>
      <c r="AP1046" s="153" t="e">
        <f aca="false">_xlfn.xlookup(AN1046,A:A,J:J)</f>
        <v>#NAME?</v>
      </c>
      <c r="AQ1046" s="153" t="e">
        <f aca="false">_xlfn.xlookup(AN1046,A:A,N:N)+_xlfn.xlookup(AN1046,A:A,O:O)</f>
        <v>#NAME?</v>
      </c>
      <c r="AR1046" s="150" t="e">
        <f aca="false">_xlfn.xlookup(AN1046,A:A,AH:AH)</f>
        <v>#NAME?</v>
      </c>
      <c r="AS1046" s="150" t="e">
        <f aca="false">_xlfn.xlookup(AN1046,A:A,S:S)</f>
        <v>#NAME?</v>
      </c>
      <c r="AT1046" s="150" t="e">
        <f aca="false">_xlfn.xlookup(AN1046,A:A,AE:AE)</f>
        <v>#NAME?</v>
      </c>
      <c r="AU1046" s="150" t="e">
        <f aca="false">_xlfn.xlookup(AN1046,A:A,AF:AF)</f>
        <v>#NAME?</v>
      </c>
      <c r="AX1046" s="146"/>
      <c r="AY1046" s="150"/>
      <c r="AZ1046" s="150"/>
      <c r="BA1046" s="150"/>
      <c r="BB1046" s="146"/>
      <c r="BC1046" s="146"/>
      <c r="BD1046" s="151"/>
      <c r="BE1046" s="146"/>
      <c r="BF1046" s="146"/>
      <c r="BH1046" s="152" t="e">
        <f aca="false">_xlfn.xlookup(BG1046,A:A,F:F)</f>
        <v>#NAME?</v>
      </c>
      <c r="BI1046" s="153" t="e">
        <f aca="false">_xlfn.xlookup(BG1046,A:A,J:J)</f>
        <v>#NAME?</v>
      </c>
      <c r="BJ1046" s="153" t="e">
        <f aca="false">_xlfn.xlookup(BG1046,A:A,N:N)+_xlfn.xlookup(BG1046,A:A,O:O)</f>
        <v>#NAME?</v>
      </c>
      <c r="BK1046" s="153" t="e">
        <f aca="false">_xlfn.xlookup(BG1046,A995:A1989,AB995:AB1989)</f>
        <v>#NAME?</v>
      </c>
    </row>
    <row r="1047" s="153" customFormat="true" ht="15" hidden="false" customHeight="false" outlineLevel="0" collapsed="false">
      <c r="AN1047" s="153" t="e">
        <v>#NAME?</v>
      </c>
      <c r="AO1047" s="153" t="e">
        <f aca="false">_xlfn.xlookup(AN1047,A:A,F:F)</f>
        <v>#NAME?</v>
      </c>
      <c r="AP1047" s="153" t="e">
        <f aca="false">_xlfn.xlookup(AN1047,A:A,J:J)</f>
        <v>#NAME?</v>
      </c>
      <c r="AQ1047" s="153" t="e">
        <f aca="false">_xlfn.xlookup(AN1047,A:A,N:N)+_xlfn.xlookup(AN1047,A:A,O:O)</f>
        <v>#NAME?</v>
      </c>
      <c r="AR1047" s="150" t="e">
        <f aca="false">_xlfn.xlookup(AN1047,A:A,AH:AH)</f>
        <v>#NAME?</v>
      </c>
      <c r="AS1047" s="150" t="e">
        <f aca="false">_xlfn.xlookup(AN1047,A:A,S:S)</f>
        <v>#NAME?</v>
      </c>
      <c r="AT1047" s="150" t="e">
        <f aca="false">_xlfn.xlookup(AN1047,A:A,AE:AE)</f>
        <v>#NAME?</v>
      </c>
      <c r="AU1047" s="150" t="e">
        <f aca="false">_xlfn.xlookup(AN1047,A:A,AF:AF)</f>
        <v>#NAME?</v>
      </c>
      <c r="AX1047" s="146"/>
      <c r="AY1047" s="150"/>
      <c r="AZ1047" s="150"/>
      <c r="BA1047" s="150"/>
      <c r="BB1047" s="146"/>
      <c r="BC1047" s="146"/>
      <c r="BD1047" s="151"/>
      <c r="BE1047" s="146"/>
      <c r="BF1047" s="146"/>
      <c r="BH1047" s="152" t="e">
        <f aca="false">_xlfn.xlookup(BG1047,A:A,F:F)</f>
        <v>#NAME?</v>
      </c>
      <c r="BI1047" s="153" t="e">
        <f aca="false">_xlfn.xlookup(BG1047,A:A,J:J)</f>
        <v>#NAME?</v>
      </c>
      <c r="BJ1047" s="153" t="e">
        <f aca="false">_xlfn.xlookup(BG1047,A:A,N:N)+_xlfn.xlookup(BG1047,A:A,O:O)</f>
        <v>#NAME?</v>
      </c>
      <c r="BK1047" s="153" t="e">
        <f aca="false">_xlfn.xlookup(BG1047,A996:A1990,AB996:AB1990)</f>
        <v>#NAME?</v>
      </c>
    </row>
    <row r="1048" s="153" customFormat="true" ht="15" hidden="false" customHeight="false" outlineLevel="0" collapsed="false">
      <c r="AN1048" s="153" t="e">
        <v>#NAME?</v>
      </c>
      <c r="AO1048" s="153" t="e">
        <f aca="false">_xlfn.xlookup(AN1048,A:A,F:F)</f>
        <v>#NAME?</v>
      </c>
      <c r="AP1048" s="153" t="e">
        <f aca="false">_xlfn.xlookup(AN1048,A:A,J:J)</f>
        <v>#NAME?</v>
      </c>
      <c r="AQ1048" s="153" t="e">
        <f aca="false">_xlfn.xlookup(AN1048,A:A,N:N)+_xlfn.xlookup(AN1048,A:A,O:O)</f>
        <v>#NAME?</v>
      </c>
      <c r="AR1048" s="150" t="e">
        <f aca="false">_xlfn.xlookup(AN1048,A:A,AH:AH)</f>
        <v>#NAME?</v>
      </c>
      <c r="AS1048" s="150" t="e">
        <f aca="false">_xlfn.xlookup(AN1048,A:A,S:S)</f>
        <v>#NAME?</v>
      </c>
      <c r="AT1048" s="150" t="e">
        <f aca="false">_xlfn.xlookup(AN1048,A:A,AE:AE)</f>
        <v>#NAME?</v>
      </c>
      <c r="AU1048" s="150" t="e">
        <f aca="false">_xlfn.xlookup(AN1048,A:A,AF:AF)</f>
        <v>#NAME?</v>
      </c>
      <c r="AX1048" s="146"/>
      <c r="AY1048" s="150"/>
      <c r="AZ1048" s="150"/>
      <c r="BA1048" s="150"/>
      <c r="BB1048" s="146"/>
      <c r="BC1048" s="146"/>
      <c r="BD1048" s="151"/>
      <c r="BE1048" s="146"/>
      <c r="BF1048" s="146"/>
      <c r="BH1048" s="152" t="e">
        <f aca="false">_xlfn.xlookup(BG1048,A:A,F:F)</f>
        <v>#NAME?</v>
      </c>
      <c r="BI1048" s="153" t="e">
        <f aca="false">_xlfn.xlookup(BG1048,A:A,J:J)</f>
        <v>#NAME?</v>
      </c>
      <c r="BJ1048" s="153" t="e">
        <f aca="false">_xlfn.xlookup(BG1048,A:A,N:N)+_xlfn.xlookup(BG1048,A:A,O:O)</f>
        <v>#NAME?</v>
      </c>
      <c r="BK1048" s="153" t="e">
        <f aca="false">_xlfn.xlookup(BG1048,A997:A1991,AB997:AB1991)</f>
        <v>#NAME?</v>
      </c>
    </row>
    <row r="1049" s="153" customFormat="true" ht="15" hidden="false" customHeight="false" outlineLevel="0" collapsed="false">
      <c r="AN1049" s="153" t="e">
        <v>#NAME?</v>
      </c>
      <c r="AO1049" s="153" t="e">
        <f aca="false">_xlfn.xlookup(AN1049,A:A,F:F)</f>
        <v>#NAME?</v>
      </c>
      <c r="AP1049" s="153" t="e">
        <f aca="false">_xlfn.xlookup(AN1049,A:A,J:J)</f>
        <v>#NAME?</v>
      </c>
      <c r="AQ1049" s="153" t="e">
        <f aca="false">_xlfn.xlookup(AN1049,A:A,N:N)+_xlfn.xlookup(AN1049,A:A,O:O)</f>
        <v>#NAME?</v>
      </c>
      <c r="AR1049" s="150" t="e">
        <f aca="false">_xlfn.xlookup(AN1049,A:A,AH:AH)</f>
        <v>#NAME?</v>
      </c>
      <c r="AS1049" s="150" t="e">
        <f aca="false">_xlfn.xlookup(AN1049,A:A,S:S)</f>
        <v>#NAME?</v>
      </c>
      <c r="AT1049" s="150" t="e">
        <f aca="false">_xlfn.xlookup(AN1049,A:A,AE:AE)</f>
        <v>#NAME?</v>
      </c>
      <c r="AU1049" s="150" t="e">
        <f aca="false">_xlfn.xlookup(AN1049,A:A,AF:AF)</f>
        <v>#NAME?</v>
      </c>
      <c r="AX1049" s="146"/>
      <c r="AY1049" s="150"/>
      <c r="AZ1049" s="150"/>
      <c r="BA1049" s="150"/>
      <c r="BB1049" s="146"/>
      <c r="BC1049" s="146"/>
      <c r="BD1049" s="151"/>
      <c r="BE1049" s="146"/>
      <c r="BF1049" s="146"/>
      <c r="BH1049" s="152" t="e">
        <f aca="false">_xlfn.xlookup(BG1049,A:A,F:F)</f>
        <v>#NAME?</v>
      </c>
      <c r="BI1049" s="153" t="e">
        <f aca="false">_xlfn.xlookup(BG1049,A:A,J:J)</f>
        <v>#NAME?</v>
      </c>
      <c r="BJ1049" s="153" t="e">
        <f aca="false">_xlfn.xlookup(BG1049,A:A,N:N)+_xlfn.xlookup(BG1049,A:A,O:O)</f>
        <v>#NAME?</v>
      </c>
      <c r="BK1049" s="153" t="e">
        <f aca="false">_xlfn.xlookup(BG1049,A998:A1992,AB998:AB1992)</f>
        <v>#NAME?</v>
      </c>
    </row>
    <row r="1050" s="153" customFormat="true" ht="15" hidden="false" customHeight="false" outlineLevel="0" collapsed="false">
      <c r="AN1050" s="153" t="e">
        <v>#NAME?</v>
      </c>
      <c r="AO1050" s="153" t="e">
        <f aca="false">_xlfn.xlookup(AN1050,A:A,F:F)</f>
        <v>#NAME?</v>
      </c>
      <c r="AP1050" s="153" t="e">
        <f aca="false">_xlfn.xlookup(AN1050,A:A,J:J)</f>
        <v>#NAME?</v>
      </c>
      <c r="AQ1050" s="153" t="e">
        <f aca="false">_xlfn.xlookup(AN1050,A:A,N:N)+_xlfn.xlookup(AN1050,A:A,O:O)</f>
        <v>#NAME?</v>
      </c>
      <c r="AR1050" s="150" t="e">
        <f aca="false">_xlfn.xlookup(AN1050,A:A,AH:AH)</f>
        <v>#NAME?</v>
      </c>
      <c r="AS1050" s="150" t="e">
        <f aca="false">_xlfn.xlookup(AN1050,A:A,S:S)</f>
        <v>#NAME?</v>
      </c>
      <c r="AT1050" s="150" t="e">
        <f aca="false">_xlfn.xlookup(AN1050,A:A,AE:AE)</f>
        <v>#NAME?</v>
      </c>
      <c r="AU1050" s="150" t="e">
        <f aca="false">_xlfn.xlookup(AN1050,A:A,AF:AF)</f>
        <v>#NAME?</v>
      </c>
      <c r="AX1050" s="146"/>
      <c r="AY1050" s="150"/>
      <c r="AZ1050" s="150"/>
      <c r="BA1050" s="150"/>
      <c r="BB1050" s="146"/>
      <c r="BC1050" s="146"/>
      <c r="BD1050" s="151"/>
      <c r="BE1050" s="146"/>
      <c r="BF1050" s="146"/>
      <c r="BH1050" s="152" t="e">
        <f aca="false">_xlfn.xlookup(BG1050,A:A,F:F)</f>
        <v>#NAME?</v>
      </c>
      <c r="BI1050" s="153" t="e">
        <f aca="false">_xlfn.xlookup(BG1050,A:A,J:J)</f>
        <v>#NAME?</v>
      </c>
      <c r="BJ1050" s="153" t="e">
        <f aca="false">_xlfn.xlookup(BG1050,A:A,N:N)+_xlfn.xlookup(BG1050,A:A,O:O)</f>
        <v>#NAME?</v>
      </c>
      <c r="BK1050" s="153" t="e">
        <f aca="false">_xlfn.xlookup(BG1050,A999:A1993,AB999:AB1993)</f>
        <v>#NAME?</v>
      </c>
    </row>
    <row r="1051" s="153" customFormat="true" ht="15" hidden="false" customHeight="false" outlineLevel="0" collapsed="false">
      <c r="AN1051" s="153" t="e">
        <v>#NAME?</v>
      </c>
      <c r="AO1051" s="153" t="e">
        <f aca="false">_xlfn.xlookup(AN1051,A:A,F:F)</f>
        <v>#NAME?</v>
      </c>
      <c r="AP1051" s="153" t="e">
        <f aca="false">_xlfn.xlookup(AN1051,A:A,J:J)</f>
        <v>#NAME?</v>
      </c>
      <c r="AQ1051" s="153" t="e">
        <f aca="false">_xlfn.xlookup(AN1051,A:A,N:N)+_xlfn.xlookup(AN1051,A:A,O:O)</f>
        <v>#NAME?</v>
      </c>
      <c r="AR1051" s="150" t="e">
        <f aca="false">_xlfn.xlookup(AN1051,A:A,AH:AH)</f>
        <v>#NAME?</v>
      </c>
      <c r="AS1051" s="150" t="e">
        <f aca="false">_xlfn.xlookup(AN1051,A:A,S:S)</f>
        <v>#NAME?</v>
      </c>
      <c r="AT1051" s="150" t="e">
        <f aca="false">_xlfn.xlookup(AN1051,A:A,AE:AE)</f>
        <v>#NAME?</v>
      </c>
      <c r="AU1051" s="150" t="e">
        <f aca="false">_xlfn.xlookup(AN1051,A:A,AF:AF)</f>
        <v>#NAME?</v>
      </c>
      <c r="AX1051" s="146"/>
      <c r="AY1051" s="150"/>
      <c r="AZ1051" s="150"/>
      <c r="BA1051" s="150"/>
      <c r="BB1051" s="146"/>
      <c r="BC1051" s="146"/>
      <c r="BD1051" s="151"/>
      <c r="BE1051" s="146"/>
      <c r="BF1051" s="146"/>
      <c r="BH1051" s="152" t="e">
        <f aca="false">_xlfn.xlookup(BG1051,A:A,F:F)</f>
        <v>#NAME?</v>
      </c>
      <c r="BI1051" s="153" t="e">
        <f aca="false">_xlfn.xlookup(BG1051,A:A,J:J)</f>
        <v>#NAME?</v>
      </c>
      <c r="BJ1051" s="153" t="e">
        <f aca="false">_xlfn.xlookup(BG1051,A:A,N:N)+_xlfn.xlookup(BG1051,A:A,O:O)</f>
        <v>#NAME?</v>
      </c>
      <c r="BK1051" s="153" t="e">
        <f aca="false">_xlfn.xlookup(BG1051,A1000:A1994,AB1000:AB1994)</f>
        <v>#NAME?</v>
      </c>
    </row>
    <row r="1052" s="153" customFormat="true" ht="15" hidden="false" customHeight="false" outlineLevel="0" collapsed="false">
      <c r="AN1052" s="153" t="e">
        <v>#NAME?</v>
      </c>
      <c r="AO1052" s="153" t="e">
        <f aca="false">_xlfn.xlookup(AN1052,A:A,F:F)</f>
        <v>#NAME?</v>
      </c>
      <c r="AP1052" s="153" t="e">
        <f aca="false">_xlfn.xlookup(AN1052,A:A,J:J)</f>
        <v>#NAME?</v>
      </c>
      <c r="AQ1052" s="153" t="e">
        <f aca="false">_xlfn.xlookup(AN1052,A:A,N:N)+_xlfn.xlookup(AN1052,A:A,O:O)</f>
        <v>#NAME?</v>
      </c>
      <c r="AR1052" s="150" t="e">
        <f aca="false">_xlfn.xlookup(AN1052,A:A,AH:AH)</f>
        <v>#NAME?</v>
      </c>
      <c r="AS1052" s="150" t="e">
        <f aca="false">_xlfn.xlookup(AN1052,A:A,S:S)</f>
        <v>#NAME?</v>
      </c>
      <c r="AT1052" s="150" t="e">
        <f aca="false">_xlfn.xlookup(AN1052,A:A,AE:AE)</f>
        <v>#NAME?</v>
      </c>
      <c r="AU1052" s="150" t="e">
        <f aca="false">_xlfn.xlookup(AN1052,A:A,AF:AF)</f>
        <v>#NAME?</v>
      </c>
      <c r="AX1052" s="146"/>
      <c r="AY1052" s="150"/>
      <c r="AZ1052" s="150"/>
      <c r="BA1052" s="150"/>
      <c r="BB1052" s="146"/>
      <c r="BC1052" s="146"/>
      <c r="BD1052" s="151"/>
      <c r="BE1052" s="146"/>
      <c r="BF1052" s="146"/>
      <c r="BH1052" s="152" t="e">
        <f aca="false">_xlfn.xlookup(BG1052,A:A,F:F)</f>
        <v>#NAME?</v>
      </c>
      <c r="BI1052" s="153" t="e">
        <f aca="false">_xlfn.xlookup(BG1052,A:A,J:J)</f>
        <v>#NAME?</v>
      </c>
      <c r="BJ1052" s="153" t="e">
        <f aca="false">_xlfn.xlookup(BG1052,A:A,N:N)+_xlfn.xlookup(BG1052,A:A,O:O)</f>
        <v>#NAME?</v>
      </c>
      <c r="BK1052" s="153" t="e">
        <f aca="false">_xlfn.xlookup(BG1052,A1001:A1995,AB1001:AB1995)</f>
        <v>#NAME?</v>
      </c>
    </row>
    <row r="1053" s="153" customFormat="true" ht="15" hidden="false" customHeight="false" outlineLevel="0" collapsed="false">
      <c r="AN1053" s="153" t="e">
        <v>#NAME?</v>
      </c>
      <c r="AO1053" s="153" t="e">
        <f aca="false">_xlfn.xlookup(AN1053,A:A,F:F)</f>
        <v>#NAME?</v>
      </c>
      <c r="AP1053" s="153" t="e">
        <f aca="false">_xlfn.xlookup(AN1053,A:A,J:J)</f>
        <v>#NAME?</v>
      </c>
      <c r="AQ1053" s="153" t="e">
        <f aca="false">_xlfn.xlookup(AN1053,A:A,N:N)+_xlfn.xlookup(AN1053,A:A,O:O)</f>
        <v>#NAME?</v>
      </c>
      <c r="AR1053" s="150" t="e">
        <f aca="false">_xlfn.xlookup(AN1053,A:A,AH:AH)</f>
        <v>#NAME?</v>
      </c>
      <c r="AS1053" s="150" t="e">
        <f aca="false">_xlfn.xlookup(AN1053,A:A,S:S)</f>
        <v>#NAME?</v>
      </c>
      <c r="AT1053" s="150" t="e">
        <f aca="false">_xlfn.xlookup(AN1053,A:A,AE:AE)</f>
        <v>#NAME?</v>
      </c>
      <c r="AU1053" s="150" t="e">
        <f aca="false">_xlfn.xlookup(AN1053,A:A,AF:AF)</f>
        <v>#NAME?</v>
      </c>
      <c r="AX1053" s="146"/>
      <c r="AY1053" s="150"/>
      <c r="AZ1053" s="150"/>
      <c r="BA1053" s="150"/>
      <c r="BB1053" s="146"/>
      <c r="BC1053" s="146"/>
      <c r="BD1053" s="151"/>
      <c r="BE1053" s="146"/>
      <c r="BF1053" s="146"/>
      <c r="BH1053" s="152" t="e">
        <f aca="false">_xlfn.xlookup(BG1053,A:A,F:F)</f>
        <v>#NAME?</v>
      </c>
      <c r="BI1053" s="153" t="e">
        <f aca="false">_xlfn.xlookup(BG1053,A:A,J:J)</f>
        <v>#NAME?</v>
      </c>
      <c r="BJ1053" s="153" t="e">
        <f aca="false">_xlfn.xlookup(BG1053,A:A,N:N)+_xlfn.xlookup(BG1053,A:A,O:O)</f>
        <v>#NAME?</v>
      </c>
      <c r="BK1053" s="153" t="e">
        <f aca="false">_xlfn.xlookup(BG1053,A1002:A1996,AB1002:AB1996)</f>
        <v>#NAME?</v>
      </c>
    </row>
    <row r="1054" s="153" customFormat="true" ht="15" hidden="false" customHeight="false" outlineLevel="0" collapsed="false">
      <c r="AN1054" s="153" t="e">
        <v>#NAME?</v>
      </c>
      <c r="AO1054" s="153" t="e">
        <f aca="false">_xlfn.xlookup(AN1054,A:A,F:F)</f>
        <v>#NAME?</v>
      </c>
      <c r="AP1054" s="153" t="e">
        <f aca="false">_xlfn.xlookup(AN1054,A:A,J:J)</f>
        <v>#NAME?</v>
      </c>
      <c r="AQ1054" s="153" t="e">
        <f aca="false">_xlfn.xlookup(AN1054,A:A,N:N)+_xlfn.xlookup(AN1054,A:A,O:O)</f>
        <v>#NAME?</v>
      </c>
      <c r="AR1054" s="150" t="e">
        <f aca="false">_xlfn.xlookup(AN1054,A:A,AH:AH)</f>
        <v>#NAME?</v>
      </c>
      <c r="AS1054" s="150" t="e">
        <f aca="false">_xlfn.xlookup(AN1054,A:A,S:S)</f>
        <v>#NAME?</v>
      </c>
      <c r="AT1054" s="150" t="e">
        <f aca="false">_xlfn.xlookup(AN1054,A:A,AE:AE)</f>
        <v>#NAME?</v>
      </c>
      <c r="AU1054" s="150" t="e">
        <f aca="false">_xlfn.xlookup(AN1054,A:A,AF:AF)</f>
        <v>#NAME?</v>
      </c>
      <c r="AX1054" s="146"/>
      <c r="AY1054" s="150"/>
      <c r="AZ1054" s="150"/>
      <c r="BA1054" s="150"/>
      <c r="BB1054" s="146"/>
      <c r="BC1054" s="146"/>
      <c r="BD1054" s="151"/>
      <c r="BE1054" s="146"/>
      <c r="BF1054" s="146"/>
      <c r="BH1054" s="152" t="e">
        <f aca="false">_xlfn.xlookup(BG1054,A:A,F:F)</f>
        <v>#NAME?</v>
      </c>
      <c r="BI1054" s="153" t="e">
        <f aca="false">_xlfn.xlookup(BG1054,A:A,J:J)</f>
        <v>#NAME?</v>
      </c>
      <c r="BJ1054" s="153" t="e">
        <f aca="false">_xlfn.xlookup(BG1054,A:A,N:N)+_xlfn.xlookup(BG1054,A:A,O:O)</f>
        <v>#NAME?</v>
      </c>
      <c r="BK1054" s="153" t="e">
        <f aca="false">_xlfn.xlookup(BG1054,A1003:A1997,AB1003:AB1997)</f>
        <v>#NAME?</v>
      </c>
    </row>
    <row r="1055" s="153" customFormat="true" ht="15" hidden="false" customHeight="false" outlineLevel="0" collapsed="false">
      <c r="AN1055" s="153" t="e">
        <v>#NAME?</v>
      </c>
      <c r="AO1055" s="153" t="e">
        <f aca="false">_xlfn.xlookup(AN1055,A:A,F:F)</f>
        <v>#NAME?</v>
      </c>
      <c r="AP1055" s="153" t="e">
        <f aca="false">_xlfn.xlookup(AN1055,A:A,J:J)</f>
        <v>#NAME?</v>
      </c>
      <c r="AQ1055" s="153" t="e">
        <f aca="false">_xlfn.xlookup(AN1055,A:A,N:N)+_xlfn.xlookup(AN1055,A:A,O:O)</f>
        <v>#NAME?</v>
      </c>
      <c r="AR1055" s="150" t="e">
        <f aca="false">_xlfn.xlookup(AN1055,A:A,AH:AH)</f>
        <v>#NAME?</v>
      </c>
      <c r="AS1055" s="150" t="e">
        <f aca="false">_xlfn.xlookup(AN1055,A:A,S:S)</f>
        <v>#NAME?</v>
      </c>
      <c r="AT1055" s="150" t="e">
        <f aca="false">_xlfn.xlookup(AN1055,A:A,AE:AE)</f>
        <v>#NAME?</v>
      </c>
      <c r="AU1055" s="150" t="e">
        <f aca="false">_xlfn.xlookup(AN1055,A:A,AF:AF)</f>
        <v>#NAME?</v>
      </c>
      <c r="AX1055" s="146"/>
      <c r="AY1055" s="150"/>
      <c r="AZ1055" s="150"/>
      <c r="BA1055" s="150"/>
      <c r="BB1055" s="146"/>
      <c r="BC1055" s="146"/>
      <c r="BD1055" s="151"/>
      <c r="BE1055" s="146"/>
      <c r="BF1055" s="146"/>
      <c r="BH1055" s="152" t="e">
        <f aca="false">_xlfn.xlookup(BG1055,A:A,F:F)</f>
        <v>#NAME?</v>
      </c>
      <c r="BI1055" s="153" t="e">
        <f aca="false">_xlfn.xlookup(BG1055,A:A,J:J)</f>
        <v>#NAME?</v>
      </c>
      <c r="BJ1055" s="153" t="e">
        <f aca="false">_xlfn.xlookup(BG1055,A:A,N:N)+_xlfn.xlookup(BG1055,A:A,O:O)</f>
        <v>#NAME?</v>
      </c>
      <c r="BK1055" s="153" t="e">
        <f aca="false">_xlfn.xlookup(BG1055,A1004:A1998,AB1004:AB1998)</f>
        <v>#NAME?</v>
      </c>
    </row>
    <row r="1056" s="153" customFormat="true" ht="15" hidden="false" customHeight="false" outlineLevel="0" collapsed="false">
      <c r="AN1056" s="153" t="e">
        <v>#NAME?</v>
      </c>
      <c r="AO1056" s="153" t="e">
        <f aca="false">_xlfn.xlookup(AN1056,A:A,F:F)</f>
        <v>#NAME?</v>
      </c>
      <c r="AP1056" s="153" t="e">
        <f aca="false">_xlfn.xlookup(AN1056,A:A,J:J)</f>
        <v>#NAME?</v>
      </c>
      <c r="AQ1056" s="153" t="e">
        <f aca="false">_xlfn.xlookup(AN1056,A:A,N:N)+_xlfn.xlookup(AN1056,A:A,O:O)</f>
        <v>#NAME?</v>
      </c>
      <c r="AR1056" s="150" t="e">
        <f aca="false">_xlfn.xlookup(AN1056,A:A,AH:AH)</f>
        <v>#NAME?</v>
      </c>
      <c r="AS1056" s="150" t="e">
        <f aca="false">_xlfn.xlookup(AN1056,A:A,S:S)</f>
        <v>#NAME?</v>
      </c>
      <c r="AT1056" s="150" t="e">
        <f aca="false">_xlfn.xlookup(AN1056,A:A,AE:AE)</f>
        <v>#NAME?</v>
      </c>
      <c r="AU1056" s="150" t="e">
        <f aca="false">_xlfn.xlookup(AN1056,A:A,AF:AF)</f>
        <v>#NAME?</v>
      </c>
      <c r="AX1056" s="146"/>
      <c r="AY1056" s="150"/>
      <c r="AZ1056" s="150"/>
      <c r="BA1056" s="150"/>
      <c r="BB1056" s="146"/>
      <c r="BC1056" s="146"/>
      <c r="BD1056" s="151"/>
      <c r="BE1056" s="146"/>
      <c r="BF1056" s="146"/>
      <c r="BH1056" s="152" t="e">
        <f aca="false">_xlfn.xlookup(BG1056,A:A,E:E)</f>
        <v>#NAME?</v>
      </c>
      <c r="BI1056" s="153" t="e">
        <f aca="false">_xlfn.xlookup(BG1056,A:A,J:J)</f>
        <v>#NAME?</v>
      </c>
      <c r="BJ1056" s="153" t="e">
        <f aca="false">_xlfn.xlookup(BG1056,A:A,N:N)+_xlfn.xlookup(BG1056,A:A,O:O)</f>
        <v>#NAME?</v>
      </c>
    </row>
    <row r="1057" s="153" customFormat="true" ht="15" hidden="false" customHeight="false" outlineLevel="0" collapsed="false">
      <c r="AN1057" s="153" t="e">
        <v>#NAME?</v>
      </c>
      <c r="AO1057" s="153" t="e">
        <f aca="false">_xlfn.xlookup(AN1057,A:A,F:F)</f>
        <v>#NAME?</v>
      </c>
      <c r="AP1057" s="153" t="e">
        <f aca="false">_xlfn.xlookup(AN1057,A:A,J:J)</f>
        <v>#NAME?</v>
      </c>
      <c r="AQ1057" s="153" t="e">
        <f aca="false">_xlfn.xlookup(AN1057,A:A,N:N)+_xlfn.xlookup(AN1057,A:A,O:O)</f>
        <v>#NAME?</v>
      </c>
      <c r="AR1057" s="150" t="e">
        <f aca="false">_xlfn.xlookup(AN1057,A:A,AH:AH)</f>
        <v>#NAME?</v>
      </c>
      <c r="AS1057" s="150" t="e">
        <f aca="false">_xlfn.xlookup(AN1057,A:A,S:S)</f>
        <v>#NAME?</v>
      </c>
      <c r="AT1057" s="150" t="e">
        <f aca="false">_xlfn.xlookup(AN1057,A:A,AE:AE)</f>
        <v>#NAME?</v>
      </c>
      <c r="AU1057" s="150" t="e">
        <f aca="false">_xlfn.xlookup(AN1057,A:A,AF:AF)</f>
        <v>#NAME?</v>
      </c>
      <c r="AX1057" s="146"/>
      <c r="AY1057" s="150"/>
      <c r="AZ1057" s="150"/>
      <c r="BA1057" s="150"/>
      <c r="BB1057" s="146"/>
      <c r="BC1057" s="146"/>
      <c r="BD1057" s="151"/>
      <c r="BE1057" s="146"/>
      <c r="BF1057" s="146"/>
      <c r="BH1057" s="152" t="e">
        <f aca="false">_xlfn.xlookup(BG1057,A:A,E:E)</f>
        <v>#NAME?</v>
      </c>
      <c r="BI1057" s="153" t="e">
        <f aca="false">_xlfn.xlookup(BG1057,A:A,J:J)</f>
        <v>#NAME?</v>
      </c>
      <c r="BJ1057" s="153" t="e">
        <f aca="false">_xlfn.xlookup(BG1057,A:A,N:N)+_xlfn.xlookup(BG1057,A:A,O:O)</f>
        <v>#NAME?</v>
      </c>
    </row>
    <row r="1058" s="153" customFormat="true" ht="15" hidden="false" customHeight="false" outlineLevel="0" collapsed="false">
      <c r="AN1058" s="153" t="e">
        <v>#NAME?</v>
      </c>
      <c r="AO1058" s="153" t="e">
        <f aca="false">_xlfn.xlookup(AN1058,A:A,F:F)</f>
        <v>#NAME?</v>
      </c>
      <c r="AP1058" s="153" t="e">
        <f aca="false">_xlfn.xlookup(AN1058,A:A,J:J)</f>
        <v>#NAME?</v>
      </c>
      <c r="AQ1058" s="153" t="e">
        <f aca="false">_xlfn.xlookup(AN1058,A:A,N:N)+_xlfn.xlookup(AN1058,A:A,O:O)</f>
        <v>#NAME?</v>
      </c>
      <c r="AR1058" s="150" t="e">
        <f aca="false">_xlfn.xlookup(AN1058,A:A,AH:AH)</f>
        <v>#NAME?</v>
      </c>
      <c r="AS1058" s="150" t="e">
        <f aca="false">_xlfn.xlookup(AN1058,A:A,S:S)</f>
        <v>#NAME?</v>
      </c>
      <c r="AT1058" s="150" t="e">
        <f aca="false">_xlfn.xlookup(AN1058,A:A,AE:AE)</f>
        <v>#NAME?</v>
      </c>
      <c r="AU1058" s="150" t="e">
        <f aca="false">_xlfn.xlookup(AN1058,A:A,AF:AF)</f>
        <v>#NAME?</v>
      </c>
      <c r="AX1058" s="146"/>
      <c r="AY1058" s="150"/>
      <c r="AZ1058" s="150"/>
      <c r="BA1058" s="150"/>
      <c r="BB1058" s="146"/>
      <c r="BC1058" s="146"/>
      <c r="BD1058" s="151"/>
      <c r="BE1058" s="146"/>
      <c r="BF1058" s="146"/>
      <c r="BH1058" s="152" t="e">
        <f aca="false">_xlfn.xlookup(BG1058,A:A,E:E)</f>
        <v>#NAME?</v>
      </c>
      <c r="BI1058" s="153" t="e">
        <f aca="false">_xlfn.xlookup(BG1058,A:A,J:J)</f>
        <v>#NAME?</v>
      </c>
      <c r="BJ1058" s="153" t="e">
        <f aca="false">_xlfn.xlookup(BG1058,A:A,N:N)+_xlfn.xlookup(BG1058,A:A,O:O)</f>
        <v>#NAME?</v>
      </c>
    </row>
    <row r="1059" s="153" customFormat="true" ht="15" hidden="false" customHeight="false" outlineLevel="0" collapsed="false">
      <c r="AN1059" s="153" t="e">
        <v>#NAME?</v>
      </c>
      <c r="AO1059" s="153" t="e">
        <f aca="false">_xlfn.xlookup(AN1059,A:A,F:F)</f>
        <v>#NAME?</v>
      </c>
      <c r="AP1059" s="153" t="e">
        <f aca="false">_xlfn.xlookup(AN1059,A:A,J:J)</f>
        <v>#NAME?</v>
      </c>
      <c r="AQ1059" s="153" t="e">
        <f aca="false">_xlfn.xlookup(AN1059,A:A,N:N)+_xlfn.xlookup(AN1059,A:A,O:O)</f>
        <v>#NAME?</v>
      </c>
      <c r="AR1059" s="150" t="e">
        <f aca="false">_xlfn.xlookup(AN1059,A:A,AH:AH)</f>
        <v>#NAME?</v>
      </c>
      <c r="AS1059" s="150" t="e">
        <f aca="false">_xlfn.xlookup(AN1059,A:A,S:S)</f>
        <v>#NAME?</v>
      </c>
      <c r="AT1059" s="150" t="e">
        <f aca="false">_xlfn.xlookup(AN1059,A:A,AE:AE)</f>
        <v>#NAME?</v>
      </c>
      <c r="AU1059" s="150" t="e">
        <f aca="false">_xlfn.xlookup(AN1059,A:A,AF:AF)</f>
        <v>#NAME?</v>
      </c>
      <c r="AX1059" s="146"/>
      <c r="AY1059" s="150"/>
      <c r="AZ1059" s="150"/>
      <c r="BA1059" s="150"/>
      <c r="BB1059" s="146"/>
      <c r="BC1059" s="146"/>
      <c r="BD1059" s="151"/>
      <c r="BE1059" s="146"/>
      <c r="BF1059" s="146"/>
      <c r="BH1059" s="152" t="e">
        <f aca="false">_xlfn.xlookup(BG1059,A:A,E:E)</f>
        <v>#NAME?</v>
      </c>
      <c r="BI1059" s="153" t="e">
        <f aca="false">_xlfn.xlookup(BG1059,A:A,J:J)</f>
        <v>#NAME?</v>
      </c>
      <c r="BJ1059" s="153" t="e">
        <f aca="false">_xlfn.xlookup(BG1059,A:A,N:N)+_xlfn.xlookup(BG1059,A:A,O:O)</f>
        <v>#NAME?</v>
      </c>
    </row>
    <row r="1060" s="153" customFormat="true" ht="15" hidden="false" customHeight="false" outlineLevel="0" collapsed="false">
      <c r="AN1060" s="153" t="e">
        <v>#NAME?</v>
      </c>
      <c r="AO1060" s="153" t="e">
        <f aca="false">_xlfn.xlookup(AN1060,A:A,F:F)</f>
        <v>#NAME?</v>
      </c>
      <c r="AP1060" s="153" t="e">
        <f aca="false">_xlfn.xlookup(AN1060,A:A,J:J)</f>
        <v>#NAME?</v>
      </c>
      <c r="AQ1060" s="153" t="e">
        <f aca="false">_xlfn.xlookup(AN1060,A:A,N:N)+_xlfn.xlookup(AN1060,A:A,O:O)</f>
        <v>#NAME?</v>
      </c>
      <c r="AR1060" s="150" t="e">
        <f aca="false">_xlfn.xlookup(AN1060,A:A,AH:AH)</f>
        <v>#NAME?</v>
      </c>
      <c r="AS1060" s="150" t="e">
        <f aca="false">_xlfn.xlookup(AN1060,A:A,S:S)</f>
        <v>#NAME?</v>
      </c>
      <c r="AT1060" s="150" t="e">
        <f aca="false">_xlfn.xlookup(AN1060,A:A,AE:AE)</f>
        <v>#NAME?</v>
      </c>
      <c r="AU1060" s="150" t="e">
        <f aca="false">_xlfn.xlookup(AN1060,A:A,AF:AF)</f>
        <v>#NAME?</v>
      </c>
      <c r="AX1060" s="146"/>
      <c r="AY1060" s="150"/>
      <c r="AZ1060" s="150"/>
      <c r="BA1060" s="150"/>
      <c r="BB1060" s="146"/>
      <c r="BC1060" s="146"/>
      <c r="BD1060" s="151"/>
      <c r="BE1060" s="146"/>
      <c r="BF1060" s="146"/>
      <c r="BH1060" s="152" t="e">
        <f aca="false">_xlfn.xlookup(BG1060,A:A,E:E)</f>
        <v>#NAME?</v>
      </c>
      <c r="BI1060" s="153" t="e">
        <f aca="false">_xlfn.xlookup(BG1060,A:A,J:J)</f>
        <v>#NAME?</v>
      </c>
      <c r="BJ1060" s="153" t="e">
        <f aca="false">_xlfn.xlookup(BG1060,A:A,N:N)+_xlfn.xlookup(BG1060,A:A,O:O)</f>
        <v>#NAME?</v>
      </c>
    </row>
    <row r="1061" s="153" customFormat="true" ht="15" hidden="false" customHeight="false" outlineLevel="0" collapsed="false">
      <c r="AN1061" s="153" t="e">
        <v>#NAME?</v>
      </c>
      <c r="AO1061" s="153" t="e">
        <f aca="false">_xlfn.xlookup(AN1061,A:A,F:F)</f>
        <v>#NAME?</v>
      </c>
      <c r="AP1061" s="153" t="e">
        <f aca="false">_xlfn.xlookup(AN1061,A:A,J:J)</f>
        <v>#NAME?</v>
      </c>
      <c r="AQ1061" s="153" t="e">
        <f aca="false">_xlfn.xlookup(AN1061,A:A,N:N)+_xlfn.xlookup(AN1061,A:A,O:O)</f>
        <v>#NAME?</v>
      </c>
      <c r="AR1061" s="150" t="e">
        <f aca="false">_xlfn.xlookup(AN1061,A:A,AH:AH)</f>
        <v>#NAME?</v>
      </c>
      <c r="AS1061" s="150" t="e">
        <f aca="false">_xlfn.xlookup(AN1061,A:A,S:S)</f>
        <v>#NAME?</v>
      </c>
      <c r="AT1061" s="150" t="e">
        <f aca="false">_xlfn.xlookup(AN1061,A:A,AE:AE)</f>
        <v>#NAME?</v>
      </c>
      <c r="AU1061" s="150" t="e">
        <f aca="false">_xlfn.xlookup(AN1061,A:A,AF:AF)</f>
        <v>#NAME?</v>
      </c>
      <c r="AX1061" s="146"/>
      <c r="AY1061" s="150"/>
      <c r="AZ1061" s="150"/>
      <c r="BA1061" s="150"/>
      <c r="BB1061" s="146"/>
      <c r="BC1061" s="146"/>
      <c r="BD1061" s="151"/>
      <c r="BE1061" s="146"/>
      <c r="BF1061" s="146"/>
      <c r="BH1061" s="152" t="e">
        <f aca="false">_xlfn.xlookup(BG1061,A:A,E:E)</f>
        <v>#NAME?</v>
      </c>
      <c r="BI1061" s="153" t="e">
        <f aca="false">_xlfn.xlookup(BG1061,A:A,J:J)</f>
        <v>#NAME?</v>
      </c>
      <c r="BJ1061" s="153" t="e">
        <f aca="false">_xlfn.xlookup(BG1061,A:A,N:N)+_xlfn.xlookup(BG1061,A:A,O:O)</f>
        <v>#NAME?</v>
      </c>
    </row>
    <row r="1062" s="153" customFormat="true" ht="15" hidden="false" customHeight="false" outlineLevel="0" collapsed="false">
      <c r="AN1062" s="153" t="e">
        <v>#NAME?</v>
      </c>
      <c r="AO1062" s="153" t="e">
        <f aca="false">_xlfn.xlookup(AN1062,A:A,F:F)</f>
        <v>#NAME?</v>
      </c>
      <c r="AP1062" s="153" t="e">
        <f aca="false">_xlfn.xlookup(AN1062,A:A,J:J)</f>
        <v>#NAME?</v>
      </c>
      <c r="AQ1062" s="153" t="e">
        <f aca="false">_xlfn.xlookup(AN1062,A:A,N:N)+_xlfn.xlookup(AN1062,A:A,O:O)</f>
        <v>#NAME?</v>
      </c>
      <c r="AR1062" s="150" t="e">
        <f aca="false">_xlfn.xlookup(AN1062,A:A,AH:AH)</f>
        <v>#NAME?</v>
      </c>
      <c r="AS1062" s="150" t="e">
        <f aca="false">_xlfn.xlookup(AN1062,A:A,S:S)</f>
        <v>#NAME?</v>
      </c>
      <c r="AT1062" s="150" t="e">
        <f aca="false">_xlfn.xlookup(AN1062,A:A,AE:AE)</f>
        <v>#NAME?</v>
      </c>
      <c r="AU1062" s="150" t="e">
        <f aca="false">_xlfn.xlookup(AN1062,A:A,AF:AF)</f>
        <v>#NAME?</v>
      </c>
      <c r="AX1062" s="146"/>
      <c r="AY1062" s="150"/>
      <c r="AZ1062" s="150"/>
      <c r="BA1062" s="150"/>
      <c r="BB1062" s="146"/>
      <c r="BC1062" s="146"/>
      <c r="BD1062" s="151"/>
      <c r="BE1062" s="146"/>
      <c r="BF1062" s="146"/>
      <c r="BH1062" s="152" t="e">
        <f aca="false">_xlfn.xlookup(BG1062,A:A,E:E)</f>
        <v>#NAME?</v>
      </c>
      <c r="BI1062" s="153" t="e">
        <f aca="false">_xlfn.xlookup(BG1062,A:A,J:J)</f>
        <v>#NAME?</v>
      </c>
      <c r="BJ1062" s="153" t="e">
        <f aca="false">_xlfn.xlookup(BG1062,A:A,N:N)+_xlfn.xlookup(BG1062,A:A,O:O)</f>
        <v>#NAME?</v>
      </c>
    </row>
    <row r="1063" s="153" customFormat="true" ht="15" hidden="false" customHeight="false" outlineLevel="0" collapsed="false">
      <c r="AN1063" s="153" t="e">
        <v>#NAME?</v>
      </c>
      <c r="AO1063" s="153" t="e">
        <f aca="false">_xlfn.xlookup(AN1063,A:A,F:F)</f>
        <v>#NAME?</v>
      </c>
      <c r="AP1063" s="153" t="e">
        <f aca="false">_xlfn.xlookup(AN1063,A:A,J:J)</f>
        <v>#NAME?</v>
      </c>
      <c r="AQ1063" s="153" t="e">
        <f aca="false">_xlfn.xlookup(AN1063,A:A,N:N)+_xlfn.xlookup(AN1063,A:A,O:O)</f>
        <v>#NAME?</v>
      </c>
      <c r="AR1063" s="150" t="e">
        <f aca="false">_xlfn.xlookup(AN1063,A:A,AH:AH)</f>
        <v>#NAME?</v>
      </c>
      <c r="AS1063" s="150" t="e">
        <f aca="false">_xlfn.xlookup(AN1063,A:A,S:S)</f>
        <v>#NAME?</v>
      </c>
      <c r="AT1063" s="150" t="e">
        <f aca="false">_xlfn.xlookup(AN1063,A:A,AE:AE)</f>
        <v>#NAME?</v>
      </c>
      <c r="AU1063" s="150" t="e">
        <f aca="false">_xlfn.xlookup(AN1063,A:A,AF:AF)</f>
        <v>#NAME?</v>
      </c>
      <c r="AX1063" s="146"/>
      <c r="AY1063" s="150"/>
      <c r="AZ1063" s="150"/>
      <c r="BA1063" s="150"/>
      <c r="BB1063" s="146"/>
      <c r="BC1063" s="146"/>
      <c r="BD1063" s="151"/>
      <c r="BE1063" s="146"/>
      <c r="BF1063" s="146"/>
      <c r="BH1063" s="152" t="e">
        <f aca="false">_xlfn.xlookup(BG1063,A:A,E:E)</f>
        <v>#NAME?</v>
      </c>
      <c r="BI1063" s="153" t="e">
        <f aca="false">_xlfn.xlookup(BG1063,A:A,J:J)</f>
        <v>#NAME?</v>
      </c>
      <c r="BJ1063" s="153" t="e">
        <f aca="false">_xlfn.xlookup(BG1063,A:A,N:N)+_xlfn.xlookup(BG1063,A:A,O:O)</f>
        <v>#NAME?</v>
      </c>
    </row>
    <row r="1064" s="153" customFormat="true" ht="15" hidden="false" customHeight="false" outlineLevel="0" collapsed="false">
      <c r="AN1064" s="153" t="e">
        <v>#NAME?</v>
      </c>
      <c r="AO1064" s="153" t="e">
        <f aca="false">_xlfn.xlookup(AN1064,A:A,F:F)</f>
        <v>#NAME?</v>
      </c>
      <c r="AP1064" s="153" t="e">
        <f aca="false">_xlfn.xlookup(AN1064,A:A,J:J)</f>
        <v>#NAME?</v>
      </c>
      <c r="AQ1064" s="153" t="e">
        <f aca="false">_xlfn.xlookup(AN1064,A:A,N:N)+_xlfn.xlookup(AN1064,A:A,O:O)</f>
        <v>#NAME?</v>
      </c>
      <c r="AR1064" s="150" t="e">
        <f aca="false">_xlfn.xlookup(AN1064,A:A,AH:AH)</f>
        <v>#NAME?</v>
      </c>
      <c r="AS1064" s="150" t="e">
        <f aca="false">_xlfn.xlookup(AN1064,A:A,S:S)</f>
        <v>#NAME?</v>
      </c>
      <c r="AT1064" s="150" t="e">
        <f aca="false">_xlfn.xlookup(AN1064,A:A,AE:AE)</f>
        <v>#NAME?</v>
      </c>
      <c r="AU1064" s="150" t="e">
        <f aca="false">_xlfn.xlookup(AN1064,A:A,AF:AF)</f>
        <v>#NAME?</v>
      </c>
      <c r="AX1064" s="146"/>
      <c r="AY1064" s="150"/>
      <c r="AZ1064" s="150"/>
      <c r="BA1064" s="150"/>
      <c r="BB1064" s="146"/>
      <c r="BC1064" s="146"/>
      <c r="BD1064" s="151"/>
      <c r="BE1064" s="146"/>
      <c r="BF1064" s="146"/>
      <c r="BH1064" s="152" t="e">
        <f aca="false">_xlfn.xlookup(BG1064,A:A,E:E)</f>
        <v>#NAME?</v>
      </c>
      <c r="BI1064" s="153" t="e">
        <f aca="false">_xlfn.xlookup(BG1064,A:A,J:J)</f>
        <v>#NAME?</v>
      </c>
      <c r="BJ1064" s="153" t="e">
        <f aca="false">_xlfn.xlookup(BG1064,A:A,N:N)+_xlfn.xlookup(BG1064,A:A,O:O)</f>
        <v>#NAME?</v>
      </c>
    </row>
    <row r="1065" s="153" customFormat="true" ht="15" hidden="false" customHeight="false" outlineLevel="0" collapsed="false">
      <c r="AN1065" s="153" t="e">
        <v>#NAME?</v>
      </c>
      <c r="AO1065" s="153" t="e">
        <f aca="false">_xlfn.xlookup(AN1065,A:A,F:F)</f>
        <v>#NAME?</v>
      </c>
      <c r="AP1065" s="153" t="e">
        <f aca="false">_xlfn.xlookup(AN1065,A:A,J:J)</f>
        <v>#NAME?</v>
      </c>
      <c r="AQ1065" s="153" t="e">
        <f aca="false">_xlfn.xlookup(AN1065,A:A,N:N)+_xlfn.xlookup(AN1065,A:A,O:O)</f>
        <v>#NAME?</v>
      </c>
      <c r="AR1065" s="150" t="e">
        <f aca="false">_xlfn.xlookup(AN1065,A:A,AH:AH)</f>
        <v>#NAME?</v>
      </c>
      <c r="AS1065" s="150" t="e">
        <f aca="false">_xlfn.xlookup(AN1065,A:A,S:S)</f>
        <v>#NAME?</v>
      </c>
      <c r="AT1065" s="150" t="e">
        <f aca="false">_xlfn.xlookup(AN1065,A:A,AE:AE)</f>
        <v>#NAME?</v>
      </c>
      <c r="AU1065" s="150" t="e">
        <f aca="false">_xlfn.xlookup(AN1065,A:A,AF:AF)</f>
        <v>#NAME?</v>
      </c>
      <c r="AX1065" s="146"/>
      <c r="AY1065" s="150"/>
      <c r="AZ1065" s="150"/>
      <c r="BA1065" s="150"/>
      <c r="BB1065" s="146"/>
      <c r="BC1065" s="146"/>
      <c r="BD1065" s="151"/>
      <c r="BE1065" s="146"/>
      <c r="BF1065" s="146"/>
      <c r="BH1065" s="152" t="e">
        <f aca="false">_xlfn.xlookup(BG1065,A:A,E:E)</f>
        <v>#NAME?</v>
      </c>
      <c r="BI1065" s="153" t="e">
        <f aca="false">_xlfn.xlookup(BG1065,A:A,J:J)</f>
        <v>#NAME?</v>
      </c>
      <c r="BJ1065" s="153" t="e">
        <f aca="false">_xlfn.xlookup(BG1065,A:A,N:N)+_xlfn.xlookup(BG1065,A:A,O:O)</f>
        <v>#NAME?</v>
      </c>
    </row>
    <row r="1066" s="153" customFormat="true" ht="15" hidden="false" customHeight="false" outlineLevel="0" collapsed="false">
      <c r="AN1066" s="153" t="e">
        <v>#NAME?</v>
      </c>
      <c r="AO1066" s="153" t="e">
        <f aca="false">_xlfn.xlookup(AN1066,A:A,F:F)</f>
        <v>#NAME?</v>
      </c>
      <c r="AP1066" s="153" t="e">
        <f aca="false">_xlfn.xlookup(AN1066,A:A,J:J)</f>
        <v>#NAME?</v>
      </c>
      <c r="AQ1066" s="153" t="e">
        <f aca="false">_xlfn.xlookup(AN1066,A:A,N:N)+_xlfn.xlookup(AN1066,A:A,O:O)</f>
        <v>#NAME?</v>
      </c>
      <c r="AR1066" s="150" t="e">
        <f aca="false">_xlfn.xlookup(AN1066,A:A,AH:AH)</f>
        <v>#NAME?</v>
      </c>
      <c r="AS1066" s="150" t="e">
        <f aca="false">_xlfn.xlookup(AN1066,A:A,S:S)</f>
        <v>#NAME?</v>
      </c>
      <c r="AT1066" s="150" t="e">
        <f aca="false">_xlfn.xlookup(AN1066,A:A,AE:AE)</f>
        <v>#NAME?</v>
      </c>
      <c r="AU1066" s="150" t="e">
        <f aca="false">_xlfn.xlookup(AN1066,A:A,AF:AF)</f>
        <v>#NAME?</v>
      </c>
      <c r="AX1066" s="146"/>
      <c r="AY1066" s="150"/>
      <c r="AZ1066" s="150"/>
      <c r="BA1066" s="150"/>
      <c r="BB1066" s="146"/>
      <c r="BC1066" s="146"/>
      <c r="BD1066" s="151"/>
      <c r="BE1066" s="146"/>
      <c r="BF1066" s="146"/>
      <c r="BH1066" s="152" t="e">
        <f aca="false">_xlfn.xlookup(BG1066,A:A,E:E)</f>
        <v>#NAME?</v>
      </c>
      <c r="BI1066" s="153" t="e">
        <f aca="false">_xlfn.xlookup(BG1066,A:A,J:J)</f>
        <v>#NAME?</v>
      </c>
      <c r="BJ1066" s="153" t="e">
        <f aca="false">_xlfn.xlookup(BG1066,A:A,N:N)+_xlfn.xlookup(BG1066,A:A,O:O)</f>
        <v>#NAME?</v>
      </c>
    </row>
    <row r="1067" s="153" customFormat="true" ht="15" hidden="false" customHeight="false" outlineLevel="0" collapsed="false">
      <c r="AN1067" s="153" t="e">
        <v>#NAME?</v>
      </c>
      <c r="AO1067" s="153" t="e">
        <f aca="false">_xlfn.xlookup(AN1067,A:A,F:F)</f>
        <v>#NAME?</v>
      </c>
      <c r="AP1067" s="153" t="e">
        <f aca="false">_xlfn.xlookup(AN1067,A:A,J:J)</f>
        <v>#NAME?</v>
      </c>
      <c r="AQ1067" s="153" t="e">
        <f aca="false">_xlfn.xlookup(AN1067,A:A,N:N)+_xlfn.xlookup(AN1067,A:A,O:O)</f>
        <v>#NAME?</v>
      </c>
      <c r="AR1067" s="150" t="e">
        <f aca="false">_xlfn.xlookup(AN1067,A:A,AH:AH)</f>
        <v>#NAME?</v>
      </c>
      <c r="AS1067" s="150" t="e">
        <f aca="false">_xlfn.xlookup(AN1067,A:A,S:S)</f>
        <v>#NAME?</v>
      </c>
      <c r="AT1067" s="150" t="e">
        <f aca="false">_xlfn.xlookup(AN1067,A:A,AE:AE)</f>
        <v>#NAME?</v>
      </c>
      <c r="AU1067" s="150" t="e">
        <f aca="false">_xlfn.xlookup(AN1067,A:A,AF:AF)</f>
        <v>#NAME?</v>
      </c>
      <c r="AX1067" s="146"/>
      <c r="AY1067" s="150"/>
      <c r="AZ1067" s="150"/>
      <c r="BA1067" s="150"/>
      <c r="BB1067" s="146"/>
      <c r="BC1067" s="146"/>
      <c r="BD1067" s="151"/>
      <c r="BE1067" s="146"/>
      <c r="BF1067" s="146"/>
      <c r="BH1067" s="152" t="e">
        <f aca="false">_xlfn.xlookup(BG1067,A:A,E:E)</f>
        <v>#NAME?</v>
      </c>
      <c r="BI1067" s="153" t="e">
        <f aca="false">_xlfn.xlookup(BG1067,A:A,J:J)</f>
        <v>#NAME?</v>
      </c>
      <c r="BJ1067" s="153" t="e">
        <f aca="false">_xlfn.xlookup(BG1067,A:A,N:N)+_xlfn.xlookup(BG1067,A:A,O:O)</f>
        <v>#NAME?</v>
      </c>
    </row>
    <row r="1068" s="153" customFormat="true" ht="15" hidden="false" customHeight="false" outlineLevel="0" collapsed="false">
      <c r="AN1068" s="153" t="e">
        <v>#NAME?</v>
      </c>
      <c r="AO1068" s="153" t="e">
        <f aca="false">_xlfn.xlookup(AN1068,A:A,F:F)</f>
        <v>#NAME?</v>
      </c>
      <c r="AP1068" s="153" t="e">
        <f aca="false">_xlfn.xlookup(AN1068,A:A,J:J)</f>
        <v>#NAME?</v>
      </c>
      <c r="AQ1068" s="153" t="e">
        <f aca="false">_xlfn.xlookup(AN1068,A:A,N:N)+_xlfn.xlookup(AN1068,A:A,O:O)</f>
        <v>#NAME?</v>
      </c>
      <c r="AR1068" s="150" t="e">
        <f aca="false">_xlfn.xlookup(AN1068,A:A,AH:AH)</f>
        <v>#NAME?</v>
      </c>
      <c r="AS1068" s="150" t="e">
        <f aca="false">_xlfn.xlookup(AN1068,A:A,S:S)</f>
        <v>#NAME?</v>
      </c>
      <c r="AT1068" s="150" t="e">
        <f aca="false">_xlfn.xlookup(AN1068,A:A,AE:AE)</f>
        <v>#NAME?</v>
      </c>
      <c r="AU1068" s="150" t="e">
        <f aca="false">_xlfn.xlookup(AN1068,A:A,AF:AF)</f>
        <v>#NAME?</v>
      </c>
      <c r="AX1068" s="146"/>
      <c r="AY1068" s="150"/>
      <c r="AZ1068" s="150"/>
      <c r="BA1068" s="150"/>
      <c r="BB1068" s="146"/>
      <c r="BC1068" s="146"/>
      <c r="BD1068" s="151"/>
      <c r="BE1068" s="146"/>
      <c r="BF1068" s="146"/>
      <c r="BH1068" s="152" t="e">
        <f aca="false">_xlfn.xlookup(BG1068,A:A,E:E)</f>
        <v>#NAME?</v>
      </c>
      <c r="BI1068" s="153" t="e">
        <f aca="false">_xlfn.xlookup(BG1068,A:A,J:J)</f>
        <v>#NAME?</v>
      </c>
      <c r="BJ1068" s="153" t="e">
        <f aca="false">_xlfn.xlookup(BG1068,A:A,N:N)+_xlfn.xlookup(BG1068,A:A,O:O)</f>
        <v>#NAME?</v>
      </c>
    </row>
    <row r="1069" s="153" customFormat="true" ht="15" hidden="false" customHeight="false" outlineLevel="0" collapsed="false">
      <c r="AN1069" s="153" t="e">
        <v>#NAME?</v>
      </c>
      <c r="AO1069" s="153" t="e">
        <f aca="false">_xlfn.xlookup(AN1069,A:A,F:F)</f>
        <v>#NAME?</v>
      </c>
      <c r="AP1069" s="153" t="e">
        <f aca="false">_xlfn.xlookup(AN1069,A:A,J:J)</f>
        <v>#NAME?</v>
      </c>
      <c r="AQ1069" s="153" t="e">
        <f aca="false">_xlfn.xlookup(AN1069,A:A,N:N)+_xlfn.xlookup(AN1069,A:A,O:O)</f>
        <v>#NAME?</v>
      </c>
      <c r="AR1069" s="150" t="e">
        <f aca="false">_xlfn.xlookup(AN1069,A:A,AH:AH)</f>
        <v>#NAME?</v>
      </c>
      <c r="AS1069" s="150" t="e">
        <f aca="false">_xlfn.xlookup(AN1069,A:A,S:S)</f>
        <v>#NAME?</v>
      </c>
      <c r="AT1069" s="150" t="e">
        <f aca="false">_xlfn.xlookup(AN1069,A:A,AE:AE)</f>
        <v>#NAME?</v>
      </c>
      <c r="AU1069" s="150" t="e">
        <f aca="false">_xlfn.xlookup(AN1069,A:A,AF:AF)</f>
        <v>#NAME?</v>
      </c>
      <c r="AX1069" s="146"/>
      <c r="AY1069" s="150"/>
      <c r="AZ1069" s="150"/>
      <c r="BA1069" s="150"/>
      <c r="BB1069" s="146"/>
      <c r="BC1069" s="146"/>
      <c r="BD1069" s="151"/>
      <c r="BE1069" s="146"/>
      <c r="BF1069" s="146"/>
      <c r="BH1069" s="152" t="e">
        <f aca="false">_xlfn.xlookup(BG1069,A:A,E:E)</f>
        <v>#NAME?</v>
      </c>
      <c r="BI1069" s="153" t="e">
        <f aca="false">_xlfn.xlookup(BG1069,A:A,J:J)</f>
        <v>#NAME?</v>
      </c>
      <c r="BJ1069" s="153" t="e">
        <f aca="false">_xlfn.xlookup(BG1069,A:A,N:N)+_xlfn.xlookup(BG1069,A:A,O:O)</f>
        <v>#NAME?</v>
      </c>
    </row>
    <row r="1070" s="153" customFormat="true" ht="15" hidden="false" customHeight="false" outlineLevel="0" collapsed="false">
      <c r="AN1070" s="153" t="e">
        <v>#NAME?</v>
      </c>
      <c r="AO1070" s="153" t="e">
        <f aca="false">_xlfn.xlookup(AN1070,A:A,F:F)</f>
        <v>#NAME?</v>
      </c>
      <c r="AP1070" s="153" t="e">
        <f aca="false">_xlfn.xlookup(AN1070,A:A,J:J)</f>
        <v>#NAME?</v>
      </c>
      <c r="AQ1070" s="153" t="e">
        <f aca="false">_xlfn.xlookup(AN1070,A:A,N:N)+_xlfn.xlookup(AN1070,A:A,O:O)</f>
        <v>#NAME?</v>
      </c>
      <c r="AR1070" s="150" t="e">
        <f aca="false">_xlfn.xlookup(AN1070,A:A,AH:AH)</f>
        <v>#NAME?</v>
      </c>
      <c r="AS1070" s="150" t="e">
        <f aca="false">_xlfn.xlookup(AN1070,A:A,S:S)</f>
        <v>#NAME?</v>
      </c>
      <c r="AT1070" s="150" t="e">
        <f aca="false">_xlfn.xlookup(AN1070,A:A,AE:AE)</f>
        <v>#NAME?</v>
      </c>
      <c r="AU1070" s="150" t="e">
        <f aca="false">_xlfn.xlookup(AN1070,A:A,AF:AF)</f>
        <v>#NAME?</v>
      </c>
      <c r="AX1070" s="146"/>
      <c r="AY1070" s="150"/>
      <c r="AZ1070" s="150"/>
      <c r="BA1070" s="150"/>
      <c r="BB1070" s="146"/>
      <c r="BC1070" s="146"/>
      <c r="BD1070" s="151"/>
      <c r="BE1070" s="146"/>
      <c r="BF1070" s="146"/>
      <c r="BH1070" s="152" t="e">
        <f aca="false">_xlfn.xlookup(BG1070,A:A,E:E)</f>
        <v>#NAME?</v>
      </c>
      <c r="BI1070" s="153" t="e">
        <f aca="false">_xlfn.xlookup(BG1070,A:A,J:J)</f>
        <v>#NAME?</v>
      </c>
      <c r="BJ1070" s="153" t="e">
        <f aca="false">_xlfn.xlookup(BG1070,A:A,N:N)+_xlfn.xlookup(BG1070,A:A,O:O)</f>
        <v>#NAME?</v>
      </c>
    </row>
    <row r="1071" s="153" customFormat="true" ht="15" hidden="false" customHeight="false" outlineLevel="0" collapsed="false">
      <c r="AN1071" s="153" t="e">
        <v>#NAME?</v>
      </c>
      <c r="AO1071" s="153" t="e">
        <f aca="false">_xlfn.xlookup(AN1071,A:A,F:F)</f>
        <v>#NAME?</v>
      </c>
      <c r="AP1071" s="153" t="e">
        <f aca="false">_xlfn.xlookup(AN1071,A:A,J:J)</f>
        <v>#NAME?</v>
      </c>
      <c r="AQ1071" s="153" t="e">
        <f aca="false">_xlfn.xlookup(AN1071,A:A,N:N)+_xlfn.xlookup(AN1071,A:A,O:O)</f>
        <v>#NAME?</v>
      </c>
      <c r="AR1071" s="150" t="e">
        <f aca="false">_xlfn.xlookup(AN1071,A:A,AH:AH)</f>
        <v>#NAME?</v>
      </c>
      <c r="AS1071" s="150" t="e">
        <f aca="false">_xlfn.xlookup(AN1071,A:A,S:S)</f>
        <v>#NAME?</v>
      </c>
      <c r="AT1071" s="150" t="e">
        <f aca="false">_xlfn.xlookup(AN1071,A:A,AE:AE)</f>
        <v>#NAME?</v>
      </c>
      <c r="AU1071" s="150" t="e">
        <f aca="false">_xlfn.xlookup(AN1071,A:A,AF:AF)</f>
        <v>#NAME?</v>
      </c>
      <c r="AX1071" s="146"/>
      <c r="AY1071" s="150"/>
      <c r="AZ1071" s="150"/>
      <c r="BA1071" s="150"/>
      <c r="BB1071" s="146"/>
      <c r="BC1071" s="146"/>
      <c r="BD1071" s="151"/>
      <c r="BE1071" s="146"/>
      <c r="BF1071" s="146"/>
      <c r="BH1071" s="152" t="e">
        <f aca="false">_xlfn.xlookup(BG1071,A:A,E:E)</f>
        <v>#NAME?</v>
      </c>
      <c r="BI1071" s="153" t="e">
        <f aca="false">_xlfn.xlookup(BG1071,A:A,J:J)</f>
        <v>#NAME?</v>
      </c>
      <c r="BJ1071" s="153" t="e">
        <f aca="false">_xlfn.xlookup(BG1071,A:A,N:N)+_xlfn.xlookup(BG1071,A:A,O:O)</f>
        <v>#NAME?</v>
      </c>
    </row>
    <row r="1072" s="153" customFormat="true" ht="15" hidden="false" customHeight="false" outlineLevel="0" collapsed="false">
      <c r="AN1072" s="153" t="e">
        <v>#NAME?</v>
      </c>
      <c r="AO1072" s="153" t="e">
        <f aca="false">_xlfn.xlookup(AN1072,A:A,F:F)</f>
        <v>#NAME?</v>
      </c>
      <c r="AP1072" s="153" t="e">
        <f aca="false">_xlfn.xlookup(AN1072,A:A,J:J)</f>
        <v>#NAME?</v>
      </c>
      <c r="AQ1072" s="153" t="e">
        <f aca="false">_xlfn.xlookup(AN1072,A:A,N:N)+_xlfn.xlookup(AN1072,A:A,O:O)</f>
        <v>#NAME?</v>
      </c>
      <c r="AR1072" s="150" t="e">
        <f aca="false">_xlfn.xlookup(AN1072,A:A,AH:AH)</f>
        <v>#NAME?</v>
      </c>
      <c r="AS1072" s="150" t="e">
        <f aca="false">_xlfn.xlookup(AN1072,A:A,S:S)</f>
        <v>#NAME?</v>
      </c>
      <c r="AT1072" s="150" t="e">
        <f aca="false">_xlfn.xlookup(AN1072,A:A,AE:AE)</f>
        <v>#NAME?</v>
      </c>
      <c r="AU1072" s="150" t="e">
        <f aca="false">_xlfn.xlookup(AN1072,A:A,AF:AF)</f>
        <v>#NAME?</v>
      </c>
      <c r="AX1072" s="146"/>
      <c r="AY1072" s="150"/>
      <c r="AZ1072" s="150"/>
      <c r="BA1072" s="150"/>
      <c r="BB1072" s="146"/>
      <c r="BC1072" s="146"/>
      <c r="BD1072" s="151"/>
      <c r="BE1072" s="146"/>
      <c r="BF1072" s="146"/>
      <c r="BH1072" s="152" t="e">
        <f aca="false">_xlfn.xlookup(BG1072,A:A,E:E)</f>
        <v>#NAME?</v>
      </c>
      <c r="BI1072" s="153" t="e">
        <f aca="false">_xlfn.xlookup(BG1072,A:A,J:J)</f>
        <v>#NAME?</v>
      </c>
      <c r="BJ1072" s="153" t="e">
        <f aca="false">_xlfn.xlookup(BG1072,A:A,N:N)+_xlfn.xlookup(BG1072,A:A,O:O)</f>
        <v>#NAME?</v>
      </c>
    </row>
    <row r="1073" s="153" customFormat="true" ht="15" hidden="false" customHeight="false" outlineLevel="0" collapsed="false">
      <c r="AN1073" s="153" t="e">
        <v>#NAME?</v>
      </c>
      <c r="AO1073" s="153" t="e">
        <f aca="false">_xlfn.xlookup(AN1073,A:A,F:F)</f>
        <v>#NAME?</v>
      </c>
      <c r="AP1073" s="153" t="e">
        <f aca="false">_xlfn.xlookup(AN1073,A:A,J:J)</f>
        <v>#NAME?</v>
      </c>
      <c r="AQ1073" s="153" t="e">
        <f aca="false">_xlfn.xlookup(AN1073,A:A,N:N)+_xlfn.xlookup(AN1073,A:A,O:O)</f>
        <v>#NAME?</v>
      </c>
      <c r="AR1073" s="150" t="e">
        <f aca="false">_xlfn.xlookup(AN1073,A:A,AH:AH)</f>
        <v>#NAME?</v>
      </c>
      <c r="AS1073" s="150" t="e">
        <f aca="false">_xlfn.xlookup(AN1073,A:A,S:S)</f>
        <v>#NAME?</v>
      </c>
      <c r="AT1073" s="150" t="e">
        <f aca="false">_xlfn.xlookup(AN1073,A:A,AE:AE)</f>
        <v>#NAME?</v>
      </c>
      <c r="AU1073" s="150" t="e">
        <f aca="false">_xlfn.xlookup(AN1073,A:A,AF:AF)</f>
        <v>#NAME?</v>
      </c>
      <c r="AX1073" s="146"/>
      <c r="AY1073" s="150"/>
      <c r="AZ1073" s="150"/>
      <c r="BA1073" s="150"/>
      <c r="BB1073" s="146"/>
      <c r="BC1073" s="146"/>
      <c r="BD1073" s="151"/>
      <c r="BE1073" s="146"/>
      <c r="BF1073" s="146"/>
      <c r="BH1073" s="152" t="e">
        <f aca="false">_xlfn.xlookup(BG1073,A:A,E:E)</f>
        <v>#NAME?</v>
      </c>
      <c r="BI1073" s="153" t="e">
        <f aca="false">_xlfn.xlookup(BG1073,A:A,J:J)</f>
        <v>#NAME?</v>
      </c>
      <c r="BJ1073" s="153" t="e">
        <f aca="false">_xlfn.xlookup(BG1073,A:A,N:N)+_xlfn.xlookup(BG1073,A:A,O:O)</f>
        <v>#NAME?</v>
      </c>
    </row>
    <row r="1074" s="153" customFormat="true" ht="15" hidden="false" customHeight="false" outlineLevel="0" collapsed="false">
      <c r="AN1074" s="153" t="e">
        <v>#NAME?</v>
      </c>
      <c r="AO1074" s="153" t="e">
        <f aca="false">_xlfn.xlookup(AN1074,A:A,F:F)</f>
        <v>#NAME?</v>
      </c>
      <c r="AP1074" s="153" t="e">
        <f aca="false">_xlfn.xlookup(AN1074,A:A,J:J)</f>
        <v>#NAME?</v>
      </c>
      <c r="AQ1074" s="153" t="e">
        <f aca="false">_xlfn.xlookup(AN1074,A:A,N:N)+_xlfn.xlookup(AN1074,A:A,O:O)</f>
        <v>#NAME?</v>
      </c>
      <c r="AR1074" s="150" t="e">
        <f aca="false">_xlfn.xlookup(AN1074,A:A,AH:AH)</f>
        <v>#NAME?</v>
      </c>
      <c r="AS1074" s="150" t="e">
        <f aca="false">_xlfn.xlookup(AN1074,A:A,S:S)</f>
        <v>#NAME?</v>
      </c>
      <c r="AT1074" s="150" t="e">
        <f aca="false">_xlfn.xlookup(AN1074,A:A,AE:AE)</f>
        <v>#NAME?</v>
      </c>
      <c r="AU1074" s="150" t="e">
        <f aca="false">_xlfn.xlookup(AN1074,A:A,AF:AF)</f>
        <v>#NAME?</v>
      </c>
      <c r="AX1074" s="146"/>
      <c r="AY1074" s="150"/>
      <c r="AZ1074" s="150"/>
      <c r="BA1074" s="150"/>
      <c r="BB1074" s="146"/>
      <c r="BC1074" s="146"/>
      <c r="BD1074" s="151"/>
      <c r="BE1074" s="146"/>
      <c r="BF1074" s="146"/>
      <c r="BH1074" s="152" t="e">
        <f aca="false">_xlfn.xlookup(BG1074,A:A,E:E)</f>
        <v>#NAME?</v>
      </c>
      <c r="BI1074" s="153" t="e">
        <f aca="false">_xlfn.xlookup(BG1074,A:A,J:J)</f>
        <v>#NAME?</v>
      </c>
      <c r="BJ1074" s="153" t="e">
        <f aca="false">_xlfn.xlookup(BG1074,A:A,N:N)+_xlfn.xlookup(BG1074,A:A,O:O)</f>
        <v>#NAME?</v>
      </c>
    </row>
    <row r="1075" s="153" customFormat="true" ht="15" hidden="false" customHeight="false" outlineLevel="0" collapsed="false">
      <c r="AN1075" s="153" t="e">
        <v>#NAME?</v>
      </c>
      <c r="AO1075" s="153" t="e">
        <f aca="false">_xlfn.xlookup(AN1075,A:A,F:F)</f>
        <v>#NAME?</v>
      </c>
      <c r="AP1075" s="153" t="e">
        <f aca="false">_xlfn.xlookup(AN1075,A:A,J:J)</f>
        <v>#NAME?</v>
      </c>
      <c r="AQ1075" s="153" t="e">
        <f aca="false">_xlfn.xlookup(AN1075,A:A,N:N)+_xlfn.xlookup(AN1075,A:A,O:O)</f>
        <v>#NAME?</v>
      </c>
      <c r="AR1075" s="150" t="e">
        <f aca="false">_xlfn.xlookup(AN1075,A:A,AH:AH)</f>
        <v>#NAME?</v>
      </c>
      <c r="AS1075" s="150" t="e">
        <f aca="false">_xlfn.xlookup(AN1075,A:A,S:S)</f>
        <v>#NAME?</v>
      </c>
      <c r="AT1075" s="150" t="e">
        <f aca="false">_xlfn.xlookup(AN1075,A:A,AE:AE)</f>
        <v>#NAME?</v>
      </c>
      <c r="AU1075" s="150" t="e">
        <f aca="false">_xlfn.xlookup(AN1075,A:A,AF:AF)</f>
        <v>#NAME?</v>
      </c>
      <c r="AX1075" s="146"/>
      <c r="AY1075" s="150"/>
      <c r="AZ1075" s="150"/>
      <c r="BA1075" s="150"/>
      <c r="BB1075" s="146"/>
      <c r="BC1075" s="146"/>
      <c r="BD1075" s="151"/>
      <c r="BE1075" s="146"/>
      <c r="BF1075" s="146"/>
      <c r="BH1075" s="152" t="e">
        <f aca="false">_xlfn.xlookup(BG1075,A:A,E:E)</f>
        <v>#NAME?</v>
      </c>
      <c r="BI1075" s="153" t="e">
        <f aca="false">_xlfn.xlookup(BG1075,A:A,J:J)</f>
        <v>#NAME?</v>
      </c>
      <c r="BJ1075" s="153" t="e">
        <f aca="false">_xlfn.xlookup(BG1075,A:A,N:N)+_xlfn.xlookup(BG1075,A:A,O:O)</f>
        <v>#NAME?</v>
      </c>
    </row>
    <row r="1076" s="153" customFormat="true" ht="15" hidden="false" customHeight="false" outlineLevel="0" collapsed="false">
      <c r="AN1076" s="153" t="e">
        <v>#NAME?</v>
      </c>
      <c r="AO1076" s="153" t="e">
        <f aca="false">_xlfn.xlookup(AN1076,A:A,F:F)</f>
        <v>#NAME?</v>
      </c>
      <c r="AP1076" s="153" t="e">
        <f aca="false">_xlfn.xlookup(AN1076,A:A,J:J)</f>
        <v>#NAME?</v>
      </c>
      <c r="AQ1076" s="153" t="e">
        <f aca="false">_xlfn.xlookup(AN1076,A:A,N:N)+_xlfn.xlookup(AN1076,A:A,O:O)</f>
        <v>#NAME?</v>
      </c>
      <c r="AR1076" s="150" t="e">
        <f aca="false">_xlfn.xlookup(AN1076,A:A,AH:AH)</f>
        <v>#NAME?</v>
      </c>
      <c r="AS1076" s="150" t="e">
        <f aca="false">_xlfn.xlookup(AN1076,A:A,S:S)</f>
        <v>#NAME?</v>
      </c>
      <c r="AT1076" s="150" t="e">
        <f aca="false">_xlfn.xlookup(AN1076,A:A,AE:AE)</f>
        <v>#NAME?</v>
      </c>
      <c r="AU1076" s="150" t="e">
        <f aca="false">_xlfn.xlookup(AN1076,A:A,AF:AF)</f>
        <v>#NAME?</v>
      </c>
      <c r="AX1076" s="146"/>
      <c r="AY1076" s="150"/>
      <c r="AZ1076" s="150"/>
      <c r="BA1076" s="150"/>
      <c r="BB1076" s="146"/>
      <c r="BC1076" s="146"/>
      <c r="BD1076" s="151"/>
      <c r="BE1076" s="146"/>
      <c r="BF1076" s="146"/>
      <c r="BH1076" s="152" t="e">
        <f aca="false">_xlfn.xlookup(BG1076,A:A,E:E)</f>
        <v>#NAME?</v>
      </c>
      <c r="BI1076" s="153" t="e">
        <f aca="false">_xlfn.xlookup(BG1076,A:A,J:J)</f>
        <v>#NAME?</v>
      </c>
      <c r="BJ1076" s="153" t="e">
        <f aca="false">_xlfn.xlookup(BG1076,A:A,N:N)+_xlfn.xlookup(BG1076,A:A,O:O)</f>
        <v>#NAME?</v>
      </c>
    </row>
    <row r="1077" s="153" customFormat="true" ht="15" hidden="false" customHeight="false" outlineLevel="0" collapsed="false">
      <c r="AN1077" s="153" t="e">
        <v>#NAME?</v>
      </c>
      <c r="AO1077" s="153" t="e">
        <f aca="false">_xlfn.xlookup(AN1077,A:A,F:F)</f>
        <v>#NAME?</v>
      </c>
      <c r="AP1077" s="153" t="e">
        <f aca="false">_xlfn.xlookup(AN1077,A:A,J:J)</f>
        <v>#NAME?</v>
      </c>
      <c r="AQ1077" s="153" t="e">
        <f aca="false">_xlfn.xlookup(AN1077,A:A,N:N)+_xlfn.xlookup(AN1077,A:A,O:O)</f>
        <v>#NAME?</v>
      </c>
      <c r="AR1077" s="150" t="e">
        <f aca="false">_xlfn.xlookup(AN1077,A:A,AH:AH)</f>
        <v>#NAME?</v>
      </c>
      <c r="AS1077" s="150" t="e">
        <f aca="false">_xlfn.xlookup(AN1077,A:A,S:S)</f>
        <v>#NAME?</v>
      </c>
      <c r="AT1077" s="150" t="e">
        <f aca="false">_xlfn.xlookup(AN1077,A:A,AE:AE)</f>
        <v>#NAME?</v>
      </c>
      <c r="AU1077" s="150" t="e">
        <f aca="false">_xlfn.xlookup(AN1077,A:A,AF:AF)</f>
        <v>#NAME?</v>
      </c>
      <c r="AX1077" s="146"/>
      <c r="AY1077" s="150"/>
      <c r="AZ1077" s="150"/>
      <c r="BA1077" s="150"/>
      <c r="BB1077" s="146"/>
      <c r="BC1077" s="146"/>
      <c r="BD1077" s="151"/>
      <c r="BE1077" s="146"/>
      <c r="BF1077" s="146"/>
      <c r="BH1077" s="152" t="e">
        <f aca="false">_xlfn.xlookup(BG1077,A:A,E:E)</f>
        <v>#NAME?</v>
      </c>
      <c r="BI1077" s="153" t="e">
        <f aca="false">_xlfn.xlookup(BG1077,A:A,J:J)</f>
        <v>#NAME?</v>
      </c>
      <c r="BJ1077" s="153" t="e">
        <f aca="false">_xlfn.xlookup(BG1077,A:A,N:N)+_xlfn.xlookup(BG1077,A:A,O:O)</f>
        <v>#NAME?</v>
      </c>
    </row>
    <row r="1078" s="153" customFormat="true" ht="15" hidden="false" customHeight="false" outlineLevel="0" collapsed="false">
      <c r="AN1078" s="153" t="e">
        <v>#NAME?</v>
      </c>
      <c r="AO1078" s="153" t="e">
        <f aca="false">_xlfn.xlookup(AN1078,A:A,F:F)</f>
        <v>#NAME?</v>
      </c>
      <c r="AP1078" s="153" t="e">
        <f aca="false">_xlfn.xlookup(AN1078,A:A,J:J)</f>
        <v>#NAME?</v>
      </c>
      <c r="AQ1078" s="153" t="e">
        <f aca="false">_xlfn.xlookup(AN1078,A:A,N:N)+_xlfn.xlookup(AN1078,A:A,O:O)</f>
        <v>#NAME?</v>
      </c>
      <c r="AR1078" s="150" t="e">
        <f aca="false">_xlfn.xlookup(AN1078,A:A,AH:AH)</f>
        <v>#NAME?</v>
      </c>
      <c r="AS1078" s="150" t="e">
        <f aca="false">_xlfn.xlookup(AN1078,A:A,S:S)</f>
        <v>#NAME?</v>
      </c>
      <c r="AT1078" s="150" t="e">
        <f aca="false">_xlfn.xlookup(AN1078,A:A,AE:AE)</f>
        <v>#NAME?</v>
      </c>
      <c r="AU1078" s="150" t="e">
        <f aca="false">_xlfn.xlookup(AN1078,A:A,AF:AF)</f>
        <v>#NAME?</v>
      </c>
      <c r="AX1078" s="146"/>
      <c r="AY1078" s="150"/>
      <c r="AZ1078" s="150"/>
      <c r="BA1078" s="150"/>
      <c r="BB1078" s="146"/>
      <c r="BC1078" s="146"/>
      <c r="BD1078" s="151"/>
      <c r="BE1078" s="146"/>
      <c r="BF1078" s="146"/>
      <c r="BH1078" s="152" t="e">
        <f aca="false">_xlfn.xlookup(BG1078,A:A,E:E)</f>
        <v>#NAME?</v>
      </c>
      <c r="BI1078" s="153" t="e">
        <f aca="false">_xlfn.xlookup(BG1078,A:A,J:J)</f>
        <v>#NAME?</v>
      </c>
      <c r="BJ1078" s="153" t="e">
        <f aca="false">_xlfn.xlookup(BG1078,A:A,N:N)+_xlfn.xlookup(BG1078,A:A,O:O)</f>
        <v>#NAME?</v>
      </c>
    </row>
    <row r="1079" s="153" customFormat="true" ht="15" hidden="false" customHeight="false" outlineLevel="0" collapsed="false">
      <c r="AN1079" s="153" t="e">
        <v>#NAME?</v>
      </c>
      <c r="AO1079" s="153" t="e">
        <f aca="false">_xlfn.xlookup(AN1079,A:A,F:F)</f>
        <v>#NAME?</v>
      </c>
      <c r="AP1079" s="153" t="e">
        <f aca="false">_xlfn.xlookup(AN1079,A:A,J:J)</f>
        <v>#NAME?</v>
      </c>
      <c r="AQ1079" s="153" t="e">
        <f aca="false">_xlfn.xlookup(AN1079,A:A,N:N)+_xlfn.xlookup(AN1079,A:A,O:O)</f>
        <v>#NAME?</v>
      </c>
      <c r="AR1079" s="150" t="e">
        <f aca="false">_xlfn.xlookup(AN1079,A:A,AH:AH)</f>
        <v>#NAME?</v>
      </c>
      <c r="AS1079" s="150" t="e">
        <f aca="false">_xlfn.xlookup(AN1079,A:A,S:S)</f>
        <v>#NAME?</v>
      </c>
      <c r="AT1079" s="150" t="e">
        <f aca="false">_xlfn.xlookup(AN1079,A:A,AE:AE)</f>
        <v>#NAME?</v>
      </c>
      <c r="AU1079" s="150" t="e">
        <f aca="false">_xlfn.xlookup(AN1079,A:A,AF:AF)</f>
        <v>#NAME?</v>
      </c>
      <c r="AX1079" s="146"/>
      <c r="AY1079" s="150"/>
      <c r="AZ1079" s="150"/>
      <c r="BA1079" s="150"/>
      <c r="BB1079" s="146"/>
      <c r="BC1079" s="146"/>
      <c r="BD1079" s="151"/>
      <c r="BE1079" s="146"/>
      <c r="BF1079" s="146"/>
      <c r="BH1079" s="152" t="e">
        <f aca="false">_xlfn.xlookup(BG1079,A:A,E:E)</f>
        <v>#NAME?</v>
      </c>
      <c r="BI1079" s="153" t="e">
        <f aca="false">_xlfn.xlookup(BG1079,A:A,J:J)</f>
        <v>#NAME?</v>
      </c>
      <c r="BJ1079" s="153" t="e">
        <f aca="false">_xlfn.xlookup(BG1079,A:A,N:N)+_xlfn.xlookup(BG1079,A:A,O:O)</f>
        <v>#NAME?</v>
      </c>
    </row>
    <row r="1080" s="153" customFormat="true" ht="15" hidden="false" customHeight="false" outlineLevel="0" collapsed="false">
      <c r="AN1080" s="153" t="e">
        <v>#NAME?</v>
      </c>
      <c r="AO1080" s="153" t="e">
        <f aca="false">_xlfn.xlookup(AN1080,A:A,F:F)</f>
        <v>#NAME?</v>
      </c>
      <c r="AP1080" s="153" t="e">
        <f aca="false">_xlfn.xlookup(AN1080,A:A,J:J)</f>
        <v>#NAME?</v>
      </c>
      <c r="AQ1080" s="153" t="e">
        <f aca="false">_xlfn.xlookup(AN1080,A:A,N:N)+_xlfn.xlookup(AN1080,A:A,O:O)</f>
        <v>#NAME?</v>
      </c>
      <c r="AR1080" s="150" t="e">
        <f aca="false">_xlfn.xlookup(AN1080,A:A,AH:AH)</f>
        <v>#NAME?</v>
      </c>
      <c r="AS1080" s="150" t="e">
        <f aca="false">_xlfn.xlookup(AN1080,A:A,S:S)</f>
        <v>#NAME?</v>
      </c>
      <c r="AT1080" s="150" t="e">
        <f aca="false">_xlfn.xlookup(AN1080,A:A,AE:AE)</f>
        <v>#NAME?</v>
      </c>
      <c r="AU1080" s="150" t="e">
        <f aca="false">_xlfn.xlookup(AN1080,A:A,AF:AF)</f>
        <v>#NAME?</v>
      </c>
      <c r="AX1080" s="146"/>
      <c r="AY1080" s="150"/>
      <c r="AZ1080" s="150"/>
      <c r="BA1080" s="150"/>
      <c r="BB1080" s="146"/>
      <c r="BC1080" s="146"/>
      <c r="BD1080" s="151"/>
      <c r="BE1080" s="146"/>
      <c r="BF1080" s="146"/>
      <c r="BH1080" s="152" t="e">
        <f aca="false">_xlfn.xlookup(BG1080,A:A,E:E)</f>
        <v>#NAME?</v>
      </c>
      <c r="BI1080" s="153" t="e">
        <f aca="false">_xlfn.xlookup(BG1080,A:A,J:J)</f>
        <v>#NAME?</v>
      </c>
      <c r="BJ1080" s="153" t="e">
        <f aca="false">_xlfn.xlookup(BG1080,A:A,N:N)+_xlfn.xlookup(BG1080,A:A,O:O)</f>
        <v>#NAME?</v>
      </c>
    </row>
    <row r="1081" s="153" customFormat="true" ht="15" hidden="false" customHeight="false" outlineLevel="0" collapsed="false">
      <c r="AN1081" s="153" t="e">
        <v>#NAME?</v>
      </c>
      <c r="AO1081" s="153" t="e">
        <f aca="false">_xlfn.xlookup(AN1081,A:A,F:F)</f>
        <v>#NAME?</v>
      </c>
      <c r="AP1081" s="153" t="e">
        <f aca="false">_xlfn.xlookup(AN1081,A:A,J:J)</f>
        <v>#NAME?</v>
      </c>
      <c r="AQ1081" s="153" t="e">
        <f aca="false">_xlfn.xlookup(AN1081,A:A,N:N)+_xlfn.xlookup(AN1081,A:A,O:O)</f>
        <v>#NAME?</v>
      </c>
      <c r="AR1081" s="150" t="e">
        <f aca="false">_xlfn.xlookup(AN1081,A:A,AH:AH)</f>
        <v>#NAME?</v>
      </c>
      <c r="AS1081" s="150" t="e">
        <f aca="false">_xlfn.xlookup(AN1081,A:A,S:S)</f>
        <v>#NAME?</v>
      </c>
      <c r="AT1081" s="150" t="e">
        <f aca="false">_xlfn.xlookup(AN1081,A:A,AE:AE)</f>
        <v>#NAME?</v>
      </c>
      <c r="AU1081" s="150" t="e">
        <f aca="false">_xlfn.xlookup(AN1081,A:A,AF:AF)</f>
        <v>#NAME?</v>
      </c>
      <c r="AX1081" s="146"/>
      <c r="AY1081" s="150"/>
      <c r="AZ1081" s="150"/>
      <c r="BA1081" s="150"/>
      <c r="BB1081" s="146"/>
      <c r="BC1081" s="146"/>
      <c r="BD1081" s="151"/>
      <c r="BE1081" s="146"/>
      <c r="BF1081" s="146"/>
      <c r="BH1081" s="152" t="e">
        <f aca="false">_xlfn.xlookup(BG1081,A:A,E:E)</f>
        <v>#NAME?</v>
      </c>
      <c r="BI1081" s="153" t="e">
        <f aca="false">_xlfn.xlookup(BG1081,A:A,J:J)</f>
        <v>#NAME?</v>
      </c>
      <c r="BJ1081" s="153" t="e">
        <f aca="false">_xlfn.xlookup(BG1081,A:A,N:N)+_xlfn.xlookup(BG1081,A:A,O:O)</f>
        <v>#NAME?</v>
      </c>
    </row>
    <row r="1082" s="153" customFormat="true" ht="15" hidden="false" customHeight="false" outlineLevel="0" collapsed="false">
      <c r="AN1082" s="153" t="e">
        <v>#NAME?</v>
      </c>
      <c r="AO1082" s="153" t="e">
        <f aca="false">_xlfn.xlookup(AN1082,A:A,F:F)</f>
        <v>#NAME?</v>
      </c>
      <c r="AP1082" s="153" t="e">
        <f aca="false">_xlfn.xlookup(AN1082,A:A,J:J)</f>
        <v>#NAME?</v>
      </c>
      <c r="AQ1082" s="153" t="e">
        <f aca="false">_xlfn.xlookup(AN1082,A:A,N:N)+_xlfn.xlookup(AN1082,A:A,O:O)</f>
        <v>#NAME?</v>
      </c>
      <c r="AR1082" s="150" t="e">
        <f aca="false">_xlfn.xlookup(AN1082,A:A,AH:AH)</f>
        <v>#NAME?</v>
      </c>
      <c r="AS1082" s="150" t="e">
        <f aca="false">_xlfn.xlookup(AN1082,A:A,S:S)</f>
        <v>#NAME?</v>
      </c>
      <c r="AT1082" s="150" t="e">
        <f aca="false">_xlfn.xlookup(AN1082,A:A,AE:AE)</f>
        <v>#NAME?</v>
      </c>
      <c r="AU1082" s="150" t="e">
        <f aca="false">_xlfn.xlookup(AN1082,A:A,AF:AF)</f>
        <v>#NAME?</v>
      </c>
      <c r="AX1082" s="146"/>
      <c r="AY1082" s="150"/>
      <c r="AZ1082" s="150"/>
      <c r="BA1082" s="150"/>
      <c r="BB1082" s="146"/>
      <c r="BC1082" s="146"/>
      <c r="BD1082" s="151"/>
      <c r="BE1082" s="146"/>
      <c r="BF1082" s="146"/>
      <c r="BH1082" s="152" t="e">
        <f aca="false">_xlfn.xlookup(BG1082,A:A,E:E)</f>
        <v>#NAME?</v>
      </c>
      <c r="BI1082" s="153" t="e">
        <f aca="false">_xlfn.xlookup(BG1082,A:A,J:J)</f>
        <v>#NAME?</v>
      </c>
      <c r="BJ1082" s="153" t="e">
        <f aca="false">_xlfn.xlookup(BG1082,A:A,N:N)+_xlfn.xlookup(BG1082,A:A,O:O)</f>
        <v>#NAME?</v>
      </c>
    </row>
    <row r="1083" s="153" customFormat="true" ht="15" hidden="false" customHeight="false" outlineLevel="0" collapsed="false">
      <c r="AN1083" s="153" t="e">
        <v>#NAME?</v>
      </c>
      <c r="AO1083" s="153" t="e">
        <f aca="false">_xlfn.xlookup(AN1083,A:A,F:F)</f>
        <v>#NAME?</v>
      </c>
      <c r="AP1083" s="153" t="e">
        <f aca="false">_xlfn.xlookup(AN1083,A:A,J:J)</f>
        <v>#NAME?</v>
      </c>
      <c r="AQ1083" s="153" t="e">
        <f aca="false">_xlfn.xlookup(AN1083,A:A,N:N)+_xlfn.xlookup(AN1083,A:A,O:O)</f>
        <v>#NAME?</v>
      </c>
      <c r="AR1083" s="150" t="e">
        <f aca="false">_xlfn.xlookup(AN1083,A:A,AH:AH)</f>
        <v>#NAME?</v>
      </c>
      <c r="AS1083" s="150" t="e">
        <f aca="false">_xlfn.xlookup(AN1083,A:A,S:S)</f>
        <v>#NAME?</v>
      </c>
      <c r="AT1083" s="150" t="e">
        <f aca="false">_xlfn.xlookup(AN1083,A:A,AE:AE)</f>
        <v>#NAME?</v>
      </c>
      <c r="AU1083" s="150" t="e">
        <f aca="false">_xlfn.xlookup(AN1083,A:A,AF:AF)</f>
        <v>#NAME?</v>
      </c>
      <c r="AX1083" s="146"/>
      <c r="AY1083" s="150"/>
      <c r="AZ1083" s="150"/>
      <c r="BA1083" s="150"/>
      <c r="BB1083" s="146"/>
      <c r="BC1083" s="146"/>
      <c r="BD1083" s="151"/>
      <c r="BE1083" s="146"/>
      <c r="BF1083" s="146"/>
      <c r="BH1083" s="152" t="e">
        <f aca="false">_xlfn.xlookup(BG1083,A:A,E:E)</f>
        <v>#NAME?</v>
      </c>
      <c r="BI1083" s="153" t="e">
        <f aca="false">_xlfn.xlookup(BG1083,A:A,J:J)</f>
        <v>#NAME?</v>
      </c>
      <c r="BJ1083" s="153" t="e">
        <f aca="false">_xlfn.xlookup(BG1083,A:A,N:N)+_xlfn.xlookup(BG1083,A:A,O:O)</f>
        <v>#NAME?</v>
      </c>
    </row>
    <row r="1084" s="153" customFormat="true" ht="15" hidden="false" customHeight="false" outlineLevel="0" collapsed="false">
      <c r="AN1084" s="153" t="e">
        <v>#NAME?</v>
      </c>
      <c r="AO1084" s="153" t="e">
        <f aca="false">_xlfn.xlookup(AN1084,A:A,F:F)</f>
        <v>#NAME?</v>
      </c>
      <c r="AP1084" s="153" t="e">
        <f aca="false">_xlfn.xlookup(AN1084,A:A,J:J)</f>
        <v>#NAME?</v>
      </c>
      <c r="AQ1084" s="153" t="e">
        <f aca="false">_xlfn.xlookup(AN1084,A:A,N:N)+_xlfn.xlookup(AN1084,A:A,O:O)</f>
        <v>#NAME?</v>
      </c>
      <c r="AR1084" s="150" t="e">
        <f aca="false">_xlfn.xlookup(AN1084,A:A,AH:AH)</f>
        <v>#NAME?</v>
      </c>
      <c r="AS1084" s="150" t="e">
        <f aca="false">_xlfn.xlookup(AN1084,A:A,S:S)</f>
        <v>#NAME?</v>
      </c>
      <c r="AT1084" s="150" t="e">
        <f aca="false">_xlfn.xlookup(AN1084,A:A,AE:AE)</f>
        <v>#NAME?</v>
      </c>
      <c r="AU1084" s="150" t="e">
        <f aca="false">_xlfn.xlookup(AN1084,A:A,AF:AF)</f>
        <v>#NAME?</v>
      </c>
      <c r="AX1084" s="146"/>
      <c r="AY1084" s="150"/>
      <c r="AZ1084" s="150"/>
      <c r="BA1084" s="150"/>
      <c r="BB1084" s="146"/>
      <c r="BC1084" s="146"/>
      <c r="BD1084" s="151"/>
      <c r="BE1084" s="146"/>
      <c r="BF1084" s="146"/>
      <c r="BH1084" s="152" t="e">
        <f aca="false">_xlfn.xlookup(BG1084,A:A,E:E)</f>
        <v>#NAME?</v>
      </c>
      <c r="BI1084" s="153" t="e">
        <f aca="false">_xlfn.xlookup(BG1084,A:A,J:J)</f>
        <v>#NAME?</v>
      </c>
      <c r="BJ1084" s="153" t="e">
        <f aca="false">_xlfn.xlookup(BG1084,A:A,N:N)+_xlfn.xlookup(BG1084,A:A,O:O)</f>
        <v>#NAME?</v>
      </c>
    </row>
    <row r="1085" s="153" customFormat="true" ht="15" hidden="false" customHeight="false" outlineLevel="0" collapsed="false">
      <c r="AN1085" s="153" t="e">
        <v>#NAME?</v>
      </c>
      <c r="AO1085" s="153" t="e">
        <f aca="false">_xlfn.xlookup(AN1085,A:A,F:F)</f>
        <v>#NAME?</v>
      </c>
      <c r="AP1085" s="153" t="e">
        <f aca="false">_xlfn.xlookup(AN1085,A:A,J:J)</f>
        <v>#NAME?</v>
      </c>
      <c r="AQ1085" s="153" t="e">
        <f aca="false">_xlfn.xlookup(AN1085,A:A,N:N)+_xlfn.xlookup(AN1085,A:A,O:O)</f>
        <v>#NAME?</v>
      </c>
      <c r="AR1085" s="150" t="e">
        <f aca="false">_xlfn.xlookup(AN1085,A:A,AH:AH)</f>
        <v>#NAME?</v>
      </c>
      <c r="AS1085" s="150" t="e">
        <f aca="false">_xlfn.xlookup(AN1085,A:A,S:S)</f>
        <v>#NAME?</v>
      </c>
      <c r="AT1085" s="150" t="e">
        <f aca="false">_xlfn.xlookup(AN1085,A:A,AE:AE)</f>
        <v>#NAME?</v>
      </c>
      <c r="AU1085" s="150" t="e">
        <f aca="false">_xlfn.xlookup(AN1085,A:A,AF:AF)</f>
        <v>#NAME?</v>
      </c>
      <c r="AX1085" s="146"/>
      <c r="AY1085" s="150"/>
      <c r="AZ1085" s="150"/>
      <c r="BA1085" s="150"/>
      <c r="BB1085" s="146"/>
      <c r="BC1085" s="146"/>
      <c r="BD1085" s="151"/>
      <c r="BE1085" s="146"/>
      <c r="BF1085" s="146"/>
      <c r="BH1085" s="152" t="e">
        <f aca="false">_xlfn.xlookup(BG1085,A:A,E:E)</f>
        <v>#NAME?</v>
      </c>
      <c r="BI1085" s="153" t="e">
        <f aca="false">_xlfn.xlookup(BG1085,A:A,J:J)</f>
        <v>#NAME?</v>
      </c>
      <c r="BJ1085" s="153" t="e">
        <f aca="false">_xlfn.xlookup(BG1085,A:A,N:N)+_xlfn.xlookup(BG1085,A:A,O:O)</f>
        <v>#NAME?</v>
      </c>
    </row>
    <row r="1086" s="153" customFormat="true" ht="15" hidden="false" customHeight="false" outlineLevel="0" collapsed="false">
      <c r="AN1086" s="153" t="e">
        <v>#NAME?</v>
      </c>
      <c r="AO1086" s="153" t="e">
        <f aca="false">_xlfn.xlookup(AN1086,A:A,F:F)</f>
        <v>#NAME?</v>
      </c>
      <c r="AP1086" s="153" t="e">
        <f aca="false">_xlfn.xlookup(AN1086,A:A,J:J)</f>
        <v>#NAME?</v>
      </c>
      <c r="AQ1086" s="153" t="e">
        <f aca="false">_xlfn.xlookup(AN1086,A:A,N:N)+_xlfn.xlookup(AN1086,A:A,O:O)</f>
        <v>#NAME?</v>
      </c>
      <c r="AR1086" s="150" t="e">
        <f aca="false">_xlfn.xlookup(AN1086,A:A,AH:AH)</f>
        <v>#NAME?</v>
      </c>
      <c r="AS1086" s="150" t="e">
        <f aca="false">_xlfn.xlookup(AN1086,A:A,S:S)</f>
        <v>#NAME?</v>
      </c>
      <c r="AT1086" s="150" t="e">
        <f aca="false">_xlfn.xlookup(AN1086,A:A,AE:AE)</f>
        <v>#NAME?</v>
      </c>
      <c r="AU1086" s="150" t="e">
        <f aca="false">_xlfn.xlookup(AN1086,A:A,AF:AF)</f>
        <v>#NAME?</v>
      </c>
      <c r="AX1086" s="146"/>
      <c r="AY1086" s="150"/>
      <c r="AZ1086" s="150"/>
      <c r="BA1086" s="150"/>
      <c r="BB1086" s="146"/>
      <c r="BC1086" s="146"/>
      <c r="BD1086" s="151"/>
      <c r="BE1086" s="146"/>
      <c r="BF1086" s="146"/>
      <c r="BH1086" s="152" t="e">
        <f aca="false">_xlfn.xlookup(BG1086,A:A,E:E)</f>
        <v>#NAME?</v>
      </c>
      <c r="BI1086" s="153" t="e">
        <f aca="false">_xlfn.xlookup(BG1086,A:A,J:J)</f>
        <v>#NAME?</v>
      </c>
      <c r="BJ1086" s="153" t="e">
        <f aca="false">_xlfn.xlookup(BG1086,A:A,N:N)+_xlfn.xlookup(BG1086,A:A,O:O)</f>
        <v>#NAME?</v>
      </c>
    </row>
    <row r="1087" s="153" customFormat="true" ht="15" hidden="false" customHeight="false" outlineLevel="0" collapsed="false">
      <c r="AN1087" s="153" t="e">
        <v>#NAME?</v>
      </c>
      <c r="AO1087" s="153" t="e">
        <f aca="false">_xlfn.xlookup(AN1087,A:A,F:F)</f>
        <v>#NAME?</v>
      </c>
      <c r="AP1087" s="153" t="e">
        <f aca="false">_xlfn.xlookup(AN1087,A:A,J:J)</f>
        <v>#NAME?</v>
      </c>
      <c r="AQ1087" s="153" t="e">
        <f aca="false">_xlfn.xlookup(AN1087,A:A,N:N)+_xlfn.xlookup(AN1087,A:A,O:O)</f>
        <v>#NAME?</v>
      </c>
      <c r="AR1087" s="150" t="e">
        <f aca="false">_xlfn.xlookup(AN1087,A:A,AH:AH)</f>
        <v>#NAME?</v>
      </c>
      <c r="AS1087" s="150" t="e">
        <f aca="false">_xlfn.xlookup(AN1087,A:A,S:S)</f>
        <v>#NAME?</v>
      </c>
      <c r="AT1087" s="150" t="e">
        <f aca="false">_xlfn.xlookup(AN1087,A:A,AE:AE)</f>
        <v>#NAME?</v>
      </c>
      <c r="AU1087" s="150" t="e">
        <f aca="false">_xlfn.xlookup(AN1087,A:A,AF:AF)</f>
        <v>#NAME?</v>
      </c>
      <c r="AX1087" s="146"/>
      <c r="AY1087" s="150"/>
      <c r="AZ1087" s="150"/>
      <c r="BA1087" s="150"/>
      <c r="BB1087" s="146"/>
      <c r="BC1087" s="146"/>
      <c r="BD1087" s="151"/>
      <c r="BE1087" s="146"/>
      <c r="BF1087" s="146"/>
      <c r="BH1087" s="152" t="e">
        <f aca="false">_xlfn.xlookup(BG1087,A:A,E:E)</f>
        <v>#NAME?</v>
      </c>
      <c r="BI1087" s="153" t="e">
        <f aca="false">_xlfn.xlookup(BG1087,A:A,J:J)</f>
        <v>#NAME?</v>
      </c>
      <c r="BJ1087" s="153" t="e">
        <f aca="false">_xlfn.xlookup(BG1087,A:A,N:N)+_xlfn.xlookup(BG1087,A:A,O:O)</f>
        <v>#NAME?</v>
      </c>
    </row>
    <row r="1088" s="153" customFormat="true" ht="15" hidden="false" customHeight="false" outlineLevel="0" collapsed="false">
      <c r="AN1088" s="153" t="e">
        <v>#NAME?</v>
      </c>
      <c r="AO1088" s="153" t="e">
        <f aca="false">_xlfn.xlookup(AN1088,A:A,F:F)</f>
        <v>#NAME?</v>
      </c>
      <c r="AP1088" s="153" t="e">
        <f aca="false">_xlfn.xlookup(AN1088,A:A,J:J)</f>
        <v>#NAME?</v>
      </c>
      <c r="AQ1088" s="153" t="e">
        <f aca="false">_xlfn.xlookup(AN1088,A:A,N:N)+_xlfn.xlookup(AN1088,A:A,O:O)</f>
        <v>#NAME?</v>
      </c>
      <c r="AR1088" s="150" t="e">
        <f aca="false">_xlfn.xlookup(AN1088,A:A,AH:AH)</f>
        <v>#NAME?</v>
      </c>
      <c r="AS1088" s="150" t="e">
        <f aca="false">_xlfn.xlookup(AN1088,A:A,S:S)</f>
        <v>#NAME?</v>
      </c>
      <c r="AT1088" s="150" t="e">
        <f aca="false">_xlfn.xlookup(AN1088,A:A,AE:AE)</f>
        <v>#NAME?</v>
      </c>
      <c r="AU1088" s="150" t="e">
        <f aca="false">_xlfn.xlookup(AN1088,A:A,AF:AF)</f>
        <v>#NAME?</v>
      </c>
      <c r="AX1088" s="146"/>
      <c r="AY1088" s="150"/>
      <c r="AZ1088" s="150"/>
      <c r="BA1088" s="150"/>
      <c r="BB1088" s="146"/>
      <c r="BC1088" s="146"/>
      <c r="BD1088" s="151"/>
      <c r="BE1088" s="146"/>
      <c r="BF1088" s="146"/>
      <c r="BH1088" s="152" t="e">
        <f aca="false">_xlfn.xlookup(BG1088,A:A,E:E)</f>
        <v>#NAME?</v>
      </c>
      <c r="BI1088" s="153" t="e">
        <f aca="false">_xlfn.xlookup(BG1088,A:A,J:J)</f>
        <v>#NAME?</v>
      </c>
      <c r="BJ1088" s="153" t="e">
        <f aca="false">_xlfn.xlookup(BG1088,A:A,N:N)+_xlfn.xlookup(BG1088,A:A,O:O)</f>
        <v>#NAME?</v>
      </c>
    </row>
    <row r="1089" s="153" customFormat="true" ht="15" hidden="false" customHeight="false" outlineLevel="0" collapsed="false">
      <c r="AN1089" s="153" t="e">
        <v>#NAME?</v>
      </c>
      <c r="AO1089" s="153" t="e">
        <f aca="false">_xlfn.xlookup(AN1089,A:A,F:F)</f>
        <v>#NAME?</v>
      </c>
      <c r="AP1089" s="153" t="e">
        <f aca="false">_xlfn.xlookup(AN1089,A:A,J:J)</f>
        <v>#NAME?</v>
      </c>
      <c r="AQ1089" s="153" t="e">
        <f aca="false">_xlfn.xlookup(AN1089,A:A,N:N)+_xlfn.xlookup(AN1089,A:A,O:O)</f>
        <v>#NAME?</v>
      </c>
      <c r="AR1089" s="150" t="e">
        <f aca="false">_xlfn.xlookup(AN1089,A:A,AH:AH)</f>
        <v>#NAME?</v>
      </c>
      <c r="AS1089" s="150" t="e">
        <f aca="false">_xlfn.xlookup(AN1089,A:A,S:S)</f>
        <v>#NAME?</v>
      </c>
      <c r="AT1089" s="150" t="e">
        <f aca="false">_xlfn.xlookup(AN1089,A:A,AE:AE)</f>
        <v>#NAME?</v>
      </c>
      <c r="AU1089" s="150" t="e">
        <f aca="false">_xlfn.xlookup(AN1089,A:A,AF:AF)</f>
        <v>#NAME?</v>
      </c>
      <c r="AX1089" s="146"/>
      <c r="AY1089" s="150"/>
      <c r="AZ1089" s="150"/>
      <c r="BA1089" s="150"/>
      <c r="BB1089" s="146"/>
      <c r="BC1089" s="146"/>
      <c r="BD1089" s="151"/>
      <c r="BE1089" s="146"/>
      <c r="BF1089" s="146"/>
      <c r="BH1089" s="152" t="e">
        <f aca="false">_xlfn.xlookup(BG1089,A:A,E:E)</f>
        <v>#NAME?</v>
      </c>
      <c r="BI1089" s="153" t="e">
        <f aca="false">_xlfn.xlookup(BG1089,A:A,J:J)</f>
        <v>#NAME?</v>
      </c>
      <c r="BJ1089" s="153" t="e">
        <f aca="false">_xlfn.xlookup(BG1089,A:A,N:N)+_xlfn.xlookup(BG1089,A:A,O:O)</f>
        <v>#NAME?</v>
      </c>
    </row>
    <row r="1090" s="153" customFormat="true" ht="15" hidden="false" customHeight="false" outlineLevel="0" collapsed="false">
      <c r="AN1090" s="153" t="e">
        <v>#NAME?</v>
      </c>
      <c r="AO1090" s="153" t="e">
        <f aca="false">_xlfn.xlookup(AN1090,A:A,F:F)</f>
        <v>#NAME?</v>
      </c>
      <c r="AP1090" s="153" t="e">
        <f aca="false">_xlfn.xlookup(AN1090,A:A,J:J)</f>
        <v>#NAME?</v>
      </c>
      <c r="AQ1090" s="153" t="e">
        <f aca="false">_xlfn.xlookup(AN1090,A:A,N:N)+_xlfn.xlookup(AN1090,A:A,O:O)</f>
        <v>#NAME?</v>
      </c>
      <c r="AR1090" s="150" t="e">
        <f aca="false">_xlfn.xlookup(AN1090,A:A,AH:AH)</f>
        <v>#NAME?</v>
      </c>
      <c r="AS1090" s="150" t="e">
        <f aca="false">_xlfn.xlookup(AN1090,A:A,S:S)</f>
        <v>#NAME?</v>
      </c>
      <c r="AT1090" s="150" t="e">
        <f aca="false">_xlfn.xlookup(AN1090,A:A,AE:AE)</f>
        <v>#NAME?</v>
      </c>
      <c r="AU1090" s="150" t="e">
        <f aca="false">_xlfn.xlookup(AN1090,A:A,AF:AF)</f>
        <v>#NAME?</v>
      </c>
      <c r="AX1090" s="146"/>
      <c r="AY1090" s="150"/>
      <c r="AZ1090" s="150"/>
      <c r="BA1090" s="150"/>
      <c r="BB1090" s="146"/>
      <c r="BC1090" s="146"/>
      <c r="BD1090" s="151"/>
      <c r="BE1090" s="146"/>
      <c r="BF1090" s="146"/>
      <c r="BH1090" s="152" t="e">
        <f aca="false">_xlfn.xlookup(BG1090,A:A,E:E)</f>
        <v>#NAME?</v>
      </c>
      <c r="BI1090" s="153" t="e">
        <f aca="false">_xlfn.xlookup(BG1090,A:A,J:J)</f>
        <v>#NAME?</v>
      </c>
      <c r="BJ1090" s="153" t="e">
        <f aca="false">_xlfn.xlookup(BG1090,A:A,N:N)+_xlfn.xlookup(BG1090,A:A,O:O)</f>
        <v>#NAME?</v>
      </c>
    </row>
    <row r="1091" s="153" customFormat="true" ht="15" hidden="false" customHeight="false" outlineLevel="0" collapsed="false">
      <c r="AN1091" s="153" t="e">
        <v>#NAME?</v>
      </c>
      <c r="AO1091" s="153" t="e">
        <f aca="false">_xlfn.xlookup(AN1091,A:A,F:F)</f>
        <v>#NAME?</v>
      </c>
      <c r="AP1091" s="153" t="e">
        <f aca="false">_xlfn.xlookup(AN1091,A:A,J:J)</f>
        <v>#NAME?</v>
      </c>
      <c r="AQ1091" s="153" t="e">
        <f aca="false">_xlfn.xlookup(AN1091,A:A,N:N)+_xlfn.xlookup(AN1091,A:A,O:O)</f>
        <v>#NAME?</v>
      </c>
      <c r="AR1091" s="150" t="e">
        <f aca="false">_xlfn.xlookup(AN1091,A:A,AH:AH)</f>
        <v>#NAME?</v>
      </c>
      <c r="AS1091" s="150" t="e">
        <f aca="false">_xlfn.xlookup(AN1091,A:A,S:S)</f>
        <v>#NAME?</v>
      </c>
      <c r="AT1091" s="150" t="e">
        <f aca="false">_xlfn.xlookup(AN1091,A:A,AE:AE)</f>
        <v>#NAME?</v>
      </c>
      <c r="AU1091" s="150" t="e">
        <f aca="false">_xlfn.xlookup(AN1091,A:A,AF:AF)</f>
        <v>#NAME?</v>
      </c>
      <c r="AX1091" s="146"/>
      <c r="AY1091" s="150"/>
      <c r="AZ1091" s="150"/>
      <c r="BA1091" s="150"/>
      <c r="BB1091" s="146"/>
      <c r="BC1091" s="146"/>
      <c r="BD1091" s="151"/>
      <c r="BE1091" s="146"/>
      <c r="BF1091" s="146"/>
      <c r="BH1091" s="152" t="e">
        <f aca="false">_xlfn.xlookup(BG1091,A:A,E:E)</f>
        <v>#NAME?</v>
      </c>
      <c r="BI1091" s="153" t="e">
        <f aca="false">_xlfn.xlookup(BG1091,A:A,J:J)</f>
        <v>#NAME?</v>
      </c>
      <c r="BJ1091" s="153" t="e">
        <f aca="false">_xlfn.xlookup(BG1091,A:A,N:N)+_xlfn.xlookup(BG1091,A:A,O:O)</f>
        <v>#NAME?</v>
      </c>
    </row>
    <row r="1092" s="153" customFormat="true" ht="15" hidden="false" customHeight="false" outlineLevel="0" collapsed="false">
      <c r="AN1092" s="153" t="e">
        <v>#NAME?</v>
      </c>
      <c r="AO1092" s="153" t="e">
        <f aca="false">_xlfn.xlookup(AN1092,A:A,F:F)</f>
        <v>#NAME?</v>
      </c>
      <c r="AP1092" s="153" t="e">
        <f aca="false">_xlfn.xlookup(AN1092,A:A,J:J)</f>
        <v>#NAME?</v>
      </c>
      <c r="AQ1092" s="153" t="e">
        <f aca="false">_xlfn.xlookup(AN1092,A:A,N:N)+_xlfn.xlookup(AN1092,A:A,O:O)</f>
        <v>#NAME?</v>
      </c>
      <c r="AR1092" s="150" t="e">
        <f aca="false">_xlfn.xlookup(AN1092,A:A,AH:AH)</f>
        <v>#NAME?</v>
      </c>
      <c r="AS1092" s="150" t="e">
        <f aca="false">_xlfn.xlookup(AN1092,A:A,S:S)</f>
        <v>#NAME?</v>
      </c>
      <c r="AT1092" s="150" t="e">
        <f aca="false">_xlfn.xlookup(AN1092,A:A,AE:AE)</f>
        <v>#NAME?</v>
      </c>
      <c r="AU1092" s="150" t="e">
        <f aca="false">_xlfn.xlookup(AN1092,A:A,AF:AF)</f>
        <v>#NAME?</v>
      </c>
      <c r="AX1092" s="146"/>
      <c r="AY1092" s="150"/>
      <c r="AZ1092" s="150"/>
      <c r="BA1092" s="150"/>
      <c r="BB1092" s="146"/>
      <c r="BC1092" s="146"/>
      <c r="BD1092" s="151"/>
      <c r="BE1092" s="146"/>
      <c r="BF1092" s="146"/>
      <c r="BH1092" s="152" t="e">
        <f aca="false">_xlfn.xlookup(BG1092,A:A,E:E)</f>
        <v>#NAME?</v>
      </c>
      <c r="BI1092" s="153" t="e">
        <f aca="false">_xlfn.xlookup(BG1092,A:A,J:J)</f>
        <v>#NAME?</v>
      </c>
      <c r="BJ1092" s="153" t="e">
        <f aca="false">_xlfn.xlookup(BG1092,A:A,N:N)+_xlfn.xlookup(BG1092,A:A,O:O)</f>
        <v>#NAME?</v>
      </c>
    </row>
    <row r="1093" s="153" customFormat="true" ht="15" hidden="false" customHeight="false" outlineLevel="0" collapsed="false">
      <c r="AN1093" s="153" t="e">
        <v>#NAME?</v>
      </c>
      <c r="AO1093" s="153" t="e">
        <f aca="false">_xlfn.xlookup(AN1093,A:A,F:F)</f>
        <v>#NAME?</v>
      </c>
      <c r="AP1093" s="153" t="e">
        <f aca="false">_xlfn.xlookup(AN1093,A:A,J:J)</f>
        <v>#NAME?</v>
      </c>
      <c r="AQ1093" s="153" t="e">
        <f aca="false">_xlfn.xlookup(AN1093,A:A,N:N)+_xlfn.xlookup(AN1093,A:A,O:O)</f>
        <v>#NAME?</v>
      </c>
      <c r="AR1093" s="150" t="e">
        <f aca="false">_xlfn.xlookup(AN1093,A:A,AH:AH)</f>
        <v>#NAME?</v>
      </c>
      <c r="AS1093" s="150" t="e">
        <f aca="false">_xlfn.xlookup(AN1093,A:A,S:S)</f>
        <v>#NAME?</v>
      </c>
      <c r="AT1093" s="150" t="e">
        <f aca="false">_xlfn.xlookup(AN1093,A:A,AE:AE)</f>
        <v>#NAME?</v>
      </c>
      <c r="AU1093" s="150" t="e">
        <f aca="false">_xlfn.xlookup(AN1093,A:A,AF:AF)</f>
        <v>#NAME?</v>
      </c>
      <c r="AX1093" s="146"/>
      <c r="AY1093" s="150"/>
      <c r="AZ1093" s="150"/>
      <c r="BA1093" s="150"/>
      <c r="BB1093" s="146"/>
      <c r="BC1093" s="146"/>
      <c r="BD1093" s="151"/>
      <c r="BE1093" s="146"/>
      <c r="BF1093" s="146"/>
      <c r="BH1093" s="152" t="e">
        <f aca="false">_xlfn.xlookup(BG1093,A:A,E:E)</f>
        <v>#NAME?</v>
      </c>
      <c r="BI1093" s="153" t="e">
        <f aca="false">_xlfn.xlookup(BG1093,A:A,J:J)</f>
        <v>#NAME?</v>
      </c>
      <c r="BJ1093" s="153" t="e">
        <f aca="false">_xlfn.xlookup(BG1093,A:A,N:N)+_xlfn.xlookup(BG1093,A:A,O:O)</f>
        <v>#NAME?</v>
      </c>
    </row>
    <row r="1094" s="153" customFormat="true" ht="15" hidden="false" customHeight="false" outlineLevel="0" collapsed="false">
      <c r="AN1094" s="153" t="e">
        <v>#NAME?</v>
      </c>
      <c r="AO1094" s="153" t="e">
        <f aca="false">_xlfn.xlookup(AN1094,A:A,F:F)</f>
        <v>#NAME?</v>
      </c>
      <c r="AP1094" s="153" t="e">
        <f aca="false">_xlfn.xlookup(AN1094,A:A,J:J)</f>
        <v>#NAME?</v>
      </c>
      <c r="AQ1094" s="153" t="e">
        <f aca="false">_xlfn.xlookup(AN1094,A:A,N:N)+_xlfn.xlookup(AN1094,A:A,O:O)</f>
        <v>#NAME?</v>
      </c>
      <c r="AR1094" s="150" t="e">
        <f aca="false">_xlfn.xlookup(AN1094,A:A,AH:AH)</f>
        <v>#NAME?</v>
      </c>
      <c r="AS1094" s="150" t="e">
        <f aca="false">_xlfn.xlookup(AN1094,A:A,S:S)</f>
        <v>#NAME?</v>
      </c>
      <c r="AT1094" s="150" t="e">
        <f aca="false">_xlfn.xlookup(AN1094,A:A,AE:AE)</f>
        <v>#NAME?</v>
      </c>
      <c r="AU1094" s="150" t="e">
        <f aca="false">_xlfn.xlookup(AN1094,A:A,AF:AF)</f>
        <v>#NAME?</v>
      </c>
      <c r="AX1094" s="146"/>
      <c r="AY1094" s="150"/>
      <c r="AZ1094" s="150"/>
      <c r="BA1094" s="150"/>
      <c r="BB1094" s="146"/>
      <c r="BC1094" s="146"/>
      <c r="BD1094" s="151"/>
      <c r="BE1094" s="146"/>
      <c r="BF1094" s="146"/>
      <c r="BH1094" s="152" t="e">
        <f aca="false">_xlfn.xlookup(BG1094,A:A,E:E)</f>
        <v>#NAME?</v>
      </c>
      <c r="BI1094" s="153" t="e">
        <f aca="false">_xlfn.xlookup(BG1094,A:A,J:J)</f>
        <v>#NAME?</v>
      </c>
      <c r="BJ1094" s="153" t="e">
        <f aca="false">_xlfn.xlookup(BG1094,A:A,N:N)+_xlfn.xlookup(BG1094,A:A,O:O)</f>
        <v>#NAME?</v>
      </c>
    </row>
    <row r="1095" s="153" customFormat="true" ht="15" hidden="false" customHeight="false" outlineLevel="0" collapsed="false">
      <c r="AN1095" s="153" t="e">
        <v>#NAME?</v>
      </c>
      <c r="AO1095" s="153" t="e">
        <f aca="false">_xlfn.xlookup(AN1095,A:A,F:F)</f>
        <v>#NAME?</v>
      </c>
      <c r="AP1095" s="153" t="e">
        <f aca="false">_xlfn.xlookup(AN1095,A:A,J:J)</f>
        <v>#NAME?</v>
      </c>
      <c r="AQ1095" s="153" t="e">
        <f aca="false">_xlfn.xlookup(AN1095,A:A,N:N)+_xlfn.xlookup(AN1095,A:A,O:O)</f>
        <v>#NAME?</v>
      </c>
      <c r="AR1095" s="150" t="e">
        <f aca="false">_xlfn.xlookup(AN1095,A:A,AH:AH)</f>
        <v>#NAME?</v>
      </c>
      <c r="AS1095" s="150" t="e">
        <f aca="false">_xlfn.xlookup(AN1095,A:A,S:S)</f>
        <v>#NAME?</v>
      </c>
      <c r="AT1095" s="150" t="e">
        <f aca="false">_xlfn.xlookup(AN1095,A:A,AE:AE)</f>
        <v>#NAME?</v>
      </c>
      <c r="AU1095" s="150" t="e">
        <f aca="false">_xlfn.xlookup(AN1095,A:A,AF:AF)</f>
        <v>#NAME?</v>
      </c>
      <c r="AX1095" s="146"/>
      <c r="AY1095" s="150"/>
      <c r="AZ1095" s="150"/>
      <c r="BA1095" s="150"/>
      <c r="BB1095" s="146"/>
      <c r="BC1095" s="146"/>
      <c r="BD1095" s="151"/>
      <c r="BE1095" s="146"/>
      <c r="BF1095" s="146"/>
      <c r="BH1095" s="152" t="e">
        <f aca="false">_xlfn.xlookup(BG1095,A:A,E:E)</f>
        <v>#NAME?</v>
      </c>
      <c r="BI1095" s="153" t="e">
        <f aca="false">_xlfn.xlookup(BG1095,A:A,J:J)</f>
        <v>#NAME?</v>
      </c>
      <c r="BJ1095" s="153" t="e">
        <f aca="false">_xlfn.xlookup(BG1095,A:A,N:N)+_xlfn.xlookup(BG1095,A:A,O:O)</f>
        <v>#NAME?</v>
      </c>
    </row>
    <row r="1096" s="153" customFormat="true" ht="15" hidden="false" customHeight="false" outlineLevel="0" collapsed="false">
      <c r="AN1096" s="153" t="e">
        <v>#NAME?</v>
      </c>
      <c r="AO1096" s="153" t="e">
        <f aca="false">_xlfn.xlookup(AN1096,A:A,F:F)</f>
        <v>#NAME?</v>
      </c>
      <c r="AP1096" s="153" t="e">
        <f aca="false">_xlfn.xlookup(AN1096,A:A,J:J)</f>
        <v>#NAME?</v>
      </c>
      <c r="AQ1096" s="153" t="e">
        <f aca="false">_xlfn.xlookup(AN1096,A:A,N:N)+_xlfn.xlookup(AN1096,A:A,O:O)</f>
        <v>#NAME?</v>
      </c>
      <c r="AR1096" s="150" t="e">
        <f aca="false">_xlfn.xlookup(AN1096,A:A,AH:AH)</f>
        <v>#NAME?</v>
      </c>
      <c r="AS1096" s="150" t="e">
        <f aca="false">_xlfn.xlookup(AN1096,A:A,S:S)</f>
        <v>#NAME?</v>
      </c>
      <c r="AT1096" s="150" t="e">
        <f aca="false">_xlfn.xlookup(AN1096,A:A,AE:AE)</f>
        <v>#NAME?</v>
      </c>
      <c r="AU1096" s="150" t="e">
        <f aca="false">_xlfn.xlookup(AN1096,A:A,AF:AF)</f>
        <v>#NAME?</v>
      </c>
      <c r="AX1096" s="146"/>
      <c r="AY1096" s="150"/>
      <c r="AZ1096" s="150"/>
      <c r="BA1096" s="150"/>
      <c r="BB1096" s="146"/>
      <c r="BC1096" s="146"/>
      <c r="BD1096" s="151"/>
      <c r="BE1096" s="146"/>
      <c r="BF1096" s="146"/>
      <c r="BH1096" s="152" t="e">
        <f aca="false">_xlfn.xlookup(BG1096,A:A,E:E)</f>
        <v>#NAME?</v>
      </c>
      <c r="BI1096" s="153" t="e">
        <f aca="false">_xlfn.xlookup(BG1096,A:A,J:J)</f>
        <v>#NAME?</v>
      </c>
      <c r="BJ1096" s="153" t="e">
        <f aca="false">_xlfn.xlookup(BG1096,A:A,N:N)+_xlfn.xlookup(BG1096,A:A,O:O)</f>
        <v>#NAME?</v>
      </c>
    </row>
    <row r="1097" s="153" customFormat="true" ht="15" hidden="false" customHeight="false" outlineLevel="0" collapsed="false">
      <c r="AN1097" s="153" t="e">
        <v>#NAME?</v>
      </c>
      <c r="AO1097" s="153" t="e">
        <f aca="false">_xlfn.xlookup(AN1097,A:A,F:F)</f>
        <v>#NAME?</v>
      </c>
      <c r="AP1097" s="153" t="e">
        <f aca="false">_xlfn.xlookup(AN1097,A:A,J:J)</f>
        <v>#NAME?</v>
      </c>
      <c r="AQ1097" s="153" t="e">
        <f aca="false">_xlfn.xlookup(AN1097,A:A,N:N)+_xlfn.xlookup(AN1097,A:A,O:O)</f>
        <v>#NAME?</v>
      </c>
      <c r="AR1097" s="150" t="e">
        <f aca="false">_xlfn.xlookup(AN1097,A:A,AH:AH)</f>
        <v>#NAME?</v>
      </c>
      <c r="AS1097" s="150" t="e">
        <f aca="false">_xlfn.xlookup(AN1097,A:A,S:S)</f>
        <v>#NAME?</v>
      </c>
      <c r="AT1097" s="150" t="e">
        <f aca="false">_xlfn.xlookup(AN1097,A:A,AE:AE)</f>
        <v>#NAME?</v>
      </c>
      <c r="AU1097" s="150" t="e">
        <f aca="false">_xlfn.xlookup(AN1097,A:A,AF:AF)</f>
        <v>#NAME?</v>
      </c>
      <c r="AX1097" s="146"/>
      <c r="AY1097" s="150"/>
      <c r="AZ1097" s="150"/>
      <c r="BA1097" s="150"/>
      <c r="BB1097" s="146"/>
      <c r="BC1097" s="146"/>
      <c r="BD1097" s="151"/>
      <c r="BE1097" s="146"/>
      <c r="BF1097" s="146"/>
      <c r="BH1097" s="152" t="e">
        <f aca="false">_xlfn.xlookup(BG1097,A:A,E:E)</f>
        <v>#NAME?</v>
      </c>
      <c r="BI1097" s="153" t="e">
        <f aca="false">_xlfn.xlookup(BG1097,A:A,J:J)</f>
        <v>#NAME?</v>
      </c>
      <c r="BJ1097" s="153" t="e">
        <f aca="false">_xlfn.xlookup(BG1097,A:A,N:N)+_xlfn.xlookup(BG1097,A:A,O:O)</f>
        <v>#NAME?</v>
      </c>
    </row>
    <row r="1098" s="153" customFormat="true" ht="15" hidden="false" customHeight="false" outlineLevel="0" collapsed="false">
      <c r="AN1098" s="153" t="e">
        <v>#NAME?</v>
      </c>
      <c r="AO1098" s="153" t="e">
        <f aca="false">_xlfn.xlookup(AN1098,A:A,F:F)</f>
        <v>#NAME?</v>
      </c>
      <c r="AP1098" s="153" t="e">
        <f aca="false">_xlfn.xlookup(AN1098,A:A,J:J)</f>
        <v>#NAME?</v>
      </c>
      <c r="AQ1098" s="153" t="e">
        <f aca="false">_xlfn.xlookup(AN1098,A:A,N:N)+_xlfn.xlookup(AN1098,A:A,O:O)</f>
        <v>#NAME?</v>
      </c>
      <c r="AR1098" s="150" t="e">
        <f aca="false">_xlfn.xlookup(AN1098,A:A,AH:AH)</f>
        <v>#NAME?</v>
      </c>
      <c r="AS1098" s="150" t="e">
        <f aca="false">_xlfn.xlookup(AN1098,A:A,S:S)</f>
        <v>#NAME?</v>
      </c>
      <c r="AT1098" s="150" t="e">
        <f aca="false">_xlfn.xlookup(AN1098,A:A,AE:AE)</f>
        <v>#NAME?</v>
      </c>
      <c r="AU1098" s="150" t="e">
        <f aca="false">_xlfn.xlookup(AN1098,A:A,AF:AF)</f>
        <v>#NAME?</v>
      </c>
      <c r="AX1098" s="146"/>
      <c r="AY1098" s="150"/>
      <c r="AZ1098" s="150"/>
      <c r="BA1098" s="150"/>
      <c r="BB1098" s="146"/>
      <c r="BC1098" s="146"/>
      <c r="BD1098" s="151"/>
      <c r="BE1098" s="146"/>
      <c r="BF1098" s="146"/>
      <c r="BH1098" s="152" t="e">
        <f aca="false">_xlfn.xlookup(BG1098,A:A,E:E)</f>
        <v>#NAME?</v>
      </c>
      <c r="BI1098" s="153" t="e">
        <f aca="false">_xlfn.xlookup(BG1098,A:A,J:J)</f>
        <v>#NAME?</v>
      </c>
      <c r="BJ1098" s="153" t="e">
        <f aca="false">_xlfn.xlookup(BG1098,A:A,N:N)+_xlfn.xlookup(BG1098,A:A,O:O)</f>
        <v>#NAME?</v>
      </c>
    </row>
    <row r="1099" s="153" customFormat="true" ht="15" hidden="false" customHeight="false" outlineLevel="0" collapsed="false">
      <c r="AN1099" s="153" t="e">
        <v>#NAME?</v>
      </c>
      <c r="AO1099" s="153" t="e">
        <f aca="false">_xlfn.xlookup(AN1099,A:A,F:F)</f>
        <v>#NAME?</v>
      </c>
      <c r="AP1099" s="153" t="e">
        <f aca="false">_xlfn.xlookup(AN1099,A:A,J:J)</f>
        <v>#NAME?</v>
      </c>
      <c r="AQ1099" s="153" t="e">
        <f aca="false">_xlfn.xlookup(AN1099,A:A,N:N)+_xlfn.xlookup(AN1099,A:A,O:O)</f>
        <v>#NAME?</v>
      </c>
      <c r="AR1099" s="150" t="e">
        <f aca="false">_xlfn.xlookup(AN1099,A:A,AH:AH)</f>
        <v>#NAME?</v>
      </c>
      <c r="AS1099" s="150" t="e">
        <f aca="false">_xlfn.xlookup(AN1099,A:A,S:S)</f>
        <v>#NAME?</v>
      </c>
      <c r="AT1099" s="150" t="e">
        <f aca="false">_xlfn.xlookup(AN1099,A:A,AE:AE)</f>
        <v>#NAME?</v>
      </c>
      <c r="AU1099" s="150" t="e">
        <f aca="false">_xlfn.xlookup(AN1099,A:A,AF:AF)</f>
        <v>#NAME?</v>
      </c>
      <c r="AX1099" s="146"/>
      <c r="AY1099" s="150"/>
      <c r="AZ1099" s="150"/>
      <c r="BA1099" s="150"/>
      <c r="BB1099" s="146"/>
      <c r="BC1099" s="146"/>
      <c r="BD1099" s="151"/>
      <c r="BE1099" s="146"/>
      <c r="BF1099" s="146"/>
      <c r="BH1099" s="152" t="e">
        <f aca="false">_xlfn.xlookup(BG1099,A:A,E:E)</f>
        <v>#NAME?</v>
      </c>
      <c r="BI1099" s="153" t="e">
        <f aca="false">_xlfn.xlookup(BG1099,A:A,J:J)</f>
        <v>#NAME?</v>
      </c>
      <c r="BJ1099" s="153" t="e">
        <f aca="false">_xlfn.xlookup(BG1099,A:A,N:N)+_xlfn.xlookup(BG1099,A:A,O:O)</f>
        <v>#NAME?</v>
      </c>
    </row>
    <row r="1100" s="153" customFormat="true" ht="15" hidden="false" customHeight="false" outlineLevel="0" collapsed="false">
      <c r="AN1100" s="153" t="e">
        <v>#NAME?</v>
      </c>
      <c r="AO1100" s="153" t="e">
        <f aca="false">_xlfn.xlookup(AN1100,A:A,F:F)</f>
        <v>#NAME?</v>
      </c>
      <c r="AP1100" s="153" t="e">
        <f aca="false">_xlfn.xlookup(AN1100,A:A,J:J)</f>
        <v>#NAME?</v>
      </c>
      <c r="AQ1100" s="153" t="e">
        <f aca="false">_xlfn.xlookup(AN1100,A:A,N:N)+_xlfn.xlookup(AN1100,A:A,O:O)</f>
        <v>#NAME?</v>
      </c>
      <c r="AR1100" s="150" t="e">
        <f aca="false">_xlfn.xlookup(AN1100,A:A,AH:AH)</f>
        <v>#NAME?</v>
      </c>
      <c r="AS1100" s="150" t="e">
        <f aca="false">_xlfn.xlookup(AN1100,A:A,S:S)</f>
        <v>#NAME?</v>
      </c>
      <c r="AT1100" s="150" t="e">
        <f aca="false">_xlfn.xlookup(AN1100,A:A,AE:AE)</f>
        <v>#NAME?</v>
      </c>
      <c r="AU1100" s="150" t="e">
        <f aca="false">_xlfn.xlookup(AN1100,A:A,AF:AF)</f>
        <v>#NAME?</v>
      </c>
      <c r="AX1100" s="146"/>
      <c r="AY1100" s="150"/>
      <c r="AZ1100" s="150"/>
      <c r="BA1100" s="150"/>
      <c r="BB1100" s="146"/>
      <c r="BC1100" s="146"/>
      <c r="BD1100" s="151"/>
      <c r="BE1100" s="146"/>
      <c r="BF1100" s="146"/>
      <c r="BH1100" s="152" t="e">
        <f aca="false">_xlfn.xlookup(BG1100,A:A,E:E)</f>
        <v>#NAME?</v>
      </c>
      <c r="BI1100" s="153" t="e">
        <f aca="false">_xlfn.xlookup(BG1100,A:A,J:J)</f>
        <v>#NAME?</v>
      </c>
      <c r="BJ1100" s="153" t="e">
        <f aca="false">_xlfn.xlookup(BG1100,A:A,N:N)+_xlfn.xlookup(BG1100,A:A,O:O)</f>
        <v>#NAME?</v>
      </c>
    </row>
    <row r="1101" s="153" customFormat="true" ht="15" hidden="false" customHeight="false" outlineLevel="0" collapsed="false">
      <c r="AN1101" s="153" t="e">
        <v>#NAME?</v>
      </c>
      <c r="AO1101" s="153" t="e">
        <f aca="false">_xlfn.xlookup(AN1101,A:A,F:F)</f>
        <v>#NAME?</v>
      </c>
      <c r="AP1101" s="153" t="e">
        <f aca="false">_xlfn.xlookup(AN1101,A:A,J:J)</f>
        <v>#NAME?</v>
      </c>
      <c r="AQ1101" s="153" t="e">
        <f aca="false">_xlfn.xlookup(AN1101,A:A,N:N)+_xlfn.xlookup(AN1101,A:A,O:O)</f>
        <v>#NAME?</v>
      </c>
      <c r="AR1101" s="150" t="e">
        <f aca="false">_xlfn.xlookup(AN1101,A:A,AH:AH)</f>
        <v>#NAME?</v>
      </c>
      <c r="AS1101" s="150" t="e">
        <f aca="false">_xlfn.xlookup(AN1101,A:A,S:S)</f>
        <v>#NAME?</v>
      </c>
      <c r="AT1101" s="150" t="e">
        <f aca="false">_xlfn.xlookup(AN1101,A:A,AE:AE)</f>
        <v>#NAME?</v>
      </c>
      <c r="AU1101" s="150" t="e">
        <f aca="false">_xlfn.xlookup(AN1101,A:A,AF:AF)</f>
        <v>#NAME?</v>
      </c>
      <c r="AX1101" s="146"/>
      <c r="AY1101" s="150"/>
      <c r="AZ1101" s="150"/>
      <c r="BA1101" s="150"/>
      <c r="BB1101" s="146"/>
      <c r="BC1101" s="146"/>
      <c r="BD1101" s="151"/>
      <c r="BE1101" s="146"/>
      <c r="BF1101" s="146"/>
      <c r="BH1101" s="152" t="e">
        <f aca="false">_xlfn.xlookup(BG1101,A:A,E:E)</f>
        <v>#NAME?</v>
      </c>
      <c r="BI1101" s="153" t="e">
        <f aca="false">_xlfn.xlookup(BG1101,A:A,J:J)</f>
        <v>#NAME?</v>
      </c>
      <c r="BJ1101" s="153" t="e">
        <f aca="false">_xlfn.xlookup(BG1101,A:A,N:N)+_xlfn.xlookup(BG1101,A:A,O:O)</f>
        <v>#NAME?</v>
      </c>
    </row>
    <row r="1102" s="153" customFormat="true" ht="15" hidden="false" customHeight="false" outlineLevel="0" collapsed="false">
      <c r="AN1102" s="153" t="e">
        <v>#NAME?</v>
      </c>
      <c r="AO1102" s="153" t="e">
        <f aca="false">_xlfn.xlookup(AN1102,A:A,F:F)</f>
        <v>#NAME?</v>
      </c>
      <c r="AP1102" s="153" t="e">
        <f aca="false">_xlfn.xlookup(AN1102,A:A,J:J)</f>
        <v>#NAME?</v>
      </c>
      <c r="AQ1102" s="153" t="e">
        <f aca="false">_xlfn.xlookup(AN1102,A:A,N:N)+_xlfn.xlookup(AN1102,A:A,O:O)</f>
        <v>#NAME?</v>
      </c>
      <c r="AR1102" s="150" t="e">
        <f aca="false">_xlfn.xlookup(AN1102,A:A,AH:AH)</f>
        <v>#NAME?</v>
      </c>
      <c r="AS1102" s="150" t="e">
        <f aca="false">_xlfn.xlookup(AN1102,A:A,S:S)</f>
        <v>#NAME?</v>
      </c>
      <c r="AT1102" s="150" t="e">
        <f aca="false">_xlfn.xlookup(AN1102,A:A,AE:AE)</f>
        <v>#NAME?</v>
      </c>
      <c r="AU1102" s="150" t="e">
        <f aca="false">_xlfn.xlookup(AN1102,A:A,AF:AF)</f>
        <v>#NAME?</v>
      </c>
      <c r="AX1102" s="146"/>
      <c r="AY1102" s="150"/>
      <c r="AZ1102" s="150"/>
      <c r="BA1102" s="150"/>
      <c r="BB1102" s="146"/>
      <c r="BC1102" s="146"/>
      <c r="BD1102" s="151"/>
      <c r="BE1102" s="146"/>
      <c r="BF1102" s="146"/>
      <c r="BH1102" s="152" t="e">
        <f aca="false">_xlfn.xlookup(BG1102,A:A,E:E)</f>
        <v>#NAME?</v>
      </c>
      <c r="BI1102" s="153" t="e">
        <f aca="false">_xlfn.xlookup(BG1102,A:A,J:J)</f>
        <v>#NAME?</v>
      </c>
      <c r="BJ1102" s="153" t="e">
        <f aca="false">_xlfn.xlookup(BG1102,A:A,N:N)+_xlfn.xlookup(BG1102,A:A,O:O)</f>
        <v>#NAME?</v>
      </c>
    </row>
    <row r="1103" s="153" customFormat="true" ht="15" hidden="false" customHeight="false" outlineLevel="0" collapsed="false">
      <c r="AN1103" s="153" t="e">
        <v>#NAME?</v>
      </c>
      <c r="AO1103" s="153" t="e">
        <f aca="false">_xlfn.xlookup(AN1103,A:A,F:F)</f>
        <v>#NAME?</v>
      </c>
      <c r="AP1103" s="153" t="e">
        <f aca="false">_xlfn.xlookup(AN1103,A:A,J:J)</f>
        <v>#NAME?</v>
      </c>
      <c r="AQ1103" s="153" t="e">
        <f aca="false">_xlfn.xlookup(AN1103,A:A,N:N)+_xlfn.xlookup(AN1103,A:A,O:O)</f>
        <v>#NAME?</v>
      </c>
      <c r="AR1103" s="150" t="e">
        <f aca="false">_xlfn.xlookup(AN1103,A:A,AH:AH)</f>
        <v>#NAME?</v>
      </c>
      <c r="AS1103" s="150" t="e">
        <f aca="false">_xlfn.xlookup(AN1103,A:A,S:S)</f>
        <v>#NAME?</v>
      </c>
      <c r="AT1103" s="150" t="e">
        <f aca="false">_xlfn.xlookup(AN1103,A:A,AE:AE)</f>
        <v>#NAME?</v>
      </c>
      <c r="AU1103" s="150" t="e">
        <f aca="false">_xlfn.xlookup(AN1103,A:A,AF:AF)</f>
        <v>#NAME?</v>
      </c>
      <c r="AX1103" s="146"/>
      <c r="AY1103" s="150"/>
      <c r="AZ1103" s="150"/>
      <c r="BA1103" s="150"/>
      <c r="BB1103" s="146"/>
      <c r="BC1103" s="146"/>
      <c r="BD1103" s="151"/>
      <c r="BE1103" s="146"/>
      <c r="BF1103" s="146"/>
      <c r="BH1103" s="152" t="e">
        <f aca="false">_xlfn.xlookup(BG1103,A:A,E:E)</f>
        <v>#NAME?</v>
      </c>
      <c r="BI1103" s="153" t="e">
        <f aca="false">_xlfn.xlookup(BG1103,A:A,J:J)</f>
        <v>#NAME?</v>
      </c>
      <c r="BJ1103" s="153" t="e">
        <f aca="false">_xlfn.xlookup(BG1103,A:A,N:N)+_xlfn.xlookup(BG1103,A:A,O:O)</f>
        <v>#NAME?</v>
      </c>
    </row>
    <row r="1104" s="153" customFormat="true" ht="15" hidden="false" customHeight="false" outlineLevel="0" collapsed="false">
      <c r="AN1104" s="153" t="e">
        <v>#NAME?</v>
      </c>
      <c r="AO1104" s="153" t="e">
        <f aca="false">_xlfn.xlookup(AN1104,A:A,F:F)</f>
        <v>#NAME?</v>
      </c>
      <c r="AP1104" s="153" t="e">
        <f aca="false">_xlfn.xlookup(AN1104,A:A,J:J)</f>
        <v>#NAME?</v>
      </c>
      <c r="AQ1104" s="153" t="e">
        <f aca="false">_xlfn.xlookup(AN1104,A:A,N:N)+_xlfn.xlookup(AN1104,A:A,O:O)</f>
        <v>#NAME?</v>
      </c>
      <c r="AR1104" s="150" t="e">
        <f aca="false">_xlfn.xlookup(AN1104,A:A,AH:AH)</f>
        <v>#NAME?</v>
      </c>
      <c r="AS1104" s="150" t="e">
        <f aca="false">_xlfn.xlookup(AN1104,A:A,S:S)</f>
        <v>#NAME?</v>
      </c>
      <c r="AT1104" s="150" t="e">
        <f aca="false">_xlfn.xlookup(AN1104,A:A,AE:AE)</f>
        <v>#NAME?</v>
      </c>
      <c r="AU1104" s="150" t="e">
        <f aca="false">_xlfn.xlookup(AN1104,A:A,AF:AF)</f>
        <v>#NAME?</v>
      </c>
      <c r="AX1104" s="146"/>
      <c r="AY1104" s="150"/>
      <c r="AZ1104" s="150"/>
      <c r="BA1104" s="150"/>
      <c r="BB1104" s="146"/>
      <c r="BC1104" s="146"/>
      <c r="BD1104" s="151"/>
      <c r="BE1104" s="146"/>
      <c r="BF1104" s="146"/>
      <c r="BH1104" s="152" t="e">
        <f aca="false">_xlfn.xlookup(BG1104,A:A,E:E)</f>
        <v>#NAME?</v>
      </c>
      <c r="BI1104" s="153" t="e">
        <f aca="false">_xlfn.xlookup(BG1104,A:A,J:J)</f>
        <v>#NAME?</v>
      </c>
      <c r="BJ1104" s="153" t="e">
        <f aca="false">_xlfn.xlookup(BG1104,A:A,N:N)+_xlfn.xlookup(BG1104,A:A,O:O)</f>
        <v>#NAME?</v>
      </c>
    </row>
    <row r="1105" s="153" customFormat="true" ht="15" hidden="false" customHeight="false" outlineLevel="0" collapsed="false">
      <c r="AN1105" s="153" t="e">
        <v>#NAME?</v>
      </c>
      <c r="AO1105" s="153" t="e">
        <f aca="false">_xlfn.xlookup(AN1105,A:A,F:F)</f>
        <v>#NAME?</v>
      </c>
      <c r="AP1105" s="153" t="e">
        <f aca="false">_xlfn.xlookup(AN1105,A:A,J:J)</f>
        <v>#NAME?</v>
      </c>
      <c r="AQ1105" s="153" t="e">
        <f aca="false">_xlfn.xlookup(AN1105,A:A,N:N)+_xlfn.xlookup(AN1105,A:A,O:O)</f>
        <v>#NAME?</v>
      </c>
      <c r="AR1105" s="150" t="e">
        <f aca="false">_xlfn.xlookup(AN1105,A:A,AH:AH)</f>
        <v>#NAME?</v>
      </c>
      <c r="AS1105" s="150" t="e">
        <f aca="false">_xlfn.xlookup(AN1105,A:A,S:S)</f>
        <v>#NAME?</v>
      </c>
      <c r="AT1105" s="150" t="e">
        <f aca="false">_xlfn.xlookup(AN1105,A:A,AE:AE)</f>
        <v>#NAME?</v>
      </c>
      <c r="AU1105" s="150" t="e">
        <f aca="false">_xlfn.xlookup(AN1105,A:A,AF:AF)</f>
        <v>#NAME?</v>
      </c>
      <c r="AX1105" s="146"/>
      <c r="AY1105" s="150"/>
      <c r="AZ1105" s="150"/>
      <c r="BA1105" s="150"/>
      <c r="BB1105" s="146"/>
      <c r="BC1105" s="146"/>
      <c r="BD1105" s="151"/>
      <c r="BE1105" s="146"/>
      <c r="BF1105" s="146"/>
      <c r="BH1105" s="152" t="e">
        <f aca="false">_xlfn.xlookup(BG1105,A:A,E:E)</f>
        <v>#NAME?</v>
      </c>
      <c r="BI1105" s="153" t="e">
        <f aca="false">_xlfn.xlookup(BG1105,A:A,J:J)</f>
        <v>#NAME?</v>
      </c>
      <c r="BJ1105" s="153" t="e">
        <f aca="false">_xlfn.xlookup(BG1105,A:A,N:N)+_xlfn.xlookup(BG1105,A:A,O:O)</f>
        <v>#NAME?</v>
      </c>
    </row>
    <row r="1106" s="153" customFormat="true" ht="15" hidden="false" customHeight="false" outlineLevel="0" collapsed="false">
      <c r="AN1106" s="153" t="e">
        <v>#NAME?</v>
      </c>
      <c r="AO1106" s="153" t="e">
        <f aca="false">_xlfn.xlookup(AN1106,A:A,F:F)</f>
        <v>#NAME?</v>
      </c>
      <c r="AP1106" s="153" t="e">
        <f aca="false">_xlfn.xlookup(AN1106,A:A,J:J)</f>
        <v>#NAME?</v>
      </c>
      <c r="AQ1106" s="153" t="e">
        <f aca="false">_xlfn.xlookup(AN1106,A:A,N:N)+_xlfn.xlookup(AN1106,A:A,O:O)</f>
        <v>#NAME?</v>
      </c>
      <c r="AR1106" s="150" t="e">
        <f aca="false">_xlfn.xlookup(AN1106,A:A,AH:AH)</f>
        <v>#NAME?</v>
      </c>
      <c r="AS1106" s="150" t="e">
        <f aca="false">_xlfn.xlookup(AN1106,A:A,S:S)</f>
        <v>#NAME?</v>
      </c>
      <c r="AT1106" s="150" t="e">
        <f aca="false">_xlfn.xlookup(AN1106,A:A,AE:AE)</f>
        <v>#NAME?</v>
      </c>
      <c r="AU1106" s="150" t="e">
        <f aca="false">_xlfn.xlookup(AN1106,A:A,AF:AF)</f>
        <v>#NAME?</v>
      </c>
      <c r="AX1106" s="146"/>
      <c r="AY1106" s="150"/>
      <c r="AZ1106" s="150"/>
      <c r="BA1106" s="150"/>
      <c r="BB1106" s="146"/>
      <c r="BC1106" s="146"/>
      <c r="BD1106" s="151"/>
      <c r="BE1106" s="146"/>
      <c r="BF1106" s="146"/>
      <c r="BH1106" s="152" t="e">
        <f aca="false">_xlfn.xlookup(BG1106,A:A,E:E)</f>
        <v>#NAME?</v>
      </c>
      <c r="BI1106" s="153" t="e">
        <f aca="false">_xlfn.xlookup(BG1106,A:A,J:J)</f>
        <v>#NAME?</v>
      </c>
      <c r="BJ1106" s="153" t="e">
        <f aca="false">_xlfn.xlookup(BG1106,A:A,N:N)+_xlfn.xlookup(BG1106,A:A,O:O)</f>
        <v>#NAME?</v>
      </c>
    </row>
    <row r="1107" s="153" customFormat="true" ht="15" hidden="false" customHeight="false" outlineLevel="0" collapsed="false">
      <c r="AN1107" s="153" t="e">
        <v>#NAME?</v>
      </c>
      <c r="AO1107" s="153" t="e">
        <f aca="false">_xlfn.xlookup(AN1107,A:A,F:F)</f>
        <v>#NAME?</v>
      </c>
      <c r="AP1107" s="153" t="e">
        <f aca="false">_xlfn.xlookup(AN1107,A:A,J:J)</f>
        <v>#NAME?</v>
      </c>
      <c r="AQ1107" s="153" t="e">
        <f aca="false">_xlfn.xlookup(AN1107,A:A,N:N)+_xlfn.xlookup(AN1107,A:A,O:O)</f>
        <v>#NAME?</v>
      </c>
      <c r="AR1107" s="150" t="e">
        <f aca="false">_xlfn.xlookup(AN1107,A:A,AH:AH)</f>
        <v>#NAME?</v>
      </c>
      <c r="AS1107" s="150" t="e">
        <f aca="false">_xlfn.xlookup(AN1107,A:A,S:S)</f>
        <v>#NAME?</v>
      </c>
      <c r="AT1107" s="150" t="e">
        <f aca="false">_xlfn.xlookup(AN1107,A:A,AE:AE)</f>
        <v>#NAME?</v>
      </c>
      <c r="AU1107" s="150" t="e">
        <f aca="false">_xlfn.xlookup(AN1107,A:A,AF:AF)</f>
        <v>#NAME?</v>
      </c>
      <c r="AX1107" s="146"/>
      <c r="AY1107" s="150"/>
      <c r="AZ1107" s="150"/>
      <c r="BA1107" s="150"/>
      <c r="BB1107" s="146"/>
      <c r="BC1107" s="146"/>
      <c r="BD1107" s="151"/>
      <c r="BE1107" s="146"/>
      <c r="BF1107" s="146"/>
      <c r="BH1107" s="152" t="e">
        <f aca="false">_xlfn.xlookup(BG1107,A:A,E:E)</f>
        <v>#NAME?</v>
      </c>
      <c r="BI1107" s="153" t="e">
        <f aca="false">_xlfn.xlookup(BG1107,A:A,J:J)</f>
        <v>#NAME?</v>
      </c>
      <c r="BJ1107" s="153" t="e">
        <f aca="false">_xlfn.xlookup(BG1107,A:A,N:N)+_xlfn.xlookup(BG1107,A:A,O:O)</f>
        <v>#NAME?</v>
      </c>
    </row>
    <row r="1108" s="153" customFormat="true" ht="15" hidden="false" customHeight="false" outlineLevel="0" collapsed="false">
      <c r="AN1108" s="153" t="e">
        <v>#NAME?</v>
      </c>
      <c r="AO1108" s="153" t="e">
        <f aca="false">_xlfn.xlookup(AN1108,A:A,F:F)</f>
        <v>#NAME?</v>
      </c>
      <c r="AP1108" s="153" t="e">
        <f aca="false">_xlfn.xlookup(AN1108,A:A,J:J)</f>
        <v>#NAME?</v>
      </c>
      <c r="AQ1108" s="153" t="e">
        <f aca="false">_xlfn.xlookup(AN1108,A:A,N:N)+_xlfn.xlookup(AN1108,A:A,O:O)</f>
        <v>#NAME?</v>
      </c>
      <c r="AR1108" s="150" t="e">
        <f aca="false">_xlfn.xlookup(AN1108,A:A,AH:AH)</f>
        <v>#NAME?</v>
      </c>
      <c r="AS1108" s="150" t="e">
        <f aca="false">_xlfn.xlookup(AN1108,A:A,S:S)</f>
        <v>#NAME?</v>
      </c>
      <c r="AT1108" s="150" t="e">
        <f aca="false">_xlfn.xlookup(AN1108,A:A,AE:AE)</f>
        <v>#NAME?</v>
      </c>
      <c r="AU1108" s="150" t="e">
        <f aca="false">_xlfn.xlookup(AN1108,A:A,AF:AF)</f>
        <v>#NAME?</v>
      </c>
      <c r="AX1108" s="146"/>
      <c r="AY1108" s="150"/>
      <c r="AZ1108" s="150"/>
      <c r="BA1108" s="150"/>
      <c r="BB1108" s="146"/>
      <c r="BC1108" s="146"/>
      <c r="BD1108" s="151"/>
      <c r="BE1108" s="146"/>
      <c r="BF1108" s="146"/>
      <c r="BH1108" s="152" t="e">
        <f aca="false">_xlfn.xlookup(BG1108,A:A,E:E)</f>
        <v>#NAME?</v>
      </c>
      <c r="BI1108" s="153" t="e">
        <f aca="false">_xlfn.xlookup(BG1108,A:A,J:J)</f>
        <v>#NAME?</v>
      </c>
      <c r="BJ1108" s="153" t="e">
        <f aca="false">_xlfn.xlookup(BG1108,A:A,N:N)+_xlfn.xlookup(BG1108,A:A,O:O)</f>
        <v>#NAME?</v>
      </c>
    </row>
    <row r="1109" s="153" customFormat="true" ht="15" hidden="false" customHeight="false" outlineLevel="0" collapsed="false">
      <c r="AN1109" s="153" t="e">
        <v>#NAME?</v>
      </c>
      <c r="AO1109" s="153" t="e">
        <f aca="false">_xlfn.xlookup(AN1109,A:A,F:F)</f>
        <v>#NAME?</v>
      </c>
      <c r="AP1109" s="153" t="e">
        <f aca="false">_xlfn.xlookup(AN1109,A:A,J:J)</f>
        <v>#NAME?</v>
      </c>
      <c r="AQ1109" s="153" t="e">
        <f aca="false">_xlfn.xlookup(AN1109,A:A,N:N)+_xlfn.xlookup(AN1109,A:A,O:O)</f>
        <v>#NAME?</v>
      </c>
      <c r="AR1109" s="150" t="e">
        <f aca="false">_xlfn.xlookup(AN1109,A:A,AH:AH)</f>
        <v>#NAME?</v>
      </c>
      <c r="AS1109" s="150" t="e">
        <f aca="false">_xlfn.xlookup(AN1109,A:A,S:S)</f>
        <v>#NAME?</v>
      </c>
      <c r="AT1109" s="150" t="e">
        <f aca="false">_xlfn.xlookup(AN1109,A:A,AE:AE)</f>
        <v>#NAME?</v>
      </c>
      <c r="AU1109" s="150" t="e">
        <f aca="false">_xlfn.xlookup(AN1109,A:A,AF:AF)</f>
        <v>#NAME?</v>
      </c>
      <c r="AX1109" s="146"/>
      <c r="AY1109" s="150"/>
      <c r="AZ1109" s="150"/>
      <c r="BA1109" s="150"/>
      <c r="BB1109" s="146"/>
      <c r="BC1109" s="146"/>
      <c r="BD1109" s="151"/>
      <c r="BE1109" s="146"/>
      <c r="BF1109" s="146"/>
      <c r="BH1109" s="152" t="e">
        <f aca="false">_xlfn.xlookup(BG1109,A:A,E:E)</f>
        <v>#NAME?</v>
      </c>
      <c r="BI1109" s="153" t="e">
        <f aca="false">_xlfn.xlookup(BG1109,A:A,J:J)</f>
        <v>#NAME?</v>
      </c>
      <c r="BJ1109" s="153" t="e">
        <f aca="false">_xlfn.xlookup(BG1109,A:A,N:N)+_xlfn.xlookup(BG1109,A:A,O:O)</f>
        <v>#NAME?</v>
      </c>
    </row>
    <row r="1110" s="153" customFormat="true" ht="15" hidden="false" customHeight="false" outlineLevel="0" collapsed="false">
      <c r="AN1110" s="153" t="e">
        <v>#NAME?</v>
      </c>
      <c r="AO1110" s="153" t="e">
        <f aca="false">_xlfn.xlookup(AN1110,A:A,F:F)</f>
        <v>#NAME?</v>
      </c>
      <c r="AP1110" s="153" t="e">
        <f aca="false">_xlfn.xlookup(AN1110,A:A,J:J)</f>
        <v>#NAME?</v>
      </c>
      <c r="AQ1110" s="153" t="e">
        <f aca="false">_xlfn.xlookup(AN1110,A:A,N:N)+_xlfn.xlookup(AN1110,A:A,O:O)</f>
        <v>#NAME?</v>
      </c>
      <c r="AR1110" s="150" t="e">
        <f aca="false">_xlfn.xlookup(AN1110,A:A,AH:AH)</f>
        <v>#NAME?</v>
      </c>
      <c r="AS1110" s="150" t="e">
        <f aca="false">_xlfn.xlookup(AN1110,A:A,S:S)</f>
        <v>#NAME?</v>
      </c>
      <c r="AT1110" s="150" t="e">
        <f aca="false">_xlfn.xlookup(AN1110,A:A,AE:AE)</f>
        <v>#NAME?</v>
      </c>
      <c r="AU1110" s="150" t="e">
        <f aca="false">_xlfn.xlookup(AN1110,A:A,AF:AF)</f>
        <v>#NAME?</v>
      </c>
      <c r="AX1110" s="146"/>
      <c r="AY1110" s="150"/>
      <c r="AZ1110" s="150"/>
      <c r="BA1110" s="150"/>
      <c r="BB1110" s="146"/>
      <c r="BC1110" s="146"/>
      <c r="BD1110" s="151"/>
      <c r="BE1110" s="146"/>
      <c r="BF1110" s="146"/>
      <c r="BH1110" s="152" t="e">
        <f aca="false">_xlfn.xlookup(BG1110,A:A,E:E)</f>
        <v>#NAME?</v>
      </c>
      <c r="BI1110" s="153" t="e">
        <f aca="false">_xlfn.xlookup(BG1110,A:A,J:J)</f>
        <v>#NAME?</v>
      </c>
      <c r="BJ1110" s="153" t="e">
        <f aca="false">_xlfn.xlookup(BG1110,A:A,N:N)+_xlfn.xlookup(BG1110,A:A,O:O)</f>
        <v>#NAME?</v>
      </c>
    </row>
    <row r="1111" s="153" customFormat="true" ht="15" hidden="false" customHeight="false" outlineLevel="0" collapsed="false">
      <c r="AN1111" s="153" t="e">
        <v>#NAME?</v>
      </c>
      <c r="AO1111" s="153" t="e">
        <f aca="false">_xlfn.xlookup(AN1111,A:A,F:F)</f>
        <v>#NAME?</v>
      </c>
      <c r="AP1111" s="153" t="e">
        <f aca="false">_xlfn.xlookup(AN1111,A:A,J:J)</f>
        <v>#NAME?</v>
      </c>
      <c r="AQ1111" s="153" t="e">
        <f aca="false">_xlfn.xlookup(AN1111,A:A,N:N)+_xlfn.xlookup(AN1111,A:A,O:O)</f>
        <v>#NAME?</v>
      </c>
      <c r="AR1111" s="150" t="e">
        <f aca="false">_xlfn.xlookup(AN1111,A:A,AH:AH)</f>
        <v>#NAME?</v>
      </c>
      <c r="AS1111" s="150" t="e">
        <f aca="false">_xlfn.xlookup(AN1111,A:A,S:S)</f>
        <v>#NAME?</v>
      </c>
      <c r="AT1111" s="150" t="e">
        <f aca="false">_xlfn.xlookup(AN1111,A:A,AE:AE)</f>
        <v>#NAME?</v>
      </c>
      <c r="AU1111" s="150" t="e">
        <f aca="false">_xlfn.xlookup(AN1111,A:A,AF:AF)</f>
        <v>#NAME?</v>
      </c>
      <c r="AX1111" s="146"/>
      <c r="AY1111" s="150"/>
      <c r="AZ1111" s="150"/>
      <c r="BA1111" s="150"/>
      <c r="BB1111" s="146"/>
      <c r="BC1111" s="146"/>
      <c r="BD1111" s="151"/>
      <c r="BE1111" s="146"/>
      <c r="BF1111" s="146"/>
      <c r="BH1111" s="152" t="e">
        <f aca="false">_xlfn.xlookup(BG1111,A:A,E:E)</f>
        <v>#NAME?</v>
      </c>
      <c r="BI1111" s="153" t="e">
        <f aca="false">_xlfn.xlookup(BG1111,A:A,J:J)</f>
        <v>#NAME?</v>
      </c>
      <c r="BJ1111" s="153" t="e">
        <f aca="false">_xlfn.xlookup(BG1111,A:A,N:N)+_xlfn.xlookup(BG1111,A:A,O:O)</f>
        <v>#NAME?</v>
      </c>
    </row>
    <row r="1112" s="153" customFormat="true" ht="15" hidden="false" customHeight="false" outlineLevel="0" collapsed="false">
      <c r="AN1112" s="153" t="e">
        <v>#NAME?</v>
      </c>
      <c r="AO1112" s="153" t="e">
        <f aca="false">_xlfn.xlookup(AN1112,A:A,F:F)</f>
        <v>#NAME?</v>
      </c>
      <c r="AP1112" s="153" t="e">
        <f aca="false">_xlfn.xlookup(AN1112,A:A,J:J)</f>
        <v>#NAME?</v>
      </c>
      <c r="AQ1112" s="153" t="e">
        <f aca="false">_xlfn.xlookup(AN1112,A:A,N:N)+_xlfn.xlookup(AN1112,A:A,O:O)</f>
        <v>#NAME?</v>
      </c>
      <c r="AR1112" s="150" t="e">
        <f aca="false">_xlfn.xlookup(AN1112,A:A,AH:AH)</f>
        <v>#NAME?</v>
      </c>
      <c r="AS1112" s="150" t="e">
        <f aca="false">_xlfn.xlookup(AN1112,A:A,S:S)</f>
        <v>#NAME?</v>
      </c>
      <c r="AT1112" s="150" t="e">
        <f aca="false">_xlfn.xlookup(AN1112,A:A,AE:AE)</f>
        <v>#NAME?</v>
      </c>
      <c r="AU1112" s="150" t="e">
        <f aca="false">_xlfn.xlookup(AN1112,A:A,AF:AF)</f>
        <v>#NAME?</v>
      </c>
      <c r="AX1112" s="146"/>
      <c r="AY1112" s="150"/>
      <c r="AZ1112" s="150"/>
      <c r="BA1112" s="150"/>
      <c r="BB1112" s="146"/>
      <c r="BC1112" s="146"/>
      <c r="BD1112" s="151"/>
      <c r="BE1112" s="146"/>
      <c r="BF1112" s="146"/>
      <c r="BH1112" s="152" t="e">
        <f aca="false">_xlfn.xlookup(BG1112,A:A,E:E)</f>
        <v>#NAME?</v>
      </c>
      <c r="BI1112" s="153" t="e">
        <f aca="false">_xlfn.xlookup(BG1112,A:A,J:J)</f>
        <v>#NAME?</v>
      </c>
      <c r="BJ1112" s="153" t="e">
        <f aca="false">_xlfn.xlookup(BG1112,A:A,N:N)+_xlfn.xlookup(BG1112,A:A,O:O)</f>
        <v>#NAME?</v>
      </c>
    </row>
    <row r="1113" s="153" customFormat="true" ht="15" hidden="false" customHeight="false" outlineLevel="0" collapsed="false">
      <c r="AN1113" s="153" t="e">
        <v>#NAME?</v>
      </c>
      <c r="AO1113" s="153" t="e">
        <f aca="false">_xlfn.xlookup(AN1113,A:A,F:F)</f>
        <v>#NAME?</v>
      </c>
      <c r="AP1113" s="153" t="e">
        <f aca="false">_xlfn.xlookup(AN1113,A:A,J:J)</f>
        <v>#NAME?</v>
      </c>
      <c r="AQ1113" s="153" t="e">
        <f aca="false">_xlfn.xlookup(AN1113,A:A,N:N)+_xlfn.xlookup(AN1113,A:A,O:O)</f>
        <v>#NAME?</v>
      </c>
      <c r="AR1113" s="150" t="e">
        <f aca="false">_xlfn.xlookup(AN1113,A:A,AH:AH)</f>
        <v>#NAME?</v>
      </c>
      <c r="AS1113" s="150" t="e">
        <f aca="false">_xlfn.xlookup(AN1113,A:A,S:S)</f>
        <v>#NAME?</v>
      </c>
      <c r="AT1113" s="150" t="e">
        <f aca="false">_xlfn.xlookup(AN1113,A:A,AE:AE)</f>
        <v>#NAME?</v>
      </c>
      <c r="AU1113" s="150" t="e">
        <f aca="false">_xlfn.xlookup(AN1113,A:A,AF:AF)</f>
        <v>#NAME?</v>
      </c>
      <c r="AX1113" s="146"/>
      <c r="AY1113" s="150"/>
      <c r="AZ1113" s="150"/>
      <c r="BA1113" s="150"/>
      <c r="BB1113" s="146"/>
      <c r="BC1113" s="146"/>
      <c r="BD1113" s="151"/>
      <c r="BE1113" s="146"/>
      <c r="BF1113" s="146"/>
      <c r="BH1113" s="152" t="e">
        <f aca="false">_xlfn.xlookup(BG1113,A:A,E:E)</f>
        <v>#NAME?</v>
      </c>
      <c r="BI1113" s="153" t="e">
        <f aca="false">_xlfn.xlookup(BG1113,A:A,J:J)</f>
        <v>#NAME?</v>
      </c>
      <c r="BJ1113" s="153" t="e">
        <f aca="false">_xlfn.xlookup(BG1113,A:A,N:N)+_xlfn.xlookup(BG1113,A:A,O:O)</f>
        <v>#NAME?</v>
      </c>
    </row>
    <row r="1114" s="153" customFormat="true" ht="15" hidden="false" customHeight="false" outlineLevel="0" collapsed="false">
      <c r="AN1114" s="153" t="e">
        <v>#NAME?</v>
      </c>
      <c r="AO1114" s="153" t="e">
        <f aca="false">_xlfn.xlookup(AN1114,A:A,F:F)</f>
        <v>#NAME?</v>
      </c>
      <c r="AP1114" s="153" t="e">
        <f aca="false">_xlfn.xlookup(AN1114,A:A,J:J)</f>
        <v>#NAME?</v>
      </c>
      <c r="AQ1114" s="153" t="e">
        <f aca="false">_xlfn.xlookup(AN1114,A:A,N:N)+_xlfn.xlookup(AN1114,A:A,O:O)</f>
        <v>#NAME?</v>
      </c>
      <c r="AR1114" s="150" t="e">
        <f aca="false">_xlfn.xlookup(AN1114,A:A,AH:AH)</f>
        <v>#NAME?</v>
      </c>
      <c r="AS1114" s="150" t="e">
        <f aca="false">_xlfn.xlookup(AN1114,A:A,S:S)</f>
        <v>#NAME?</v>
      </c>
      <c r="AT1114" s="150" t="e">
        <f aca="false">_xlfn.xlookup(AN1114,A:A,AE:AE)</f>
        <v>#NAME?</v>
      </c>
      <c r="AU1114" s="150" t="e">
        <f aca="false">_xlfn.xlookup(AN1114,A:A,AF:AF)</f>
        <v>#NAME?</v>
      </c>
      <c r="AX1114" s="146"/>
      <c r="AY1114" s="150"/>
      <c r="AZ1114" s="150"/>
      <c r="BA1114" s="150"/>
      <c r="BB1114" s="146"/>
      <c r="BC1114" s="146"/>
      <c r="BD1114" s="151"/>
      <c r="BE1114" s="146"/>
      <c r="BF1114" s="146"/>
      <c r="BH1114" s="152" t="e">
        <f aca="false">_xlfn.xlookup(BG1114,A:A,E:E)</f>
        <v>#NAME?</v>
      </c>
      <c r="BI1114" s="153" t="e">
        <f aca="false">_xlfn.xlookup(BG1114,A:A,J:J)</f>
        <v>#NAME?</v>
      </c>
      <c r="BJ1114" s="153" t="e">
        <f aca="false">_xlfn.xlookup(BG1114,A:A,N:N)+_xlfn.xlookup(BG1114,A:A,O:O)</f>
        <v>#NAME?</v>
      </c>
    </row>
    <row r="1115" s="153" customFormat="true" ht="15" hidden="false" customHeight="false" outlineLevel="0" collapsed="false">
      <c r="AN1115" s="153" t="e">
        <v>#NAME?</v>
      </c>
      <c r="AO1115" s="153" t="e">
        <f aca="false">_xlfn.xlookup(AN1115,A:A,F:F)</f>
        <v>#NAME?</v>
      </c>
      <c r="AP1115" s="153" t="e">
        <f aca="false">_xlfn.xlookup(AN1115,A:A,J:J)</f>
        <v>#NAME?</v>
      </c>
      <c r="AQ1115" s="153" t="e">
        <f aca="false">_xlfn.xlookup(AN1115,A:A,N:N)+_xlfn.xlookup(AN1115,A:A,O:O)</f>
        <v>#NAME?</v>
      </c>
      <c r="AR1115" s="150" t="e">
        <f aca="false">_xlfn.xlookup(AN1115,A:A,AH:AH)</f>
        <v>#NAME?</v>
      </c>
      <c r="AS1115" s="150" t="e">
        <f aca="false">_xlfn.xlookup(AN1115,A:A,S:S)</f>
        <v>#NAME?</v>
      </c>
      <c r="AT1115" s="150" t="e">
        <f aca="false">_xlfn.xlookup(AN1115,A:A,AE:AE)</f>
        <v>#NAME?</v>
      </c>
      <c r="AU1115" s="150" t="e">
        <f aca="false">_xlfn.xlookup(AN1115,A:A,AF:AF)</f>
        <v>#NAME?</v>
      </c>
      <c r="AX1115" s="146"/>
      <c r="AY1115" s="150"/>
      <c r="AZ1115" s="150"/>
      <c r="BA1115" s="150"/>
      <c r="BB1115" s="146"/>
      <c r="BC1115" s="146"/>
      <c r="BD1115" s="151"/>
      <c r="BE1115" s="146"/>
      <c r="BF1115" s="146"/>
      <c r="BH1115" s="152" t="e">
        <f aca="false">_xlfn.xlookup(BG1115,A:A,E:E)</f>
        <v>#NAME?</v>
      </c>
      <c r="BI1115" s="153" t="e">
        <f aca="false">_xlfn.xlookup(BG1115,A:A,J:J)</f>
        <v>#NAME?</v>
      </c>
      <c r="BJ1115" s="153" t="e">
        <f aca="false">_xlfn.xlookup(BG1115,A:A,N:N)+_xlfn.xlookup(BG1115,A:A,O:O)</f>
        <v>#NAME?</v>
      </c>
    </row>
    <row r="1116" s="153" customFormat="true" ht="15" hidden="false" customHeight="false" outlineLevel="0" collapsed="false">
      <c r="AN1116" s="153" t="e">
        <v>#NAME?</v>
      </c>
      <c r="AO1116" s="153" t="e">
        <f aca="false">_xlfn.xlookup(AN1116,A:A,F:F)</f>
        <v>#NAME?</v>
      </c>
      <c r="AP1116" s="153" t="e">
        <f aca="false">_xlfn.xlookup(AN1116,A:A,J:J)</f>
        <v>#NAME?</v>
      </c>
      <c r="AQ1116" s="153" t="e">
        <f aca="false">_xlfn.xlookup(AN1116,A:A,N:N)+_xlfn.xlookup(AN1116,A:A,O:O)</f>
        <v>#NAME?</v>
      </c>
      <c r="AR1116" s="150" t="e">
        <f aca="false">_xlfn.xlookup(AN1116,A:A,AH:AH)</f>
        <v>#NAME?</v>
      </c>
      <c r="AS1116" s="150" t="e">
        <f aca="false">_xlfn.xlookup(AN1116,A:A,S:S)</f>
        <v>#NAME?</v>
      </c>
      <c r="AT1116" s="150" t="e">
        <f aca="false">_xlfn.xlookup(AN1116,A:A,AE:AE)</f>
        <v>#NAME?</v>
      </c>
      <c r="AU1116" s="150" t="e">
        <f aca="false">_xlfn.xlookup(AN1116,A:A,AF:AF)</f>
        <v>#NAME?</v>
      </c>
      <c r="AX1116" s="146"/>
      <c r="AY1116" s="150"/>
      <c r="AZ1116" s="150"/>
      <c r="BA1116" s="150"/>
      <c r="BB1116" s="146"/>
      <c r="BC1116" s="146"/>
      <c r="BD1116" s="151"/>
      <c r="BE1116" s="146"/>
      <c r="BF1116" s="146"/>
      <c r="BH1116" s="152" t="e">
        <f aca="false">_xlfn.xlookup(BG1116,A:A,E:E)</f>
        <v>#NAME?</v>
      </c>
      <c r="BI1116" s="153" t="e">
        <f aca="false">_xlfn.xlookup(BG1116,A:A,J:J)</f>
        <v>#NAME?</v>
      </c>
      <c r="BJ1116" s="153" t="e">
        <f aca="false">_xlfn.xlookup(BG1116,A:A,N:N)+_xlfn.xlookup(BG1116,A:A,O:O)</f>
        <v>#NAME?</v>
      </c>
    </row>
    <row r="1117" s="153" customFormat="true" ht="15" hidden="false" customHeight="false" outlineLevel="0" collapsed="false">
      <c r="AN1117" s="153" t="e">
        <v>#NAME?</v>
      </c>
      <c r="AO1117" s="153" t="e">
        <f aca="false">_xlfn.xlookup(AN1117,A:A,F:F)</f>
        <v>#NAME?</v>
      </c>
      <c r="AP1117" s="153" t="e">
        <f aca="false">_xlfn.xlookup(AN1117,A:A,J:J)</f>
        <v>#NAME?</v>
      </c>
      <c r="AQ1117" s="153" t="e">
        <f aca="false">_xlfn.xlookup(AN1117,A:A,N:N)+_xlfn.xlookup(AN1117,A:A,O:O)</f>
        <v>#NAME?</v>
      </c>
      <c r="AR1117" s="150" t="e">
        <f aca="false">_xlfn.xlookup(AN1117,A:A,AH:AH)</f>
        <v>#NAME?</v>
      </c>
      <c r="AS1117" s="150" t="e">
        <f aca="false">_xlfn.xlookup(AN1117,A:A,S:S)</f>
        <v>#NAME?</v>
      </c>
      <c r="AT1117" s="150" t="e">
        <f aca="false">_xlfn.xlookup(AN1117,A:A,AE:AE)</f>
        <v>#NAME?</v>
      </c>
      <c r="AU1117" s="150" t="e">
        <f aca="false">_xlfn.xlookup(AN1117,A:A,AF:AF)</f>
        <v>#NAME?</v>
      </c>
      <c r="AX1117" s="146"/>
      <c r="AY1117" s="150"/>
      <c r="AZ1117" s="150"/>
      <c r="BA1117" s="150"/>
      <c r="BB1117" s="146"/>
      <c r="BC1117" s="146"/>
      <c r="BD1117" s="151"/>
      <c r="BE1117" s="146"/>
      <c r="BF1117" s="146"/>
      <c r="BH1117" s="152" t="e">
        <f aca="false">_xlfn.xlookup(BG1117,A:A,E:E)</f>
        <v>#NAME?</v>
      </c>
      <c r="BI1117" s="153" t="e">
        <f aca="false">_xlfn.xlookup(BG1117,A:A,J:J)</f>
        <v>#NAME?</v>
      </c>
      <c r="BJ1117" s="153" t="e">
        <f aca="false">_xlfn.xlookup(BG1117,A:A,N:N)+_xlfn.xlookup(BG1117,A:A,O:O)</f>
        <v>#NAME?</v>
      </c>
    </row>
    <row r="1118" s="153" customFormat="true" ht="15" hidden="false" customHeight="false" outlineLevel="0" collapsed="false">
      <c r="AN1118" s="153" t="e">
        <v>#NAME?</v>
      </c>
      <c r="AO1118" s="153" t="e">
        <f aca="false">_xlfn.xlookup(AN1118,A:A,F:F)</f>
        <v>#NAME?</v>
      </c>
      <c r="AP1118" s="153" t="e">
        <f aca="false">_xlfn.xlookup(AN1118,A:A,J:J)</f>
        <v>#NAME?</v>
      </c>
      <c r="AQ1118" s="153" t="e">
        <f aca="false">_xlfn.xlookup(AN1118,A:A,N:N)+_xlfn.xlookup(AN1118,A:A,O:O)</f>
        <v>#NAME?</v>
      </c>
      <c r="AR1118" s="150" t="e">
        <f aca="false">_xlfn.xlookup(AN1118,A:A,AH:AH)</f>
        <v>#NAME?</v>
      </c>
      <c r="AS1118" s="150" t="e">
        <f aca="false">_xlfn.xlookup(AN1118,A:A,S:S)</f>
        <v>#NAME?</v>
      </c>
      <c r="AT1118" s="150" t="e">
        <f aca="false">_xlfn.xlookup(AN1118,A:A,AE:AE)</f>
        <v>#NAME?</v>
      </c>
      <c r="AU1118" s="150" t="e">
        <f aca="false">_xlfn.xlookup(AN1118,A:A,AF:AF)</f>
        <v>#NAME?</v>
      </c>
      <c r="AX1118" s="146"/>
      <c r="AY1118" s="150"/>
      <c r="AZ1118" s="150"/>
      <c r="BA1118" s="150"/>
      <c r="BB1118" s="146"/>
      <c r="BC1118" s="146"/>
      <c r="BD1118" s="151"/>
      <c r="BE1118" s="146"/>
      <c r="BF1118" s="146"/>
      <c r="BH1118" s="152" t="e">
        <f aca="false">_xlfn.xlookup(BG1118,A:A,E:E)</f>
        <v>#NAME?</v>
      </c>
      <c r="BI1118" s="153" t="e">
        <f aca="false">_xlfn.xlookup(BG1118,A:A,J:J)</f>
        <v>#NAME?</v>
      </c>
      <c r="BJ1118" s="153" t="e">
        <f aca="false">_xlfn.xlookup(BG1118,A:A,N:N)+_xlfn.xlookup(BG1118,A:A,O:O)</f>
        <v>#NAME?</v>
      </c>
    </row>
    <row r="1119" s="153" customFormat="true" ht="15" hidden="false" customHeight="false" outlineLevel="0" collapsed="false">
      <c r="AN1119" s="153" t="e">
        <v>#NAME?</v>
      </c>
      <c r="AO1119" s="153" t="e">
        <f aca="false">_xlfn.xlookup(AN1119,A:A,F:F)</f>
        <v>#NAME?</v>
      </c>
      <c r="AP1119" s="153" t="e">
        <f aca="false">_xlfn.xlookup(AN1119,A:A,J:J)</f>
        <v>#NAME?</v>
      </c>
      <c r="AQ1119" s="153" t="e">
        <f aca="false">_xlfn.xlookup(AN1119,A:A,N:N)+_xlfn.xlookup(AN1119,A:A,O:O)</f>
        <v>#NAME?</v>
      </c>
      <c r="AR1119" s="150" t="e">
        <f aca="false">_xlfn.xlookup(AN1119,A:A,AH:AH)</f>
        <v>#NAME?</v>
      </c>
      <c r="AS1119" s="150" t="e">
        <f aca="false">_xlfn.xlookup(AN1119,A:A,S:S)</f>
        <v>#NAME?</v>
      </c>
      <c r="AT1119" s="150" t="e">
        <f aca="false">_xlfn.xlookup(AN1119,A:A,AE:AE)</f>
        <v>#NAME?</v>
      </c>
      <c r="AU1119" s="150" t="e">
        <f aca="false">_xlfn.xlookup(AN1119,A:A,AF:AF)</f>
        <v>#NAME?</v>
      </c>
      <c r="AX1119" s="146"/>
      <c r="AY1119" s="150"/>
      <c r="AZ1119" s="150"/>
      <c r="BA1119" s="150"/>
      <c r="BB1119" s="146"/>
      <c r="BC1119" s="146"/>
      <c r="BD1119" s="151"/>
      <c r="BE1119" s="146"/>
      <c r="BF1119" s="146"/>
      <c r="BH1119" s="152" t="e">
        <f aca="false">_xlfn.xlookup(BG1119,A:A,E:E)</f>
        <v>#NAME?</v>
      </c>
      <c r="BI1119" s="153" t="e">
        <f aca="false">_xlfn.xlookup(BG1119,A:A,J:J)</f>
        <v>#NAME?</v>
      </c>
      <c r="BJ1119" s="153" t="e">
        <f aca="false">_xlfn.xlookup(BG1119,A:A,N:N)+_xlfn.xlookup(BG1119,A:A,O:O)</f>
        <v>#NAME?</v>
      </c>
    </row>
    <row r="1120" s="153" customFormat="true" ht="15" hidden="false" customHeight="false" outlineLevel="0" collapsed="false">
      <c r="AN1120" s="153" t="e">
        <v>#NAME?</v>
      </c>
      <c r="AO1120" s="153" t="e">
        <f aca="false">_xlfn.xlookup(AN1120,A:A,F:F)</f>
        <v>#NAME?</v>
      </c>
      <c r="AP1120" s="153" t="e">
        <f aca="false">_xlfn.xlookup(AN1120,A:A,J:J)</f>
        <v>#NAME?</v>
      </c>
      <c r="AQ1120" s="153" t="e">
        <f aca="false">_xlfn.xlookup(AN1120,A:A,N:N)+_xlfn.xlookup(AN1120,A:A,O:O)</f>
        <v>#NAME?</v>
      </c>
      <c r="AR1120" s="150" t="e">
        <f aca="false">_xlfn.xlookup(AN1120,A:A,AH:AH)</f>
        <v>#NAME?</v>
      </c>
      <c r="AS1120" s="150" t="e">
        <f aca="false">_xlfn.xlookup(AN1120,A:A,S:S)</f>
        <v>#NAME?</v>
      </c>
      <c r="AT1120" s="150" t="e">
        <f aca="false">_xlfn.xlookup(AN1120,A:A,AE:AE)</f>
        <v>#NAME?</v>
      </c>
      <c r="AU1120" s="150" t="e">
        <f aca="false">_xlfn.xlookup(AN1120,A:A,AF:AF)</f>
        <v>#NAME?</v>
      </c>
      <c r="AX1120" s="146"/>
      <c r="AY1120" s="150"/>
      <c r="AZ1120" s="150"/>
      <c r="BA1120" s="150"/>
      <c r="BB1120" s="146"/>
      <c r="BC1120" s="146"/>
      <c r="BD1120" s="151"/>
      <c r="BE1120" s="146"/>
      <c r="BF1120" s="146"/>
      <c r="BH1120" s="152" t="e">
        <f aca="false">_xlfn.xlookup(BG1120,A:A,E:E)</f>
        <v>#NAME?</v>
      </c>
      <c r="BI1120" s="153" t="e">
        <f aca="false">_xlfn.xlookup(BG1120,A:A,J:J)</f>
        <v>#NAME?</v>
      </c>
      <c r="BJ1120" s="153" t="e">
        <f aca="false">_xlfn.xlookup(BG1120,A:A,N:N)+_xlfn.xlookup(BG1120,A:A,O:O)</f>
        <v>#NAME?</v>
      </c>
    </row>
    <row r="1121" s="153" customFormat="true" ht="15" hidden="false" customHeight="false" outlineLevel="0" collapsed="false">
      <c r="AN1121" s="153" t="e">
        <v>#NAME?</v>
      </c>
      <c r="AO1121" s="153" t="e">
        <f aca="false">_xlfn.xlookup(AN1121,A:A,F:F)</f>
        <v>#NAME?</v>
      </c>
      <c r="AP1121" s="153" t="e">
        <f aca="false">_xlfn.xlookup(AN1121,A:A,J:J)</f>
        <v>#NAME?</v>
      </c>
      <c r="AQ1121" s="153" t="e">
        <f aca="false">_xlfn.xlookup(AN1121,A:A,N:N)+_xlfn.xlookup(AN1121,A:A,O:O)</f>
        <v>#NAME?</v>
      </c>
      <c r="AR1121" s="150" t="e">
        <f aca="false">_xlfn.xlookup(AN1121,A:A,AH:AH)</f>
        <v>#NAME?</v>
      </c>
      <c r="AS1121" s="150" t="e">
        <f aca="false">_xlfn.xlookup(AN1121,A:A,S:S)</f>
        <v>#NAME?</v>
      </c>
      <c r="AT1121" s="150" t="e">
        <f aca="false">_xlfn.xlookup(AN1121,A:A,AE:AE)</f>
        <v>#NAME?</v>
      </c>
      <c r="AU1121" s="150" t="e">
        <f aca="false">_xlfn.xlookup(AN1121,A:A,AF:AF)</f>
        <v>#NAME?</v>
      </c>
      <c r="AX1121" s="146"/>
      <c r="AY1121" s="150"/>
      <c r="AZ1121" s="150"/>
      <c r="BA1121" s="150"/>
      <c r="BB1121" s="146"/>
      <c r="BC1121" s="146"/>
      <c r="BD1121" s="151"/>
      <c r="BE1121" s="146"/>
      <c r="BF1121" s="146"/>
      <c r="BH1121" s="152" t="e">
        <f aca="false">_xlfn.xlookup(BG1121,A:A,E:E)</f>
        <v>#NAME?</v>
      </c>
      <c r="BI1121" s="153" t="e">
        <f aca="false">_xlfn.xlookup(BG1121,A:A,J:J)</f>
        <v>#NAME?</v>
      </c>
      <c r="BJ1121" s="153" t="e">
        <f aca="false">_xlfn.xlookup(BG1121,A:A,N:N)+_xlfn.xlookup(BG1121,A:A,O:O)</f>
        <v>#NAME?</v>
      </c>
    </row>
    <row r="1122" s="153" customFormat="true" ht="15" hidden="false" customHeight="false" outlineLevel="0" collapsed="false">
      <c r="AN1122" s="153" t="e">
        <v>#NAME?</v>
      </c>
      <c r="AO1122" s="153" t="e">
        <f aca="false">_xlfn.xlookup(AN1122,A:A,F:F)</f>
        <v>#NAME?</v>
      </c>
      <c r="AP1122" s="153" t="e">
        <f aca="false">_xlfn.xlookup(AN1122,A:A,J:J)</f>
        <v>#NAME?</v>
      </c>
      <c r="AQ1122" s="153" t="e">
        <f aca="false">_xlfn.xlookup(AN1122,A:A,N:N)+_xlfn.xlookup(AN1122,A:A,O:O)</f>
        <v>#NAME?</v>
      </c>
      <c r="AR1122" s="150" t="e">
        <f aca="false">_xlfn.xlookup(AN1122,A:A,AH:AH)</f>
        <v>#NAME?</v>
      </c>
      <c r="AS1122" s="150" t="e">
        <f aca="false">_xlfn.xlookup(AN1122,A:A,S:S)</f>
        <v>#NAME?</v>
      </c>
      <c r="AT1122" s="150" t="e">
        <f aca="false">_xlfn.xlookup(AN1122,A:A,AE:AE)</f>
        <v>#NAME?</v>
      </c>
      <c r="AU1122" s="150" t="e">
        <f aca="false">_xlfn.xlookup(AN1122,A:A,AF:AF)</f>
        <v>#NAME?</v>
      </c>
      <c r="AX1122" s="146"/>
      <c r="AY1122" s="150"/>
      <c r="AZ1122" s="150"/>
      <c r="BA1122" s="150"/>
      <c r="BB1122" s="146"/>
      <c r="BC1122" s="146"/>
      <c r="BD1122" s="151"/>
      <c r="BE1122" s="146"/>
      <c r="BF1122" s="146"/>
      <c r="BH1122" s="152" t="e">
        <f aca="false">_xlfn.xlookup(BG1122,A:A,E:E)</f>
        <v>#NAME?</v>
      </c>
      <c r="BI1122" s="153" t="e">
        <f aca="false">_xlfn.xlookup(BG1122,A:A,J:J)</f>
        <v>#NAME?</v>
      </c>
      <c r="BJ1122" s="153" t="e">
        <f aca="false">_xlfn.xlookup(BG1122,A:A,N:N)+_xlfn.xlookup(BG1122,A:A,O:O)</f>
        <v>#NAME?</v>
      </c>
    </row>
    <row r="1123" s="153" customFormat="true" ht="15" hidden="false" customHeight="false" outlineLevel="0" collapsed="false">
      <c r="AN1123" s="153" t="e">
        <v>#NAME?</v>
      </c>
      <c r="AO1123" s="153" t="e">
        <f aca="false">_xlfn.xlookup(AN1123,A:A,F:F)</f>
        <v>#NAME?</v>
      </c>
      <c r="AP1123" s="153" t="e">
        <f aca="false">_xlfn.xlookup(AN1123,A:A,J:J)</f>
        <v>#NAME?</v>
      </c>
      <c r="AQ1123" s="153" t="e">
        <f aca="false">_xlfn.xlookup(AN1123,A:A,N:N)+_xlfn.xlookup(AN1123,A:A,O:O)</f>
        <v>#NAME?</v>
      </c>
      <c r="AR1123" s="150" t="e">
        <f aca="false">_xlfn.xlookup(AN1123,A:A,AH:AH)</f>
        <v>#NAME?</v>
      </c>
      <c r="AS1123" s="150" t="e">
        <f aca="false">_xlfn.xlookup(AN1123,A:A,S:S)</f>
        <v>#NAME?</v>
      </c>
      <c r="AT1123" s="150" t="e">
        <f aca="false">_xlfn.xlookup(AN1123,A:A,AE:AE)</f>
        <v>#NAME?</v>
      </c>
      <c r="AU1123" s="150" t="e">
        <f aca="false">_xlfn.xlookup(AN1123,A:A,AF:AF)</f>
        <v>#NAME?</v>
      </c>
      <c r="AX1123" s="146"/>
      <c r="AY1123" s="150"/>
      <c r="AZ1123" s="150"/>
      <c r="BA1123" s="150"/>
      <c r="BB1123" s="146"/>
      <c r="BC1123" s="146"/>
      <c r="BD1123" s="151"/>
      <c r="BE1123" s="146"/>
      <c r="BF1123" s="146"/>
      <c r="BH1123" s="152" t="e">
        <f aca="false">_xlfn.xlookup(BG1123,A:A,E:E)</f>
        <v>#NAME?</v>
      </c>
      <c r="BI1123" s="153" t="e">
        <f aca="false">_xlfn.xlookup(BG1123,A:A,J:J)</f>
        <v>#NAME?</v>
      </c>
      <c r="BJ1123" s="153" t="e">
        <f aca="false">_xlfn.xlookup(BG1123,A:A,N:N)+_xlfn.xlookup(BG1123,A:A,O:O)</f>
        <v>#NAME?</v>
      </c>
    </row>
    <row r="1124" s="153" customFormat="true" ht="15" hidden="false" customHeight="false" outlineLevel="0" collapsed="false">
      <c r="AN1124" s="153" t="e">
        <v>#NAME?</v>
      </c>
      <c r="AO1124" s="153" t="e">
        <f aca="false">_xlfn.xlookup(AN1124,A:A,F:F)</f>
        <v>#NAME?</v>
      </c>
      <c r="AP1124" s="153" t="e">
        <f aca="false">_xlfn.xlookup(AN1124,A:A,J:J)</f>
        <v>#NAME?</v>
      </c>
      <c r="AQ1124" s="153" t="e">
        <f aca="false">_xlfn.xlookup(AN1124,A:A,N:N)+_xlfn.xlookup(AN1124,A:A,O:O)</f>
        <v>#NAME?</v>
      </c>
      <c r="AR1124" s="150" t="e">
        <f aca="false">_xlfn.xlookup(AN1124,A:A,AH:AH)</f>
        <v>#NAME?</v>
      </c>
      <c r="AS1124" s="150" t="e">
        <f aca="false">_xlfn.xlookup(AN1124,A:A,S:S)</f>
        <v>#NAME?</v>
      </c>
      <c r="AT1124" s="150" t="e">
        <f aca="false">_xlfn.xlookup(AN1124,A:A,AE:AE)</f>
        <v>#NAME?</v>
      </c>
      <c r="AU1124" s="150" t="e">
        <f aca="false">_xlfn.xlookup(AN1124,A:A,AF:AF)</f>
        <v>#NAME?</v>
      </c>
      <c r="AX1124" s="146"/>
      <c r="AY1124" s="150"/>
      <c r="AZ1124" s="150"/>
      <c r="BA1124" s="150"/>
      <c r="BB1124" s="146"/>
      <c r="BC1124" s="146"/>
      <c r="BD1124" s="151"/>
      <c r="BE1124" s="146"/>
      <c r="BF1124" s="146"/>
      <c r="BH1124" s="152" t="e">
        <f aca="false">_xlfn.xlookup(BG1124,A:A,E:E)</f>
        <v>#NAME?</v>
      </c>
      <c r="BI1124" s="153" t="e">
        <f aca="false">_xlfn.xlookup(BG1124,A:A,J:J)</f>
        <v>#NAME?</v>
      </c>
      <c r="BJ1124" s="153" t="e">
        <f aca="false">_xlfn.xlookup(BG1124,A:A,N:N)+_xlfn.xlookup(BG1124,A:A,O:O)</f>
        <v>#NAME?</v>
      </c>
    </row>
    <row r="1125" s="153" customFormat="true" ht="15" hidden="false" customHeight="false" outlineLevel="0" collapsed="false">
      <c r="AN1125" s="153" t="e">
        <v>#NAME?</v>
      </c>
      <c r="AO1125" s="153" t="e">
        <f aca="false">_xlfn.xlookup(AN1125,A:A,F:F)</f>
        <v>#NAME?</v>
      </c>
      <c r="AP1125" s="153" t="e">
        <f aca="false">_xlfn.xlookup(AN1125,A:A,J:J)</f>
        <v>#NAME?</v>
      </c>
      <c r="AQ1125" s="153" t="e">
        <f aca="false">_xlfn.xlookup(AN1125,A:A,N:N)+_xlfn.xlookup(AN1125,A:A,O:O)</f>
        <v>#NAME?</v>
      </c>
      <c r="AR1125" s="150" t="e">
        <f aca="false">_xlfn.xlookup(AN1125,A:A,AH:AH)</f>
        <v>#NAME?</v>
      </c>
      <c r="AS1125" s="150" t="e">
        <f aca="false">_xlfn.xlookup(AN1125,A:A,S:S)</f>
        <v>#NAME?</v>
      </c>
      <c r="AT1125" s="150" t="e">
        <f aca="false">_xlfn.xlookup(AN1125,A:A,AE:AE)</f>
        <v>#NAME?</v>
      </c>
      <c r="AU1125" s="150" t="e">
        <f aca="false">_xlfn.xlookup(AN1125,A:A,AF:AF)</f>
        <v>#NAME?</v>
      </c>
      <c r="AX1125" s="146"/>
      <c r="AY1125" s="150"/>
      <c r="AZ1125" s="150"/>
      <c r="BA1125" s="150"/>
      <c r="BB1125" s="146"/>
      <c r="BC1125" s="146"/>
      <c r="BD1125" s="151"/>
      <c r="BE1125" s="146"/>
      <c r="BF1125" s="146"/>
      <c r="BH1125" s="152" t="e">
        <f aca="false">_xlfn.xlookup(BG1125,A:A,E:E)</f>
        <v>#NAME?</v>
      </c>
      <c r="BI1125" s="153" t="e">
        <f aca="false">_xlfn.xlookup(BG1125,A:A,J:J)</f>
        <v>#NAME?</v>
      </c>
      <c r="BJ1125" s="153" t="e">
        <f aca="false">_xlfn.xlookup(BG1125,A:A,N:N)+_xlfn.xlookup(BG1125,A:A,O:O)</f>
        <v>#NAME?</v>
      </c>
    </row>
    <row r="1126" s="153" customFormat="true" ht="15" hidden="false" customHeight="false" outlineLevel="0" collapsed="false">
      <c r="AN1126" s="153" t="e">
        <v>#NAME?</v>
      </c>
      <c r="AO1126" s="153" t="e">
        <f aca="false">_xlfn.xlookup(AN1126,A:A,F:F)</f>
        <v>#NAME?</v>
      </c>
      <c r="AP1126" s="153" t="e">
        <f aca="false">_xlfn.xlookup(AN1126,A:A,J:J)</f>
        <v>#NAME?</v>
      </c>
      <c r="AQ1126" s="153" t="e">
        <f aca="false">_xlfn.xlookup(AN1126,A:A,N:N)+_xlfn.xlookup(AN1126,A:A,O:O)</f>
        <v>#NAME?</v>
      </c>
      <c r="AR1126" s="150" t="e">
        <f aca="false">_xlfn.xlookup(AN1126,A:A,AH:AH)</f>
        <v>#NAME?</v>
      </c>
      <c r="AS1126" s="150" t="e">
        <f aca="false">_xlfn.xlookup(AN1126,A:A,S:S)</f>
        <v>#NAME?</v>
      </c>
      <c r="AT1126" s="150" t="e">
        <f aca="false">_xlfn.xlookup(AN1126,A:A,AE:AE)</f>
        <v>#NAME?</v>
      </c>
      <c r="AU1126" s="150" t="e">
        <f aca="false">_xlfn.xlookup(AN1126,A:A,AF:AF)</f>
        <v>#NAME?</v>
      </c>
      <c r="AX1126" s="146"/>
      <c r="AY1126" s="150"/>
      <c r="AZ1126" s="150"/>
      <c r="BA1126" s="150"/>
      <c r="BB1126" s="146"/>
      <c r="BC1126" s="146"/>
      <c r="BD1126" s="151"/>
      <c r="BE1126" s="146"/>
      <c r="BF1126" s="146"/>
      <c r="BH1126" s="152" t="e">
        <f aca="false">_xlfn.xlookup(BG1126,A:A,E:E)</f>
        <v>#NAME?</v>
      </c>
      <c r="BI1126" s="153" t="e">
        <f aca="false">_xlfn.xlookup(BG1126,A:A,J:J)</f>
        <v>#NAME?</v>
      </c>
      <c r="BJ1126" s="153" t="e">
        <f aca="false">_xlfn.xlookup(BG1126,A:A,N:N)+_xlfn.xlookup(BG1126,A:A,O:O)</f>
        <v>#NAME?</v>
      </c>
    </row>
    <row r="1127" s="153" customFormat="true" ht="15" hidden="false" customHeight="false" outlineLevel="0" collapsed="false">
      <c r="AN1127" s="153" t="e">
        <v>#NAME?</v>
      </c>
      <c r="AO1127" s="153" t="e">
        <f aca="false">_xlfn.xlookup(AN1127,A:A,F:F)</f>
        <v>#NAME?</v>
      </c>
      <c r="AP1127" s="153" t="e">
        <f aca="false">_xlfn.xlookup(AN1127,A:A,J:J)</f>
        <v>#NAME?</v>
      </c>
      <c r="AQ1127" s="153" t="e">
        <f aca="false">_xlfn.xlookup(AN1127,A:A,N:N)+_xlfn.xlookup(AN1127,A:A,O:O)</f>
        <v>#NAME?</v>
      </c>
      <c r="AR1127" s="150" t="e">
        <f aca="false">_xlfn.xlookup(AN1127,A:A,AH:AH)</f>
        <v>#NAME?</v>
      </c>
      <c r="AS1127" s="150" t="e">
        <f aca="false">_xlfn.xlookup(AN1127,A:A,S:S)</f>
        <v>#NAME?</v>
      </c>
      <c r="AT1127" s="150" t="e">
        <f aca="false">_xlfn.xlookup(AN1127,A:A,AE:AE)</f>
        <v>#NAME?</v>
      </c>
      <c r="AU1127" s="150" t="e">
        <f aca="false">_xlfn.xlookup(AN1127,A:A,AF:AF)</f>
        <v>#NAME?</v>
      </c>
      <c r="AX1127" s="146"/>
      <c r="AY1127" s="150"/>
      <c r="AZ1127" s="150"/>
      <c r="BA1127" s="150"/>
      <c r="BB1127" s="146"/>
      <c r="BC1127" s="146"/>
      <c r="BD1127" s="151"/>
      <c r="BE1127" s="146"/>
      <c r="BF1127" s="146"/>
      <c r="BH1127" s="152" t="e">
        <f aca="false">_xlfn.xlookup(BG1127,A:A,E:E)</f>
        <v>#NAME?</v>
      </c>
      <c r="BI1127" s="153" t="e">
        <f aca="false">_xlfn.xlookup(BG1127,A:A,J:J)</f>
        <v>#NAME?</v>
      </c>
      <c r="BJ1127" s="153" t="e">
        <f aca="false">_xlfn.xlookup(BG1127,A:A,N:N)+_xlfn.xlookup(BG1127,A:A,O:O)</f>
        <v>#NAME?</v>
      </c>
    </row>
    <row r="1128" s="153" customFormat="true" ht="15" hidden="false" customHeight="false" outlineLevel="0" collapsed="false">
      <c r="AN1128" s="153" t="e">
        <v>#NAME?</v>
      </c>
      <c r="AO1128" s="153" t="e">
        <f aca="false">_xlfn.xlookup(AN1128,A:A,F:F)</f>
        <v>#NAME?</v>
      </c>
      <c r="AP1128" s="153" t="e">
        <f aca="false">_xlfn.xlookup(AN1128,A:A,J:J)</f>
        <v>#NAME?</v>
      </c>
      <c r="AQ1128" s="153" t="e">
        <f aca="false">_xlfn.xlookup(AN1128,A:A,N:N)+_xlfn.xlookup(AN1128,A:A,O:O)</f>
        <v>#NAME?</v>
      </c>
      <c r="AR1128" s="150" t="e">
        <f aca="false">_xlfn.xlookup(AN1128,A:A,AH:AH)</f>
        <v>#NAME?</v>
      </c>
      <c r="AS1128" s="150" t="e">
        <f aca="false">_xlfn.xlookup(AN1128,A:A,S:S)</f>
        <v>#NAME?</v>
      </c>
      <c r="AT1128" s="150" t="e">
        <f aca="false">_xlfn.xlookup(AN1128,A:A,AE:AE)</f>
        <v>#NAME?</v>
      </c>
      <c r="AU1128" s="150" t="e">
        <f aca="false">_xlfn.xlookup(AN1128,A:A,AF:AF)</f>
        <v>#NAME?</v>
      </c>
      <c r="AX1128" s="146"/>
      <c r="AY1128" s="150"/>
      <c r="AZ1128" s="150"/>
      <c r="BA1128" s="150"/>
      <c r="BB1128" s="146"/>
      <c r="BC1128" s="146"/>
      <c r="BD1128" s="151"/>
      <c r="BE1128" s="146"/>
      <c r="BF1128" s="146"/>
      <c r="BH1128" s="152" t="e">
        <f aca="false">_xlfn.xlookup(BG1128,A:A,E:E)</f>
        <v>#NAME?</v>
      </c>
      <c r="BI1128" s="153" t="e">
        <f aca="false">_xlfn.xlookup(BG1128,A:A,J:J)</f>
        <v>#NAME?</v>
      </c>
      <c r="BJ1128" s="153" t="e">
        <f aca="false">_xlfn.xlookup(BG1128,A:A,N:N)+_xlfn.xlookup(BG1128,A:A,O:O)</f>
        <v>#NAME?</v>
      </c>
    </row>
    <row r="1129" s="153" customFormat="true" ht="15" hidden="false" customHeight="false" outlineLevel="0" collapsed="false">
      <c r="AN1129" s="153" t="e">
        <v>#NAME?</v>
      </c>
      <c r="AO1129" s="153" t="e">
        <f aca="false">_xlfn.xlookup(AN1129,A:A,F:F)</f>
        <v>#NAME?</v>
      </c>
      <c r="AP1129" s="153" t="e">
        <f aca="false">_xlfn.xlookup(AN1129,A:A,J:J)</f>
        <v>#NAME?</v>
      </c>
      <c r="AQ1129" s="153" t="e">
        <f aca="false">_xlfn.xlookup(AN1129,A:A,N:N)+_xlfn.xlookup(AN1129,A:A,O:O)</f>
        <v>#NAME?</v>
      </c>
      <c r="AR1129" s="150" t="e">
        <f aca="false">_xlfn.xlookup(AN1129,A:A,AH:AH)</f>
        <v>#NAME?</v>
      </c>
      <c r="AS1129" s="150" t="e">
        <f aca="false">_xlfn.xlookup(AN1129,A:A,S:S)</f>
        <v>#NAME?</v>
      </c>
      <c r="AT1129" s="150" t="e">
        <f aca="false">_xlfn.xlookup(AN1129,A:A,AE:AE)</f>
        <v>#NAME?</v>
      </c>
      <c r="AU1129" s="150" t="e">
        <f aca="false">_xlfn.xlookup(AN1129,A:A,AF:AF)</f>
        <v>#NAME?</v>
      </c>
      <c r="AX1129" s="146"/>
      <c r="AY1129" s="150"/>
      <c r="AZ1129" s="150"/>
      <c r="BA1129" s="150"/>
      <c r="BB1129" s="146"/>
      <c r="BC1129" s="146"/>
      <c r="BD1129" s="151"/>
      <c r="BE1129" s="146"/>
      <c r="BF1129" s="146"/>
      <c r="BH1129" s="152" t="e">
        <f aca="false">_xlfn.xlookup(BG1129,A:A,E:E)</f>
        <v>#NAME?</v>
      </c>
      <c r="BI1129" s="153" t="e">
        <f aca="false">_xlfn.xlookup(BG1129,A:A,J:J)</f>
        <v>#NAME?</v>
      </c>
      <c r="BJ1129" s="153" t="e">
        <f aca="false">_xlfn.xlookup(BG1129,A:A,N:N)+_xlfn.xlookup(BG1129,A:A,O:O)</f>
        <v>#NAME?</v>
      </c>
    </row>
    <row r="1130" s="153" customFormat="true" ht="15" hidden="false" customHeight="false" outlineLevel="0" collapsed="false">
      <c r="AN1130" s="153" t="e">
        <v>#NAME?</v>
      </c>
      <c r="AO1130" s="153" t="e">
        <f aca="false">_xlfn.xlookup(AN1130,A:A,F:F)</f>
        <v>#NAME?</v>
      </c>
      <c r="AP1130" s="153" t="e">
        <f aca="false">_xlfn.xlookup(AN1130,A:A,J:J)</f>
        <v>#NAME?</v>
      </c>
      <c r="AQ1130" s="153" t="e">
        <f aca="false">_xlfn.xlookup(AN1130,A:A,N:N)+_xlfn.xlookup(AN1130,A:A,O:O)</f>
        <v>#NAME?</v>
      </c>
      <c r="AR1130" s="150" t="e">
        <f aca="false">_xlfn.xlookup(AN1130,A:A,AH:AH)</f>
        <v>#NAME?</v>
      </c>
      <c r="AS1130" s="150" t="e">
        <f aca="false">_xlfn.xlookup(AN1130,A:A,S:S)</f>
        <v>#NAME?</v>
      </c>
      <c r="AT1130" s="150" t="e">
        <f aca="false">_xlfn.xlookup(AN1130,A:A,AE:AE)</f>
        <v>#NAME?</v>
      </c>
      <c r="AU1130" s="150" t="e">
        <f aca="false">_xlfn.xlookup(AN1130,A:A,AF:AF)</f>
        <v>#NAME?</v>
      </c>
      <c r="AX1130" s="146"/>
      <c r="AY1130" s="150"/>
      <c r="AZ1130" s="150"/>
      <c r="BA1130" s="150"/>
      <c r="BB1130" s="146"/>
      <c r="BC1130" s="146"/>
      <c r="BD1130" s="151"/>
      <c r="BE1130" s="146"/>
      <c r="BF1130" s="146"/>
      <c r="BH1130" s="152" t="e">
        <f aca="false">_xlfn.xlookup(BG1130,A:A,E:E)</f>
        <v>#NAME?</v>
      </c>
      <c r="BI1130" s="153" t="e">
        <f aca="false">_xlfn.xlookup(BG1130,A:A,J:J)</f>
        <v>#NAME?</v>
      </c>
      <c r="BJ1130" s="153" t="e">
        <f aca="false">_xlfn.xlookup(BG1130,A:A,N:N)+_xlfn.xlookup(BG1130,A:A,O:O)</f>
        <v>#NAME?</v>
      </c>
    </row>
    <row r="1131" s="153" customFormat="true" ht="15" hidden="false" customHeight="false" outlineLevel="0" collapsed="false">
      <c r="AN1131" s="153" t="e">
        <v>#NAME?</v>
      </c>
      <c r="AO1131" s="153" t="e">
        <f aca="false">_xlfn.xlookup(AN1131,A:A,F:F)</f>
        <v>#NAME?</v>
      </c>
      <c r="AP1131" s="153" t="e">
        <f aca="false">_xlfn.xlookup(AN1131,A:A,J:J)</f>
        <v>#NAME?</v>
      </c>
      <c r="AQ1131" s="153" t="e">
        <f aca="false">_xlfn.xlookup(AN1131,A:A,N:N)+_xlfn.xlookup(AN1131,A:A,O:O)</f>
        <v>#NAME?</v>
      </c>
      <c r="AR1131" s="150" t="e">
        <f aca="false">_xlfn.xlookup(AN1131,A:A,AH:AH)</f>
        <v>#NAME?</v>
      </c>
      <c r="AS1131" s="150" t="e">
        <f aca="false">_xlfn.xlookup(AN1131,A:A,S:S)</f>
        <v>#NAME?</v>
      </c>
      <c r="AT1131" s="150" t="e">
        <f aca="false">_xlfn.xlookup(AN1131,A:A,AE:AE)</f>
        <v>#NAME?</v>
      </c>
      <c r="AU1131" s="150" t="e">
        <f aca="false">_xlfn.xlookup(AN1131,A:A,AF:AF)</f>
        <v>#NAME?</v>
      </c>
      <c r="AX1131" s="146"/>
      <c r="AY1131" s="150"/>
      <c r="AZ1131" s="150"/>
      <c r="BA1131" s="150"/>
      <c r="BB1131" s="146"/>
      <c r="BC1131" s="146"/>
      <c r="BD1131" s="151"/>
      <c r="BE1131" s="146"/>
      <c r="BF1131" s="146"/>
      <c r="BH1131" s="152" t="e">
        <f aca="false">_xlfn.xlookup(BG1131,A:A,E:E)</f>
        <v>#NAME?</v>
      </c>
      <c r="BI1131" s="153" t="e">
        <f aca="false">_xlfn.xlookup(BG1131,A:A,J:J)</f>
        <v>#NAME?</v>
      </c>
      <c r="BJ1131" s="153" t="e">
        <f aca="false">_xlfn.xlookup(BG1131,A:A,N:N)+_xlfn.xlookup(BG1131,A:A,O:O)</f>
        <v>#NAME?</v>
      </c>
    </row>
    <row r="1132" s="153" customFormat="true" ht="15" hidden="false" customHeight="false" outlineLevel="0" collapsed="false">
      <c r="AN1132" s="153" t="e">
        <v>#NAME?</v>
      </c>
      <c r="AO1132" s="153" t="e">
        <f aca="false">_xlfn.xlookup(AN1132,A:A,F:F)</f>
        <v>#NAME?</v>
      </c>
      <c r="AP1132" s="153" t="e">
        <f aca="false">_xlfn.xlookup(AN1132,A:A,J:J)</f>
        <v>#NAME?</v>
      </c>
      <c r="AQ1132" s="153" t="e">
        <f aca="false">_xlfn.xlookup(AN1132,A:A,N:N)+_xlfn.xlookup(AN1132,A:A,O:O)</f>
        <v>#NAME?</v>
      </c>
      <c r="AR1132" s="150" t="e">
        <f aca="false">_xlfn.xlookup(AN1132,A:A,AH:AH)</f>
        <v>#NAME?</v>
      </c>
      <c r="AS1132" s="150" t="e">
        <f aca="false">_xlfn.xlookup(AN1132,A:A,S:S)</f>
        <v>#NAME?</v>
      </c>
      <c r="AT1132" s="150" t="e">
        <f aca="false">_xlfn.xlookup(AN1132,A:A,AE:AE)</f>
        <v>#NAME?</v>
      </c>
      <c r="AU1132" s="150" t="e">
        <f aca="false">_xlfn.xlookup(AN1132,A:A,AF:AF)</f>
        <v>#NAME?</v>
      </c>
      <c r="AX1132" s="146"/>
      <c r="AY1132" s="150"/>
      <c r="AZ1132" s="150"/>
      <c r="BA1132" s="150"/>
      <c r="BB1132" s="146"/>
      <c r="BC1132" s="146"/>
      <c r="BD1132" s="151"/>
      <c r="BE1132" s="146"/>
      <c r="BF1132" s="146"/>
      <c r="BH1132" s="152" t="e">
        <f aca="false">_xlfn.xlookup(BG1132,A:A,E:E)</f>
        <v>#NAME?</v>
      </c>
      <c r="BI1132" s="153" t="e">
        <f aca="false">_xlfn.xlookup(BG1132,A:A,J:J)</f>
        <v>#NAME?</v>
      </c>
      <c r="BJ1132" s="153" t="e">
        <f aca="false">_xlfn.xlookup(BG1132,A:A,N:N)+_xlfn.xlookup(BG1132,A:A,O:O)</f>
        <v>#NAME?</v>
      </c>
    </row>
    <row r="1133" s="153" customFormat="true" ht="15" hidden="false" customHeight="false" outlineLevel="0" collapsed="false">
      <c r="AN1133" s="153" t="e">
        <v>#NAME?</v>
      </c>
      <c r="AO1133" s="153" t="e">
        <f aca="false">_xlfn.xlookup(AN1133,A:A,F:F)</f>
        <v>#NAME?</v>
      </c>
      <c r="AP1133" s="153" t="e">
        <f aca="false">_xlfn.xlookup(AN1133,A:A,J:J)</f>
        <v>#NAME?</v>
      </c>
      <c r="AQ1133" s="153" t="e">
        <f aca="false">_xlfn.xlookup(AN1133,A:A,N:N)+_xlfn.xlookup(AN1133,A:A,O:O)</f>
        <v>#NAME?</v>
      </c>
      <c r="AR1133" s="150" t="e">
        <f aca="false">_xlfn.xlookup(AN1133,A:A,AH:AH)</f>
        <v>#NAME?</v>
      </c>
      <c r="AS1133" s="150" t="e">
        <f aca="false">_xlfn.xlookup(AN1133,A:A,S:S)</f>
        <v>#NAME?</v>
      </c>
      <c r="AT1133" s="150" t="e">
        <f aca="false">_xlfn.xlookup(AN1133,A:A,AE:AE)</f>
        <v>#NAME?</v>
      </c>
      <c r="AU1133" s="150" t="e">
        <f aca="false">_xlfn.xlookup(AN1133,A:A,AF:AF)</f>
        <v>#NAME?</v>
      </c>
      <c r="AX1133" s="146"/>
      <c r="AY1133" s="150"/>
      <c r="AZ1133" s="150"/>
      <c r="BA1133" s="150"/>
      <c r="BB1133" s="146"/>
      <c r="BC1133" s="146"/>
      <c r="BD1133" s="151"/>
      <c r="BE1133" s="146"/>
      <c r="BF1133" s="146"/>
      <c r="BH1133" s="152" t="e">
        <f aca="false">_xlfn.xlookup(BG1133,A:A,E:E)</f>
        <v>#NAME?</v>
      </c>
      <c r="BI1133" s="153" t="e">
        <f aca="false">_xlfn.xlookup(BG1133,A:A,J:J)</f>
        <v>#NAME?</v>
      </c>
      <c r="BJ1133" s="153" t="e">
        <f aca="false">_xlfn.xlookup(BG1133,A:A,N:N)+_xlfn.xlookup(BG1133,A:A,O:O)</f>
        <v>#NAME?</v>
      </c>
    </row>
    <row r="1134" s="153" customFormat="true" ht="15" hidden="false" customHeight="false" outlineLevel="0" collapsed="false">
      <c r="AN1134" s="153" t="e">
        <v>#NAME?</v>
      </c>
      <c r="AO1134" s="153" t="e">
        <f aca="false">_xlfn.xlookup(AN1134,A:A,F:F)</f>
        <v>#NAME?</v>
      </c>
      <c r="AP1134" s="153" t="e">
        <f aca="false">_xlfn.xlookup(AN1134,A:A,J:J)</f>
        <v>#NAME?</v>
      </c>
      <c r="AQ1134" s="153" t="e">
        <f aca="false">_xlfn.xlookup(AN1134,A:A,N:N)+_xlfn.xlookup(AN1134,A:A,O:O)</f>
        <v>#NAME?</v>
      </c>
      <c r="AR1134" s="150" t="e">
        <f aca="false">_xlfn.xlookup(AN1134,A:A,AH:AH)</f>
        <v>#NAME?</v>
      </c>
      <c r="AS1134" s="150" t="e">
        <f aca="false">_xlfn.xlookup(AN1134,A:A,S:S)</f>
        <v>#NAME?</v>
      </c>
      <c r="AT1134" s="150" t="e">
        <f aca="false">_xlfn.xlookup(AN1134,A:A,AE:AE)</f>
        <v>#NAME?</v>
      </c>
      <c r="AU1134" s="150" t="e">
        <f aca="false">_xlfn.xlookup(AN1134,A:A,AF:AF)</f>
        <v>#NAME?</v>
      </c>
      <c r="AX1134" s="146"/>
      <c r="AY1134" s="150"/>
      <c r="AZ1134" s="150"/>
      <c r="BA1134" s="150"/>
      <c r="BB1134" s="146"/>
      <c r="BC1134" s="146"/>
      <c r="BD1134" s="151"/>
      <c r="BE1134" s="146"/>
      <c r="BF1134" s="146"/>
      <c r="BH1134" s="152" t="e">
        <f aca="false">_xlfn.xlookup(BG1134,A:A,E:E)</f>
        <v>#NAME?</v>
      </c>
      <c r="BI1134" s="153" t="e">
        <f aca="false">_xlfn.xlookup(BG1134,A:A,J:J)</f>
        <v>#NAME?</v>
      </c>
      <c r="BJ1134" s="153" t="e">
        <f aca="false">_xlfn.xlookup(BG1134,A:A,N:N)+_xlfn.xlookup(BG1134,A:A,O:O)</f>
        <v>#NAME?</v>
      </c>
    </row>
    <row r="1135" s="153" customFormat="true" ht="15" hidden="false" customHeight="false" outlineLevel="0" collapsed="false">
      <c r="AN1135" s="153" t="e">
        <v>#NAME?</v>
      </c>
      <c r="AO1135" s="153" t="e">
        <f aca="false">_xlfn.xlookup(AN1135,A:A,F:F)</f>
        <v>#NAME?</v>
      </c>
      <c r="AP1135" s="153" t="e">
        <f aca="false">_xlfn.xlookup(AN1135,A:A,J:J)</f>
        <v>#NAME?</v>
      </c>
      <c r="AQ1135" s="153" t="e">
        <f aca="false">_xlfn.xlookup(AN1135,A:A,N:N)+_xlfn.xlookup(AN1135,A:A,O:O)</f>
        <v>#NAME?</v>
      </c>
      <c r="AR1135" s="150" t="e">
        <f aca="false">_xlfn.xlookup(AN1135,A:A,AH:AH)</f>
        <v>#NAME?</v>
      </c>
      <c r="AS1135" s="150" t="e">
        <f aca="false">_xlfn.xlookup(AN1135,A:A,S:S)</f>
        <v>#NAME?</v>
      </c>
      <c r="AT1135" s="150" t="e">
        <f aca="false">_xlfn.xlookup(AN1135,A:A,AE:AE)</f>
        <v>#NAME?</v>
      </c>
      <c r="AU1135" s="150" t="e">
        <f aca="false">_xlfn.xlookup(AN1135,A:A,AF:AF)</f>
        <v>#NAME?</v>
      </c>
      <c r="AX1135" s="146"/>
      <c r="AY1135" s="150"/>
      <c r="AZ1135" s="150"/>
      <c r="BA1135" s="150"/>
      <c r="BB1135" s="146"/>
      <c r="BC1135" s="146"/>
      <c r="BD1135" s="151"/>
      <c r="BE1135" s="146"/>
      <c r="BF1135" s="146"/>
      <c r="BH1135" s="152" t="e">
        <f aca="false">_xlfn.xlookup(BG1135,A:A,E:E)</f>
        <v>#NAME?</v>
      </c>
      <c r="BI1135" s="153" t="e">
        <f aca="false">_xlfn.xlookup(BG1135,A:A,J:J)</f>
        <v>#NAME?</v>
      </c>
      <c r="BJ1135" s="153" t="e">
        <f aca="false">_xlfn.xlookup(BG1135,A:A,N:N)+_xlfn.xlookup(BG1135,A:A,O:O)</f>
        <v>#NAME?</v>
      </c>
    </row>
    <row r="1136" s="153" customFormat="true" ht="15" hidden="false" customHeight="false" outlineLevel="0" collapsed="false">
      <c r="AN1136" s="153" t="e">
        <v>#NAME?</v>
      </c>
      <c r="AO1136" s="153" t="e">
        <f aca="false">_xlfn.xlookup(AN1136,A:A,F:F)</f>
        <v>#NAME?</v>
      </c>
      <c r="AP1136" s="153" t="e">
        <f aca="false">_xlfn.xlookup(AN1136,A:A,J:J)</f>
        <v>#NAME?</v>
      </c>
      <c r="AQ1136" s="153" t="e">
        <f aca="false">_xlfn.xlookup(AN1136,A:A,N:N)+_xlfn.xlookup(AN1136,A:A,O:O)</f>
        <v>#NAME?</v>
      </c>
      <c r="AR1136" s="150" t="e">
        <f aca="false">_xlfn.xlookup(AN1136,A:A,AH:AH)</f>
        <v>#NAME?</v>
      </c>
      <c r="AS1136" s="150" t="e">
        <f aca="false">_xlfn.xlookup(AN1136,A:A,S:S)</f>
        <v>#NAME?</v>
      </c>
      <c r="AT1136" s="150" t="e">
        <f aca="false">_xlfn.xlookup(AN1136,A:A,AE:AE)</f>
        <v>#NAME?</v>
      </c>
      <c r="AU1136" s="150" t="e">
        <f aca="false">_xlfn.xlookup(AN1136,A:A,AF:AF)</f>
        <v>#NAME?</v>
      </c>
      <c r="AX1136" s="146"/>
      <c r="AY1136" s="150"/>
      <c r="AZ1136" s="150"/>
      <c r="BA1136" s="150"/>
      <c r="BB1136" s="146"/>
      <c r="BC1136" s="146"/>
      <c r="BD1136" s="151"/>
      <c r="BE1136" s="146"/>
      <c r="BF1136" s="146"/>
      <c r="BH1136" s="152" t="e">
        <f aca="false">_xlfn.xlookup(BG1136,A:A,E:E)</f>
        <v>#NAME?</v>
      </c>
      <c r="BI1136" s="153" t="e">
        <f aca="false">_xlfn.xlookup(BG1136,A:A,J:J)</f>
        <v>#NAME?</v>
      </c>
      <c r="BJ1136" s="153" t="e">
        <f aca="false">_xlfn.xlookup(BG1136,A:A,N:N)+_xlfn.xlookup(BG1136,A:A,O:O)</f>
        <v>#NAME?</v>
      </c>
    </row>
    <row r="1137" s="153" customFormat="true" ht="15" hidden="false" customHeight="false" outlineLevel="0" collapsed="false">
      <c r="AN1137" s="153" t="e">
        <v>#NAME?</v>
      </c>
      <c r="AO1137" s="153" t="e">
        <f aca="false">_xlfn.xlookup(AN1137,A:A,F:F)</f>
        <v>#NAME?</v>
      </c>
      <c r="AP1137" s="153" t="e">
        <f aca="false">_xlfn.xlookup(AN1137,A:A,J:J)</f>
        <v>#NAME?</v>
      </c>
      <c r="AQ1137" s="153" t="e">
        <f aca="false">_xlfn.xlookup(AN1137,A:A,N:N)+_xlfn.xlookup(AN1137,A:A,O:O)</f>
        <v>#NAME?</v>
      </c>
      <c r="AR1137" s="150" t="e">
        <f aca="false">_xlfn.xlookup(AN1137,A:A,AH:AH)</f>
        <v>#NAME?</v>
      </c>
      <c r="AS1137" s="150" t="e">
        <f aca="false">_xlfn.xlookup(AN1137,A:A,S:S)</f>
        <v>#NAME?</v>
      </c>
      <c r="AT1137" s="150" t="e">
        <f aca="false">_xlfn.xlookup(AN1137,A:A,AE:AE)</f>
        <v>#NAME?</v>
      </c>
      <c r="AU1137" s="150" t="e">
        <f aca="false">_xlfn.xlookup(AN1137,A:A,AF:AF)</f>
        <v>#NAME?</v>
      </c>
      <c r="AX1137" s="146"/>
      <c r="AY1137" s="150"/>
      <c r="AZ1137" s="150"/>
      <c r="BA1137" s="150"/>
      <c r="BB1137" s="146"/>
      <c r="BC1137" s="146"/>
      <c r="BD1137" s="151"/>
      <c r="BE1137" s="146"/>
      <c r="BF1137" s="146"/>
      <c r="BH1137" s="152" t="e">
        <f aca="false">_xlfn.xlookup(BG1137,A:A,E:E)</f>
        <v>#NAME?</v>
      </c>
      <c r="BI1137" s="153" t="e">
        <f aca="false">_xlfn.xlookup(BG1137,A:A,J:J)</f>
        <v>#NAME?</v>
      </c>
      <c r="BJ1137" s="153" t="e">
        <f aca="false">_xlfn.xlookup(BG1137,A:A,N:N)+_xlfn.xlookup(BG1137,A:A,O:O)</f>
        <v>#NAME?</v>
      </c>
    </row>
    <row r="1138" s="153" customFormat="true" ht="15" hidden="false" customHeight="false" outlineLevel="0" collapsed="false">
      <c r="AN1138" s="153" t="e">
        <v>#NAME?</v>
      </c>
      <c r="AO1138" s="153" t="e">
        <f aca="false">_xlfn.xlookup(AN1138,A:A,F:F)</f>
        <v>#NAME?</v>
      </c>
      <c r="AP1138" s="153" t="e">
        <f aca="false">_xlfn.xlookup(AN1138,A:A,J:J)</f>
        <v>#NAME?</v>
      </c>
      <c r="AQ1138" s="153" t="e">
        <f aca="false">_xlfn.xlookup(AN1138,A:A,N:N)+_xlfn.xlookup(AN1138,A:A,O:O)</f>
        <v>#NAME?</v>
      </c>
      <c r="AR1138" s="150" t="e">
        <f aca="false">_xlfn.xlookup(AN1138,A:A,AH:AH)</f>
        <v>#NAME?</v>
      </c>
      <c r="AS1138" s="150" t="e">
        <f aca="false">_xlfn.xlookup(AN1138,A:A,S:S)</f>
        <v>#NAME?</v>
      </c>
      <c r="AT1138" s="150" t="e">
        <f aca="false">_xlfn.xlookup(AN1138,A:A,AE:AE)</f>
        <v>#NAME?</v>
      </c>
      <c r="AU1138" s="150" t="e">
        <f aca="false">_xlfn.xlookup(AN1138,A:A,AF:AF)</f>
        <v>#NAME?</v>
      </c>
      <c r="AX1138" s="146"/>
      <c r="AY1138" s="150"/>
      <c r="AZ1138" s="150"/>
      <c r="BA1138" s="150"/>
      <c r="BB1138" s="146"/>
      <c r="BC1138" s="146"/>
      <c r="BD1138" s="151"/>
      <c r="BE1138" s="146"/>
      <c r="BF1138" s="146"/>
      <c r="BH1138" s="152" t="e">
        <f aca="false">_xlfn.xlookup(BG1138,A:A,E:E)</f>
        <v>#NAME?</v>
      </c>
      <c r="BI1138" s="153" t="e">
        <f aca="false">_xlfn.xlookup(BG1138,A:A,J:J)</f>
        <v>#NAME?</v>
      </c>
      <c r="BJ1138" s="153" t="e">
        <f aca="false">_xlfn.xlookup(BG1138,A:A,N:N)+_xlfn.xlookup(BG1138,A:A,O:O)</f>
        <v>#NAME?</v>
      </c>
    </row>
    <row r="1139" s="153" customFormat="true" ht="15" hidden="false" customHeight="false" outlineLevel="0" collapsed="false">
      <c r="AN1139" s="153" t="e">
        <v>#NAME?</v>
      </c>
      <c r="AO1139" s="153" t="e">
        <f aca="false">_xlfn.xlookup(AN1139,A:A,F:F)</f>
        <v>#NAME?</v>
      </c>
      <c r="AP1139" s="153" t="e">
        <f aca="false">_xlfn.xlookup(AN1139,A:A,J:J)</f>
        <v>#NAME?</v>
      </c>
      <c r="AQ1139" s="153" t="e">
        <f aca="false">_xlfn.xlookup(AN1139,A:A,N:N)+_xlfn.xlookup(AN1139,A:A,O:O)</f>
        <v>#NAME?</v>
      </c>
      <c r="AR1139" s="150" t="e">
        <f aca="false">_xlfn.xlookup(AN1139,A:A,AH:AH)</f>
        <v>#NAME?</v>
      </c>
      <c r="AS1139" s="150" t="e">
        <f aca="false">_xlfn.xlookup(AN1139,A:A,S:S)</f>
        <v>#NAME?</v>
      </c>
      <c r="AT1139" s="150" t="e">
        <f aca="false">_xlfn.xlookup(AN1139,A:A,AE:AE)</f>
        <v>#NAME?</v>
      </c>
      <c r="AU1139" s="150" t="e">
        <f aca="false">_xlfn.xlookup(AN1139,A:A,AF:AF)</f>
        <v>#NAME?</v>
      </c>
      <c r="AX1139" s="146"/>
      <c r="AY1139" s="150"/>
      <c r="AZ1139" s="150"/>
      <c r="BA1139" s="150"/>
      <c r="BB1139" s="146"/>
      <c r="BC1139" s="146"/>
      <c r="BD1139" s="151"/>
      <c r="BE1139" s="146"/>
      <c r="BF1139" s="146"/>
      <c r="BH1139" s="152" t="e">
        <f aca="false">_xlfn.xlookup(BG1139,A:A,E:E)</f>
        <v>#NAME?</v>
      </c>
      <c r="BI1139" s="153" t="e">
        <f aca="false">_xlfn.xlookup(BG1139,A:A,J:J)</f>
        <v>#NAME?</v>
      </c>
      <c r="BJ1139" s="153" t="e">
        <f aca="false">_xlfn.xlookup(BG1139,A:A,N:N)+_xlfn.xlookup(BG1139,A:A,O:O)</f>
        <v>#NAME?</v>
      </c>
    </row>
    <row r="1140" s="153" customFormat="true" ht="15" hidden="false" customHeight="false" outlineLevel="0" collapsed="false">
      <c r="AN1140" s="153" t="e">
        <v>#NAME?</v>
      </c>
      <c r="AO1140" s="153" t="e">
        <f aca="false">_xlfn.xlookup(AN1140,A:A,F:F)</f>
        <v>#NAME?</v>
      </c>
      <c r="AP1140" s="153" t="e">
        <f aca="false">_xlfn.xlookup(AN1140,A:A,J:J)</f>
        <v>#NAME?</v>
      </c>
      <c r="AQ1140" s="153" t="e">
        <f aca="false">_xlfn.xlookup(AN1140,A:A,N:N)+_xlfn.xlookup(AN1140,A:A,O:O)</f>
        <v>#NAME?</v>
      </c>
      <c r="AR1140" s="150" t="e">
        <f aca="false">_xlfn.xlookup(AN1140,A:A,AH:AH)</f>
        <v>#NAME?</v>
      </c>
      <c r="AS1140" s="150" t="e">
        <f aca="false">_xlfn.xlookup(AN1140,A:A,S:S)</f>
        <v>#NAME?</v>
      </c>
      <c r="AT1140" s="150" t="e">
        <f aca="false">_xlfn.xlookup(AN1140,A:A,AE:AE)</f>
        <v>#NAME?</v>
      </c>
      <c r="AU1140" s="150" t="e">
        <f aca="false">_xlfn.xlookup(AN1140,A:A,AF:AF)</f>
        <v>#NAME?</v>
      </c>
      <c r="AX1140" s="146"/>
      <c r="AY1140" s="150"/>
      <c r="AZ1140" s="150"/>
      <c r="BA1140" s="150"/>
      <c r="BB1140" s="146"/>
      <c r="BC1140" s="146"/>
      <c r="BD1140" s="151"/>
      <c r="BE1140" s="146"/>
      <c r="BF1140" s="146"/>
      <c r="BH1140" s="152" t="e">
        <f aca="false">_xlfn.xlookup(BG1140,A:A,E:E)</f>
        <v>#NAME?</v>
      </c>
      <c r="BI1140" s="153" t="e">
        <f aca="false">_xlfn.xlookup(BG1140,A:A,J:J)</f>
        <v>#NAME?</v>
      </c>
      <c r="BJ1140" s="153" t="e">
        <f aca="false">_xlfn.xlookup(BG1140,A:A,N:N)+_xlfn.xlookup(BG1140,A:A,O:O)</f>
        <v>#NAME?</v>
      </c>
    </row>
    <row r="1141" s="153" customFormat="true" ht="15" hidden="false" customHeight="false" outlineLevel="0" collapsed="false">
      <c r="AN1141" s="153" t="e">
        <v>#NAME?</v>
      </c>
      <c r="AO1141" s="153" t="e">
        <f aca="false">_xlfn.xlookup(AN1141,A:A,F:F)</f>
        <v>#NAME?</v>
      </c>
      <c r="AP1141" s="153" t="e">
        <f aca="false">_xlfn.xlookup(AN1141,A:A,J:J)</f>
        <v>#NAME?</v>
      </c>
      <c r="AQ1141" s="153" t="e">
        <f aca="false">_xlfn.xlookup(AN1141,A:A,N:N)+_xlfn.xlookup(AN1141,A:A,O:O)</f>
        <v>#NAME?</v>
      </c>
      <c r="AR1141" s="150" t="e">
        <f aca="false">_xlfn.xlookup(AN1141,A:A,AH:AH)</f>
        <v>#NAME?</v>
      </c>
      <c r="AS1141" s="150" t="e">
        <f aca="false">_xlfn.xlookup(AN1141,A:A,S:S)</f>
        <v>#NAME?</v>
      </c>
      <c r="AT1141" s="150" t="e">
        <f aca="false">_xlfn.xlookup(AN1141,A:A,AE:AE)</f>
        <v>#NAME?</v>
      </c>
      <c r="AU1141" s="150" t="e">
        <f aca="false">_xlfn.xlookup(AN1141,A:A,AF:AF)</f>
        <v>#NAME?</v>
      </c>
      <c r="AX1141" s="146"/>
      <c r="AY1141" s="150"/>
      <c r="AZ1141" s="150"/>
      <c r="BA1141" s="150"/>
      <c r="BB1141" s="146"/>
      <c r="BC1141" s="146"/>
      <c r="BD1141" s="151"/>
      <c r="BE1141" s="146"/>
      <c r="BF1141" s="146"/>
      <c r="BH1141" s="152" t="e">
        <f aca="false">_xlfn.xlookup(BG1141,A:A,E:E)</f>
        <v>#NAME?</v>
      </c>
      <c r="BI1141" s="153" t="e">
        <f aca="false">_xlfn.xlookup(BG1141,A:A,J:J)</f>
        <v>#NAME?</v>
      </c>
      <c r="BJ1141" s="153" t="e">
        <f aca="false">_xlfn.xlookup(BG1141,A:A,N:N)+_xlfn.xlookup(BG1141,A:A,O:O)</f>
        <v>#NAME?</v>
      </c>
    </row>
    <row r="1142" s="153" customFormat="true" ht="15" hidden="false" customHeight="false" outlineLevel="0" collapsed="false">
      <c r="AN1142" s="153" t="e">
        <v>#NAME?</v>
      </c>
      <c r="AO1142" s="153" t="e">
        <f aca="false">_xlfn.xlookup(AN1142,A:A,F:F)</f>
        <v>#NAME?</v>
      </c>
      <c r="AP1142" s="153" t="e">
        <f aca="false">_xlfn.xlookup(AN1142,A:A,J:J)</f>
        <v>#NAME?</v>
      </c>
      <c r="AQ1142" s="153" t="e">
        <f aca="false">_xlfn.xlookup(AN1142,A:A,N:N)+_xlfn.xlookup(AN1142,A:A,O:O)</f>
        <v>#NAME?</v>
      </c>
      <c r="AR1142" s="150" t="e">
        <f aca="false">_xlfn.xlookup(AN1142,A:A,AH:AH)</f>
        <v>#NAME?</v>
      </c>
      <c r="AS1142" s="150" t="e">
        <f aca="false">_xlfn.xlookup(AN1142,A:A,S:S)</f>
        <v>#NAME?</v>
      </c>
      <c r="AT1142" s="150" t="e">
        <f aca="false">_xlfn.xlookup(AN1142,A:A,AE:AE)</f>
        <v>#NAME?</v>
      </c>
      <c r="AU1142" s="150" t="e">
        <f aca="false">_xlfn.xlookup(AN1142,A:A,AF:AF)</f>
        <v>#NAME?</v>
      </c>
      <c r="AX1142" s="146"/>
      <c r="AY1142" s="150"/>
      <c r="AZ1142" s="150"/>
      <c r="BA1142" s="150"/>
      <c r="BB1142" s="146"/>
      <c r="BC1142" s="146"/>
      <c r="BD1142" s="151"/>
      <c r="BE1142" s="146"/>
      <c r="BF1142" s="146"/>
      <c r="BH1142" s="152" t="e">
        <f aca="false">_xlfn.xlookup(BG1142,A:A,E:E)</f>
        <v>#NAME?</v>
      </c>
      <c r="BI1142" s="153" t="e">
        <f aca="false">_xlfn.xlookup(BG1142,A:A,J:J)</f>
        <v>#NAME?</v>
      </c>
      <c r="BJ1142" s="153" t="e">
        <f aca="false">_xlfn.xlookup(BG1142,A:A,N:N)+_xlfn.xlookup(BG1142,A:A,O:O)</f>
        <v>#NAME?</v>
      </c>
    </row>
    <row r="1143" s="153" customFormat="true" ht="15" hidden="false" customHeight="false" outlineLevel="0" collapsed="false">
      <c r="AN1143" s="153" t="e">
        <v>#NAME?</v>
      </c>
      <c r="AO1143" s="153" t="e">
        <f aca="false">_xlfn.xlookup(AN1143,A:A,F:F)</f>
        <v>#NAME?</v>
      </c>
      <c r="AP1143" s="153" t="e">
        <f aca="false">_xlfn.xlookup(AN1143,A:A,J:J)</f>
        <v>#NAME?</v>
      </c>
      <c r="AQ1143" s="153" t="e">
        <f aca="false">_xlfn.xlookup(AN1143,A:A,N:N)+_xlfn.xlookup(AN1143,A:A,O:O)</f>
        <v>#NAME?</v>
      </c>
      <c r="AR1143" s="150" t="e">
        <f aca="false">_xlfn.xlookup(AN1143,A:A,AH:AH)</f>
        <v>#NAME?</v>
      </c>
      <c r="AS1143" s="150" t="e">
        <f aca="false">_xlfn.xlookup(AN1143,A:A,S:S)</f>
        <v>#NAME?</v>
      </c>
      <c r="AT1143" s="150" t="e">
        <f aca="false">_xlfn.xlookup(AN1143,A:A,AE:AE)</f>
        <v>#NAME?</v>
      </c>
      <c r="AU1143" s="150" t="e">
        <f aca="false">_xlfn.xlookup(AN1143,A:A,AF:AF)</f>
        <v>#NAME?</v>
      </c>
      <c r="AX1143" s="146"/>
      <c r="AY1143" s="150"/>
      <c r="AZ1143" s="150"/>
      <c r="BA1143" s="150"/>
      <c r="BB1143" s="146"/>
      <c r="BC1143" s="146"/>
      <c r="BD1143" s="151"/>
      <c r="BE1143" s="146"/>
      <c r="BF1143" s="146"/>
      <c r="BH1143" s="152" t="e">
        <f aca="false">_xlfn.xlookup(BG1143,A:A,E:E)</f>
        <v>#NAME?</v>
      </c>
      <c r="BI1143" s="153" t="e">
        <f aca="false">_xlfn.xlookup(BG1143,A:A,J:J)</f>
        <v>#NAME?</v>
      </c>
      <c r="BJ1143" s="153" t="e">
        <f aca="false">_xlfn.xlookup(BG1143,A:A,N:N)+_xlfn.xlookup(BG1143,A:A,O:O)</f>
        <v>#NAME?</v>
      </c>
    </row>
    <row r="1144" s="153" customFormat="true" ht="15" hidden="false" customHeight="false" outlineLevel="0" collapsed="false">
      <c r="AN1144" s="153" t="e">
        <v>#NAME?</v>
      </c>
      <c r="AO1144" s="153" t="e">
        <f aca="false">_xlfn.xlookup(AN1144,A:A,F:F)</f>
        <v>#NAME?</v>
      </c>
      <c r="AP1144" s="153" t="e">
        <f aca="false">_xlfn.xlookup(AN1144,A:A,J:J)</f>
        <v>#NAME?</v>
      </c>
      <c r="AQ1144" s="153" t="e">
        <f aca="false">_xlfn.xlookup(AN1144,A:A,N:N)+_xlfn.xlookup(AN1144,A:A,O:O)</f>
        <v>#NAME?</v>
      </c>
      <c r="AR1144" s="150" t="e">
        <f aca="false">_xlfn.xlookup(AN1144,A:A,AH:AH)</f>
        <v>#NAME?</v>
      </c>
      <c r="AS1144" s="150" t="e">
        <f aca="false">_xlfn.xlookup(AN1144,A:A,S:S)</f>
        <v>#NAME?</v>
      </c>
      <c r="AT1144" s="150" t="e">
        <f aca="false">_xlfn.xlookup(AN1144,A:A,AE:AE)</f>
        <v>#NAME?</v>
      </c>
      <c r="AU1144" s="150" t="e">
        <f aca="false">_xlfn.xlookup(AN1144,A:A,AF:AF)</f>
        <v>#NAME?</v>
      </c>
      <c r="AX1144" s="146"/>
      <c r="AY1144" s="150"/>
      <c r="AZ1144" s="150"/>
      <c r="BA1144" s="150"/>
      <c r="BB1144" s="146"/>
      <c r="BC1144" s="146"/>
      <c r="BD1144" s="151"/>
      <c r="BE1144" s="146"/>
      <c r="BF1144" s="146"/>
      <c r="BH1144" s="152" t="e">
        <f aca="false">_xlfn.xlookup(BG1144,A:A,E:E)</f>
        <v>#NAME?</v>
      </c>
      <c r="BI1144" s="153" t="e">
        <f aca="false">_xlfn.xlookup(BG1144,A:A,J:J)</f>
        <v>#NAME?</v>
      </c>
      <c r="BJ1144" s="153" t="e">
        <f aca="false">_xlfn.xlookup(BG1144,A:A,N:N)+_xlfn.xlookup(BG1144,A:A,O:O)</f>
        <v>#NAME?</v>
      </c>
    </row>
    <row r="1145" s="153" customFormat="true" ht="15" hidden="false" customHeight="false" outlineLevel="0" collapsed="false">
      <c r="AN1145" s="153" t="e">
        <v>#NAME?</v>
      </c>
      <c r="AO1145" s="153" t="e">
        <f aca="false">_xlfn.xlookup(AN1145,A:A,F:F)</f>
        <v>#NAME?</v>
      </c>
      <c r="AP1145" s="153" t="e">
        <f aca="false">_xlfn.xlookup(AN1145,A:A,J:J)</f>
        <v>#NAME?</v>
      </c>
      <c r="AQ1145" s="153" t="e">
        <f aca="false">_xlfn.xlookup(AN1145,A:A,N:N)+_xlfn.xlookup(AN1145,A:A,O:O)</f>
        <v>#NAME?</v>
      </c>
      <c r="AR1145" s="150" t="e">
        <f aca="false">_xlfn.xlookup(AN1145,A:A,AH:AH)</f>
        <v>#NAME?</v>
      </c>
      <c r="AS1145" s="150" t="e">
        <f aca="false">_xlfn.xlookup(AN1145,A:A,S:S)</f>
        <v>#NAME?</v>
      </c>
      <c r="AT1145" s="150" t="e">
        <f aca="false">_xlfn.xlookup(AN1145,A:A,AE:AE)</f>
        <v>#NAME?</v>
      </c>
      <c r="AU1145" s="150" t="e">
        <f aca="false">_xlfn.xlookup(AN1145,A:A,AF:AF)</f>
        <v>#NAME?</v>
      </c>
      <c r="AX1145" s="146"/>
      <c r="AY1145" s="150"/>
      <c r="AZ1145" s="150"/>
      <c r="BA1145" s="150"/>
      <c r="BB1145" s="146"/>
      <c r="BC1145" s="146"/>
      <c r="BD1145" s="151"/>
      <c r="BE1145" s="146"/>
      <c r="BF1145" s="146"/>
      <c r="BH1145" s="152" t="e">
        <f aca="false">_xlfn.xlookup(BG1145,A:A,E:E)</f>
        <v>#NAME?</v>
      </c>
      <c r="BI1145" s="153" t="e">
        <f aca="false">_xlfn.xlookup(BG1145,A:A,J:J)</f>
        <v>#NAME?</v>
      </c>
      <c r="BJ1145" s="153" t="e">
        <f aca="false">_xlfn.xlookup(BG1145,A:A,N:N)+_xlfn.xlookup(BG1145,A:A,O:O)</f>
        <v>#NAME?</v>
      </c>
    </row>
    <row r="1146" s="153" customFormat="true" ht="15" hidden="false" customHeight="false" outlineLevel="0" collapsed="false">
      <c r="AN1146" s="153" t="e">
        <v>#NAME?</v>
      </c>
      <c r="AO1146" s="153" t="e">
        <f aca="false">_xlfn.xlookup(AN1146,A:A,F:F)</f>
        <v>#NAME?</v>
      </c>
      <c r="AP1146" s="153" t="e">
        <f aca="false">_xlfn.xlookup(AN1146,A:A,J:J)</f>
        <v>#NAME?</v>
      </c>
      <c r="AQ1146" s="153" t="e">
        <f aca="false">_xlfn.xlookup(AN1146,A:A,N:N)+_xlfn.xlookup(AN1146,A:A,O:O)</f>
        <v>#NAME?</v>
      </c>
      <c r="AR1146" s="150" t="e">
        <f aca="false">_xlfn.xlookup(AN1146,A:A,AH:AH)</f>
        <v>#NAME?</v>
      </c>
      <c r="AS1146" s="150" t="e">
        <f aca="false">_xlfn.xlookup(AN1146,A:A,S:S)</f>
        <v>#NAME?</v>
      </c>
      <c r="AT1146" s="150" t="e">
        <f aca="false">_xlfn.xlookup(AN1146,A:A,AE:AE)</f>
        <v>#NAME?</v>
      </c>
      <c r="AU1146" s="150" t="e">
        <f aca="false">_xlfn.xlookup(AN1146,A:A,AF:AF)</f>
        <v>#NAME?</v>
      </c>
      <c r="AX1146" s="146"/>
      <c r="AY1146" s="150"/>
      <c r="AZ1146" s="150"/>
      <c r="BA1146" s="150"/>
      <c r="BB1146" s="146"/>
      <c r="BC1146" s="146"/>
      <c r="BD1146" s="151"/>
      <c r="BE1146" s="146"/>
      <c r="BF1146" s="146"/>
      <c r="BH1146" s="152" t="e">
        <f aca="false">_xlfn.xlookup(BG1146,A:A,E:E)</f>
        <v>#NAME?</v>
      </c>
      <c r="BI1146" s="153" t="e">
        <f aca="false">_xlfn.xlookup(BG1146,A:A,J:J)</f>
        <v>#NAME?</v>
      </c>
      <c r="BJ1146" s="153" t="e">
        <f aca="false">_xlfn.xlookup(BG1146,A:A,N:N)+_xlfn.xlookup(BG1146,A:A,O:O)</f>
        <v>#NAME?</v>
      </c>
    </row>
    <row r="1147" s="153" customFormat="true" ht="15" hidden="false" customHeight="false" outlineLevel="0" collapsed="false">
      <c r="AN1147" s="153" t="e">
        <v>#NAME?</v>
      </c>
      <c r="AO1147" s="153" t="e">
        <f aca="false">_xlfn.xlookup(AN1147,A:A,F:F)</f>
        <v>#NAME?</v>
      </c>
      <c r="AP1147" s="153" t="e">
        <f aca="false">_xlfn.xlookup(AN1147,A:A,J:J)</f>
        <v>#NAME?</v>
      </c>
      <c r="AQ1147" s="153" t="e">
        <f aca="false">_xlfn.xlookup(AN1147,A:A,N:N)+_xlfn.xlookup(AN1147,A:A,O:O)</f>
        <v>#NAME?</v>
      </c>
      <c r="AR1147" s="150" t="e">
        <f aca="false">_xlfn.xlookup(AN1147,A:A,AH:AH)</f>
        <v>#NAME?</v>
      </c>
      <c r="AS1147" s="150" t="e">
        <f aca="false">_xlfn.xlookup(AN1147,A:A,S:S)</f>
        <v>#NAME?</v>
      </c>
      <c r="AT1147" s="150" t="e">
        <f aca="false">_xlfn.xlookup(AN1147,A:A,AE:AE)</f>
        <v>#NAME?</v>
      </c>
      <c r="AU1147" s="150" t="e">
        <f aca="false">_xlfn.xlookup(AN1147,A:A,AF:AF)</f>
        <v>#NAME?</v>
      </c>
      <c r="AX1147" s="146"/>
      <c r="AY1147" s="150"/>
      <c r="AZ1147" s="150"/>
      <c r="BA1147" s="150"/>
      <c r="BB1147" s="146"/>
      <c r="BC1147" s="146"/>
      <c r="BD1147" s="151"/>
      <c r="BE1147" s="146"/>
      <c r="BF1147" s="146"/>
      <c r="BH1147" s="152" t="e">
        <f aca="false">_xlfn.xlookup(BG1147,A:A,E:E)</f>
        <v>#NAME?</v>
      </c>
      <c r="BI1147" s="153" t="e">
        <f aca="false">_xlfn.xlookup(BG1147,A:A,J:J)</f>
        <v>#NAME?</v>
      </c>
      <c r="BJ1147" s="153" t="e">
        <f aca="false">_xlfn.xlookup(BG1147,A:A,N:N)+_xlfn.xlookup(BG1147,A:A,O:O)</f>
        <v>#NAME?</v>
      </c>
    </row>
    <row r="1148" s="153" customFormat="true" ht="15" hidden="false" customHeight="false" outlineLevel="0" collapsed="false">
      <c r="AN1148" s="153" t="e">
        <v>#NAME?</v>
      </c>
      <c r="AO1148" s="153" t="e">
        <f aca="false">_xlfn.xlookup(AN1148,A:A,F:F)</f>
        <v>#NAME?</v>
      </c>
      <c r="AP1148" s="153" t="e">
        <f aca="false">_xlfn.xlookup(AN1148,A:A,J:J)</f>
        <v>#NAME?</v>
      </c>
      <c r="AQ1148" s="153" t="e">
        <f aca="false">_xlfn.xlookup(AN1148,A:A,N:N)+_xlfn.xlookup(AN1148,A:A,O:O)</f>
        <v>#NAME?</v>
      </c>
      <c r="AR1148" s="150" t="e">
        <f aca="false">_xlfn.xlookup(AN1148,A:A,AH:AH)</f>
        <v>#NAME?</v>
      </c>
      <c r="AS1148" s="150" t="e">
        <f aca="false">_xlfn.xlookup(AN1148,A:A,S:S)</f>
        <v>#NAME?</v>
      </c>
      <c r="AT1148" s="150" t="e">
        <f aca="false">_xlfn.xlookup(AN1148,A:A,AE:AE)</f>
        <v>#NAME?</v>
      </c>
      <c r="AU1148" s="150" t="e">
        <f aca="false">_xlfn.xlookup(AN1148,A:A,AF:AF)</f>
        <v>#NAME?</v>
      </c>
      <c r="AX1148" s="146"/>
      <c r="AY1148" s="150"/>
      <c r="AZ1148" s="150"/>
      <c r="BA1148" s="150"/>
      <c r="BB1148" s="146"/>
      <c r="BC1148" s="146"/>
      <c r="BD1148" s="151"/>
      <c r="BE1148" s="146"/>
      <c r="BF1148" s="146"/>
      <c r="BH1148" s="152" t="e">
        <f aca="false">_xlfn.xlookup(BG1148,A:A,E:E)</f>
        <v>#NAME?</v>
      </c>
      <c r="BI1148" s="153" t="e">
        <f aca="false">_xlfn.xlookup(BG1148,A:A,J:J)</f>
        <v>#NAME?</v>
      </c>
      <c r="BJ1148" s="153" t="e">
        <f aca="false">_xlfn.xlookup(BG1148,A:A,N:N)+_xlfn.xlookup(BG1148,A:A,O:O)</f>
        <v>#NAME?</v>
      </c>
    </row>
    <row r="1149" s="153" customFormat="true" ht="15" hidden="false" customHeight="false" outlineLevel="0" collapsed="false">
      <c r="AN1149" s="153" t="e">
        <v>#NAME?</v>
      </c>
      <c r="AO1149" s="153" t="e">
        <f aca="false">_xlfn.xlookup(AN1149,A:A,F:F)</f>
        <v>#NAME?</v>
      </c>
      <c r="AP1149" s="153" t="e">
        <f aca="false">_xlfn.xlookup(AN1149,A:A,J:J)</f>
        <v>#NAME?</v>
      </c>
      <c r="AQ1149" s="153" t="e">
        <f aca="false">_xlfn.xlookup(AN1149,A:A,N:N)+_xlfn.xlookup(AN1149,A:A,O:O)</f>
        <v>#NAME?</v>
      </c>
      <c r="AR1149" s="150" t="e">
        <f aca="false">_xlfn.xlookup(AN1149,A:A,AH:AH)</f>
        <v>#NAME?</v>
      </c>
      <c r="AS1149" s="150" t="e">
        <f aca="false">_xlfn.xlookup(AN1149,A:A,S:S)</f>
        <v>#NAME?</v>
      </c>
      <c r="AT1149" s="150" t="e">
        <f aca="false">_xlfn.xlookup(AN1149,A:A,AE:AE)</f>
        <v>#NAME?</v>
      </c>
      <c r="AU1149" s="150" t="e">
        <f aca="false">_xlfn.xlookup(AN1149,A:A,AF:AF)</f>
        <v>#NAME?</v>
      </c>
      <c r="AX1149" s="146"/>
      <c r="AY1149" s="150"/>
      <c r="AZ1149" s="150"/>
      <c r="BA1149" s="150"/>
      <c r="BB1149" s="146"/>
      <c r="BC1149" s="146"/>
      <c r="BD1149" s="151"/>
      <c r="BE1149" s="146"/>
      <c r="BF1149" s="146"/>
      <c r="BH1149" s="152" t="e">
        <f aca="false">_xlfn.xlookup(BG1149,A:A,E:E)</f>
        <v>#NAME?</v>
      </c>
      <c r="BI1149" s="153" t="e">
        <f aca="false">_xlfn.xlookup(BG1149,A:A,J:J)</f>
        <v>#NAME?</v>
      </c>
      <c r="BJ1149" s="153" t="e">
        <f aca="false">_xlfn.xlookup(BG1149,A:A,N:N)+_xlfn.xlookup(BG1149,A:A,O:O)</f>
        <v>#NAME?</v>
      </c>
    </row>
    <row r="1150" s="153" customFormat="true" ht="15" hidden="false" customHeight="false" outlineLevel="0" collapsed="false">
      <c r="AN1150" s="153" t="e">
        <v>#NAME?</v>
      </c>
      <c r="AO1150" s="153" t="e">
        <f aca="false">_xlfn.xlookup(AN1150,A:A,F:F)</f>
        <v>#NAME?</v>
      </c>
      <c r="AP1150" s="153" t="e">
        <f aca="false">_xlfn.xlookup(AN1150,A:A,J:J)</f>
        <v>#NAME?</v>
      </c>
      <c r="AQ1150" s="153" t="e">
        <f aca="false">_xlfn.xlookup(AN1150,A:A,N:N)+_xlfn.xlookup(AN1150,A:A,O:O)</f>
        <v>#NAME?</v>
      </c>
      <c r="AR1150" s="150" t="e">
        <f aca="false">_xlfn.xlookup(AN1150,A:A,AH:AH)</f>
        <v>#NAME?</v>
      </c>
      <c r="AS1150" s="150" t="e">
        <f aca="false">_xlfn.xlookup(AN1150,A:A,S:S)</f>
        <v>#NAME?</v>
      </c>
      <c r="AT1150" s="150" t="e">
        <f aca="false">_xlfn.xlookup(AN1150,A:A,AE:AE)</f>
        <v>#NAME?</v>
      </c>
      <c r="AU1150" s="150" t="e">
        <f aca="false">_xlfn.xlookup(AN1150,A:A,AF:AF)</f>
        <v>#NAME?</v>
      </c>
      <c r="AX1150" s="146"/>
      <c r="AY1150" s="150"/>
      <c r="AZ1150" s="150"/>
      <c r="BA1150" s="150"/>
      <c r="BB1150" s="146"/>
      <c r="BC1150" s="146"/>
      <c r="BD1150" s="151"/>
      <c r="BE1150" s="146"/>
      <c r="BF1150" s="146"/>
      <c r="BH1150" s="152" t="e">
        <f aca="false">_xlfn.xlookup(BG1150,A:A,E:E)</f>
        <v>#NAME?</v>
      </c>
      <c r="BI1150" s="153" t="e">
        <f aca="false">_xlfn.xlookup(BG1150,A:A,J:J)</f>
        <v>#NAME?</v>
      </c>
      <c r="BJ1150" s="153" t="e">
        <f aca="false">_xlfn.xlookup(BG1150,A:A,N:N)+_xlfn.xlookup(BG1150,A:A,O:O)</f>
        <v>#NAME?</v>
      </c>
    </row>
    <row r="1151" s="153" customFormat="true" ht="15" hidden="false" customHeight="false" outlineLevel="0" collapsed="false">
      <c r="AN1151" s="153" t="e">
        <v>#NAME?</v>
      </c>
      <c r="AO1151" s="153" t="e">
        <f aca="false">_xlfn.xlookup(AN1151,A:A,F:F)</f>
        <v>#NAME?</v>
      </c>
      <c r="AP1151" s="153" t="e">
        <f aca="false">_xlfn.xlookup(AN1151,A:A,J:J)</f>
        <v>#NAME?</v>
      </c>
      <c r="AQ1151" s="153" t="e">
        <f aca="false">_xlfn.xlookup(AN1151,A:A,N:N)+_xlfn.xlookup(AN1151,A:A,O:O)</f>
        <v>#NAME?</v>
      </c>
      <c r="AR1151" s="150" t="e">
        <f aca="false">_xlfn.xlookup(AN1151,A:A,AH:AH)</f>
        <v>#NAME?</v>
      </c>
      <c r="AS1151" s="150" t="e">
        <f aca="false">_xlfn.xlookup(AN1151,A:A,S:S)</f>
        <v>#NAME?</v>
      </c>
      <c r="AT1151" s="150" t="e">
        <f aca="false">_xlfn.xlookup(AN1151,A:A,AE:AE)</f>
        <v>#NAME?</v>
      </c>
      <c r="AU1151" s="150" t="e">
        <f aca="false">_xlfn.xlookup(AN1151,A:A,AF:AF)</f>
        <v>#NAME?</v>
      </c>
      <c r="AX1151" s="146"/>
      <c r="AY1151" s="150"/>
      <c r="AZ1151" s="150"/>
      <c r="BA1151" s="150"/>
      <c r="BB1151" s="146"/>
      <c r="BC1151" s="146"/>
      <c r="BD1151" s="151"/>
      <c r="BE1151" s="146"/>
      <c r="BF1151" s="146"/>
      <c r="BH1151" s="152" t="e">
        <f aca="false">_xlfn.xlookup(BG1151,A:A,E:E)</f>
        <v>#NAME?</v>
      </c>
      <c r="BI1151" s="153" t="e">
        <f aca="false">_xlfn.xlookup(BG1151,A:A,J:J)</f>
        <v>#NAME?</v>
      </c>
      <c r="BJ1151" s="153" t="e">
        <f aca="false">_xlfn.xlookup(BG1151,A:A,N:N)+_xlfn.xlookup(BG1151,A:A,O:O)</f>
        <v>#NAME?</v>
      </c>
    </row>
    <row r="1152" s="153" customFormat="true" ht="15" hidden="false" customHeight="false" outlineLevel="0" collapsed="false">
      <c r="AN1152" s="153" t="e">
        <v>#NAME?</v>
      </c>
      <c r="AO1152" s="153" t="e">
        <f aca="false">_xlfn.xlookup(AN1152,A:A,F:F)</f>
        <v>#NAME?</v>
      </c>
      <c r="AP1152" s="153" t="e">
        <f aca="false">_xlfn.xlookup(AN1152,A:A,J:J)</f>
        <v>#NAME?</v>
      </c>
      <c r="AQ1152" s="153" t="e">
        <f aca="false">_xlfn.xlookup(AN1152,A:A,N:N)+_xlfn.xlookup(AN1152,A:A,O:O)</f>
        <v>#NAME?</v>
      </c>
      <c r="AR1152" s="150" t="e">
        <f aca="false">_xlfn.xlookup(AN1152,A:A,AH:AH)</f>
        <v>#NAME?</v>
      </c>
      <c r="AS1152" s="150" t="e">
        <f aca="false">_xlfn.xlookup(AN1152,A:A,S:S)</f>
        <v>#NAME?</v>
      </c>
      <c r="AT1152" s="150" t="e">
        <f aca="false">_xlfn.xlookup(AN1152,A:A,AE:AE)</f>
        <v>#NAME?</v>
      </c>
      <c r="AU1152" s="150" t="e">
        <f aca="false">_xlfn.xlookup(AN1152,A:A,AF:AF)</f>
        <v>#NAME?</v>
      </c>
      <c r="AX1152" s="146"/>
      <c r="AY1152" s="150"/>
      <c r="AZ1152" s="150"/>
      <c r="BA1152" s="150"/>
      <c r="BB1152" s="146"/>
      <c r="BC1152" s="146"/>
      <c r="BD1152" s="151"/>
      <c r="BE1152" s="146"/>
      <c r="BF1152" s="146"/>
      <c r="BH1152" s="152" t="e">
        <f aca="false">_xlfn.xlookup(BG1152,A:A,E:E)</f>
        <v>#NAME?</v>
      </c>
      <c r="BI1152" s="153" t="e">
        <f aca="false">_xlfn.xlookup(BG1152,A:A,J:J)</f>
        <v>#NAME?</v>
      </c>
      <c r="BJ1152" s="153" t="e">
        <f aca="false">_xlfn.xlookup(BG1152,A:A,N:N)+_xlfn.xlookup(BG1152,A:A,O:O)</f>
        <v>#NAME?</v>
      </c>
    </row>
    <row r="1153" s="153" customFormat="true" ht="15" hidden="false" customHeight="false" outlineLevel="0" collapsed="false">
      <c r="AN1153" s="153" t="e">
        <v>#NAME?</v>
      </c>
      <c r="AO1153" s="153" t="e">
        <f aca="false">_xlfn.xlookup(AN1153,A:A,F:F)</f>
        <v>#NAME?</v>
      </c>
      <c r="AP1153" s="153" t="e">
        <f aca="false">_xlfn.xlookup(AN1153,A:A,J:J)</f>
        <v>#NAME?</v>
      </c>
      <c r="AQ1153" s="153" t="e">
        <f aca="false">_xlfn.xlookup(AN1153,A:A,N:N)+_xlfn.xlookup(AN1153,A:A,O:O)</f>
        <v>#NAME?</v>
      </c>
      <c r="AR1153" s="150" t="e">
        <f aca="false">_xlfn.xlookup(AN1153,A:A,AH:AH)</f>
        <v>#NAME?</v>
      </c>
      <c r="AS1153" s="150" t="e">
        <f aca="false">_xlfn.xlookup(AN1153,A:A,S:S)</f>
        <v>#NAME?</v>
      </c>
      <c r="AT1153" s="150" t="e">
        <f aca="false">_xlfn.xlookup(AN1153,A:A,AE:AE)</f>
        <v>#NAME?</v>
      </c>
      <c r="AU1153" s="150" t="e">
        <f aca="false">_xlfn.xlookup(AN1153,A:A,AF:AF)</f>
        <v>#NAME?</v>
      </c>
      <c r="AX1153" s="146"/>
      <c r="AY1153" s="150"/>
      <c r="AZ1153" s="150"/>
      <c r="BA1153" s="150"/>
      <c r="BB1153" s="146"/>
      <c r="BC1153" s="146"/>
      <c r="BD1153" s="151"/>
      <c r="BE1153" s="146"/>
      <c r="BF1153" s="146"/>
      <c r="BH1153" s="152" t="e">
        <f aca="false">_xlfn.xlookup(BG1153,A:A,E:E)</f>
        <v>#NAME?</v>
      </c>
      <c r="BI1153" s="153" t="e">
        <f aca="false">_xlfn.xlookup(BG1153,A:A,J:J)</f>
        <v>#NAME?</v>
      </c>
      <c r="BJ1153" s="153" t="e">
        <f aca="false">_xlfn.xlookup(BG1153,A:A,N:N)+_xlfn.xlookup(BG1153,A:A,O:O)</f>
        <v>#NAME?</v>
      </c>
    </row>
    <row r="1154" s="153" customFormat="true" ht="15" hidden="false" customHeight="false" outlineLevel="0" collapsed="false">
      <c r="AN1154" s="153" t="e">
        <v>#NAME?</v>
      </c>
      <c r="AO1154" s="153" t="e">
        <f aca="false">_xlfn.xlookup(AN1154,A:A,F:F)</f>
        <v>#NAME?</v>
      </c>
      <c r="AP1154" s="153" t="e">
        <f aca="false">_xlfn.xlookup(AN1154,A:A,J:J)</f>
        <v>#NAME?</v>
      </c>
      <c r="AQ1154" s="153" t="e">
        <f aca="false">_xlfn.xlookup(AN1154,A:A,N:N)+_xlfn.xlookup(AN1154,A:A,O:O)</f>
        <v>#NAME?</v>
      </c>
      <c r="AR1154" s="150" t="e">
        <f aca="false">_xlfn.xlookup(AN1154,A:A,AH:AH)</f>
        <v>#NAME?</v>
      </c>
      <c r="AS1154" s="150" t="e">
        <f aca="false">_xlfn.xlookup(AN1154,A:A,S:S)</f>
        <v>#NAME?</v>
      </c>
      <c r="AT1154" s="150" t="e">
        <f aca="false">_xlfn.xlookup(AN1154,A:A,AE:AE)</f>
        <v>#NAME?</v>
      </c>
      <c r="AU1154" s="150" t="e">
        <f aca="false">_xlfn.xlookup(AN1154,A:A,AF:AF)</f>
        <v>#NAME?</v>
      </c>
      <c r="AX1154" s="146"/>
      <c r="AY1154" s="150"/>
      <c r="AZ1154" s="150"/>
      <c r="BA1154" s="150"/>
      <c r="BB1154" s="146"/>
      <c r="BC1154" s="146"/>
      <c r="BD1154" s="151"/>
      <c r="BE1154" s="146"/>
      <c r="BF1154" s="146"/>
      <c r="BH1154" s="152" t="e">
        <f aca="false">_xlfn.xlookup(BG1154,A:A,E:E)</f>
        <v>#NAME?</v>
      </c>
      <c r="BI1154" s="153" t="e">
        <f aca="false">_xlfn.xlookup(BG1154,A:A,J:J)</f>
        <v>#NAME?</v>
      </c>
      <c r="BJ1154" s="153" t="e">
        <f aca="false">_xlfn.xlookup(BG1154,A:A,N:N)+_xlfn.xlookup(BG1154,A:A,O:O)</f>
        <v>#NAME?</v>
      </c>
    </row>
    <row r="1155" s="153" customFormat="true" ht="15" hidden="false" customHeight="false" outlineLevel="0" collapsed="false">
      <c r="AN1155" s="153" t="e">
        <v>#NAME?</v>
      </c>
      <c r="AO1155" s="153" t="e">
        <f aca="false">_xlfn.xlookup(AN1155,A:A,F:F)</f>
        <v>#NAME?</v>
      </c>
      <c r="AP1155" s="153" t="e">
        <f aca="false">_xlfn.xlookup(AN1155,A:A,J:J)</f>
        <v>#NAME?</v>
      </c>
      <c r="AQ1155" s="153" t="e">
        <f aca="false">_xlfn.xlookup(AN1155,A:A,N:N)+_xlfn.xlookup(AN1155,A:A,O:O)</f>
        <v>#NAME?</v>
      </c>
      <c r="AR1155" s="150" t="e">
        <f aca="false">_xlfn.xlookup(AN1155,A:A,AH:AH)</f>
        <v>#NAME?</v>
      </c>
      <c r="AS1155" s="150" t="e">
        <f aca="false">_xlfn.xlookup(AN1155,A:A,S:S)</f>
        <v>#NAME?</v>
      </c>
      <c r="AT1155" s="150" t="e">
        <f aca="false">_xlfn.xlookup(AN1155,A:A,AE:AE)</f>
        <v>#NAME?</v>
      </c>
      <c r="AU1155" s="150" t="e">
        <f aca="false">_xlfn.xlookup(AN1155,A:A,AF:AF)</f>
        <v>#NAME?</v>
      </c>
      <c r="AX1155" s="146"/>
      <c r="AY1155" s="150"/>
      <c r="AZ1155" s="150"/>
      <c r="BA1155" s="150"/>
      <c r="BB1155" s="146"/>
      <c r="BC1155" s="146"/>
      <c r="BD1155" s="151"/>
      <c r="BE1155" s="146"/>
      <c r="BF1155" s="146"/>
      <c r="BH1155" s="152" t="e">
        <f aca="false">_xlfn.xlookup(BG1155,A:A,E:E)</f>
        <v>#NAME?</v>
      </c>
      <c r="BI1155" s="153" t="e">
        <f aca="false">_xlfn.xlookup(BG1155,A:A,J:J)</f>
        <v>#NAME?</v>
      </c>
      <c r="BJ1155" s="153" t="e">
        <f aca="false">_xlfn.xlookup(BG1155,A:A,N:N)+_xlfn.xlookup(BG1155,A:A,O:O)</f>
        <v>#NAME?</v>
      </c>
    </row>
    <row r="1156" s="153" customFormat="true" ht="15" hidden="false" customHeight="false" outlineLevel="0" collapsed="false">
      <c r="AN1156" s="153" t="e">
        <v>#NAME?</v>
      </c>
      <c r="AO1156" s="153" t="e">
        <f aca="false">_xlfn.xlookup(AN1156,A:A,F:F)</f>
        <v>#NAME?</v>
      </c>
      <c r="AP1156" s="153" t="e">
        <f aca="false">_xlfn.xlookup(AN1156,A:A,J:J)</f>
        <v>#NAME?</v>
      </c>
      <c r="AQ1156" s="153" t="e">
        <f aca="false">_xlfn.xlookup(AN1156,A:A,N:N)+_xlfn.xlookup(AN1156,A:A,O:O)</f>
        <v>#NAME?</v>
      </c>
      <c r="AR1156" s="150" t="e">
        <f aca="false">_xlfn.xlookup(AN1156,A:A,AH:AH)</f>
        <v>#NAME?</v>
      </c>
      <c r="AS1156" s="150" t="e">
        <f aca="false">_xlfn.xlookup(AN1156,A:A,S:S)</f>
        <v>#NAME?</v>
      </c>
      <c r="AT1156" s="150" t="e">
        <f aca="false">_xlfn.xlookup(AN1156,A:A,AE:AE)</f>
        <v>#NAME?</v>
      </c>
      <c r="AU1156" s="150" t="e">
        <f aca="false">_xlfn.xlookup(AN1156,A:A,AF:AF)</f>
        <v>#NAME?</v>
      </c>
      <c r="AX1156" s="146"/>
      <c r="AY1156" s="150"/>
      <c r="AZ1156" s="150"/>
      <c r="BA1156" s="150"/>
      <c r="BB1156" s="146"/>
      <c r="BC1156" s="146"/>
      <c r="BD1156" s="151"/>
      <c r="BE1156" s="146"/>
      <c r="BF1156" s="146"/>
      <c r="BH1156" s="152" t="e">
        <f aca="false">_xlfn.xlookup(BG1156,A:A,E:E)</f>
        <v>#NAME?</v>
      </c>
      <c r="BI1156" s="153" t="e">
        <f aca="false">_xlfn.xlookup(BG1156,A:A,J:J)</f>
        <v>#NAME?</v>
      </c>
      <c r="BJ1156" s="153" t="e">
        <f aca="false">_xlfn.xlookup(BG1156,A:A,N:N)+_xlfn.xlookup(BG1156,A:A,O:O)</f>
        <v>#NAME?</v>
      </c>
    </row>
    <row r="1157" s="153" customFormat="true" ht="15" hidden="false" customHeight="false" outlineLevel="0" collapsed="false">
      <c r="AN1157" s="153" t="e">
        <v>#NAME?</v>
      </c>
      <c r="AO1157" s="153" t="e">
        <f aca="false">_xlfn.xlookup(AN1157,A:A,F:F)</f>
        <v>#NAME?</v>
      </c>
      <c r="AP1157" s="153" t="e">
        <f aca="false">_xlfn.xlookup(AN1157,A:A,J:J)</f>
        <v>#NAME?</v>
      </c>
      <c r="AQ1157" s="153" t="e">
        <f aca="false">_xlfn.xlookup(AN1157,A:A,N:N)+_xlfn.xlookup(AN1157,A:A,O:O)</f>
        <v>#NAME?</v>
      </c>
      <c r="AR1157" s="150" t="e">
        <f aca="false">_xlfn.xlookup(AN1157,A:A,AH:AH)</f>
        <v>#NAME?</v>
      </c>
      <c r="AS1157" s="150" t="e">
        <f aca="false">_xlfn.xlookup(AN1157,A:A,S:S)</f>
        <v>#NAME?</v>
      </c>
      <c r="AT1157" s="150" t="e">
        <f aca="false">_xlfn.xlookup(AN1157,A:A,AE:AE)</f>
        <v>#NAME?</v>
      </c>
      <c r="AU1157" s="150" t="e">
        <f aca="false">_xlfn.xlookup(AN1157,A:A,AF:AF)</f>
        <v>#NAME?</v>
      </c>
      <c r="AX1157" s="146"/>
      <c r="AY1157" s="150"/>
      <c r="AZ1157" s="150"/>
      <c r="BA1157" s="150"/>
      <c r="BB1157" s="146"/>
      <c r="BC1157" s="146"/>
      <c r="BD1157" s="151"/>
      <c r="BE1157" s="146"/>
      <c r="BF1157" s="146"/>
      <c r="BH1157" s="152" t="e">
        <f aca="false">_xlfn.xlookup(BG1157,A:A,E:E)</f>
        <v>#NAME?</v>
      </c>
      <c r="BI1157" s="153" t="e">
        <f aca="false">_xlfn.xlookup(BG1157,A:A,J:J)</f>
        <v>#NAME?</v>
      </c>
      <c r="BJ1157" s="153" t="e">
        <f aca="false">_xlfn.xlookup(BG1157,A:A,N:N)+_xlfn.xlookup(BG1157,A:A,O:O)</f>
        <v>#NAME?</v>
      </c>
    </row>
    <row r="1158" s="153" customFormat="true" ht="15" hidden="false" customHeight="false" outlineLevel="0" collapsed="false">
      <c r="AN1158" s="153" t="e">
        <v>#NAME?</v>
      </c>
      <c r="AO1158" s="153" t="e">
        <f aca="false">_xlfn.xlookup(AN1158,A:A,F:F)</f>
        <v>#NAME?</v>
      </c>
      <c r="AP1158" s="153" t="e">
        <f aca="false">_xlfn.xlookup(AN1158,A:A,J:J)</f>
        <v>#NAME?</v>
      </c>
      <c r="AQ1158" s="153" t="e">
        <f aca="false">_xlfn.xlookup(AN1158,A:A,N:N)+_xlfn.xlookup(AN1158,A:A,O:O)</f>
        <v>#NAME?</v>
      </c>
      <c r="AR1158" s="150" t="e">
        <f aca="false">_xlfn.xlookup(AN1158,A:A,AH:AH)</f>
        <v>#NAME?</v>
      </c>
      <c r="AS1158" s="150" t="e">
        <f aca="false">_xlfn.xlookup(AN1158,A:A,S:S)</f>
        <v>#NAME?</v>
      </c>
      <c r="AT1158" s="150" t="e">
        <f aca="false">_xlfn.xlookup(AN1158,A:A,AE:AE)</f>
        <v>#NAME?</v>
      </c>
      <c r="AU1158" s="150" t="e">
        <f aca="false">_xlfn.xlookup(AN1158,A:A,AF:AF)</f>
        <v>#NAME?</v>
      </c>
      <c r="AX1158" s="146"/>
      <c r="AY1158" s="150"/>
      <c r="AZ1158" s="150"/>
      <c r="BA1158" s="150"/>
      <c r="BB1158" s="146"/>
      <c r="BC1158" s="146"/>
      <c r="BD1158" s="151"/>
      <c r="BE1158" s="146"/>
      <c r="BF1158" s="146"/>
      <c r="BH1158" s="152" t="e">
        <f aca="false">_xlfn.xlookup(BG1158,A:A,E:E)</f>
        <v>#NAME?</v>
      </c>
      <c r="BI1158" s="153" t="e">
        <f aca="false">_xlfn.xlookup(BG1158,A:A,J:J)</f>
        <v>#NAME?</v>
      </c>
      <c r="BJ1158" s="153" t="e">
        <f aca="false">_xlfn.xlookup(BG1158,A:A,N:N)+_xlfn.xlookup(BG1158,A:A,O:O)</f>
        <v>#NAME?</v>
      </c>
    </row>
    <row r="1159" s="153" customFormat="true" ht="15" hidden="false" customHeight="false" outlineLevel="0" collapsed="false">
      <c r="AN1159" s="153" t="e">
        <v>#NAME?</v>
      </c>
      <c r="AO1159" s="153" t="e">
        <f aca="false">_xlfn.xlookup(AN1159,A:A,F:F)</f>
        <v>#NAME?</v>
      </c>
      <c r="AP1159" s="153" t="e">
        <f aca="false">_xlfn.xlookup(AN1159,A:A,J:J)</f>
        <v>#NAME?</v>
      </c>
      <c r="AQ1159" s="153" t="e">
        <f aca="false">_xlfn.xlookup(AN1159,A:A,N:N)+_xlfn.xlookup(AN1159,A:A,O:O)</f>
        <v>#NAME?</v>
      </c>
      <c r="AR1159" s="150" t="e">
        <f aca="false">_xlfn.xlookup(AN1159,A:A,AH:AH)</f>
        <v>#NAME?</v>
      </c>
      <c r="AS1159" s="150" t="e">
        <f aca="false">_xlfn.xlookup(AN1159,A:A,S:S)</f>
        <v>#NAME?</v>
      </c>
      <c r="AT1159" s="150" t="e">
        <f aca="false">_xlfn.xlookup(AN1159,A:A,AE:AE)</f>
        <v>#NAME?</v>
      </c>
      <c r="AU1159" s="150" t="e">
        <f aca="false">_xlfn.xlookup(AN1159,A:A,AF:AF)</f>
        <v>#NAME?</v>
      </c>
      <c r="AX1159" s="146"/>
      <c r="AY1159" s="150"/>
      <c r="AZ1159" s="150"/>
      <c r="BA1159" s="150"/>
      <c r="BB1159" s="146"/>
      <c r="BC1159" s="146"/>
      <c r="BD1159" s="151"/>
      <c r="BE1159" s="146"/>
      <c r="BF1159" s="146"/>
      <c r="BH1159" s="152" t="e">
        <f aca="false">_xlfn.xlookup(BG1159,A:A,E:E)</f>
        <v>#NAME?</v>
      </c>
      <c r="BI1159" s="153" t="e">
        <f aca="false">_xlfn.xlookup(BG1159,A:A,J:J)</f>
        <v>#NAME?</v>
      </c>
      <c r="BJ1159" s="153" t="e">
        <f aca="false">_xlfn.xlookup(BG1159,A:A,N:N)+_xlfn.xlookup(BG1159,A:A,O:O)</f>
        <v>#NAME?</v>
      </c>
    </row>
    <row r="1160" s="153" customFormat="true" ht="15" hidden="false" customHeight="false" outlineLevel="0" collapsed="false">
      <c r="AN1160" s="153" t="e">
        <v>#NAME?</v>
      </c>
      <c r="AO1160" s="153" t="e">
        <f aca="false">_xlfn.xlookup(AN1160,A:A,F:F)</f>
        <v>#NAME?</v>
      </c>
      <c r="AP1160" s="153" t="e">
        <f aca="false">_xlfn.xlookup(AN1160,A:A,J:J)</f>
        <v>#NAME?</v>
      </c>
      <c r="AQ1160" s="153" t="e">
        <f aca="false">_xlfn.xlookup(AN1160,A:A,N:N)+_xlfn.xlookup(AN1160,A:A,O:O)</f>
        <v>#NAME?</v>
      </c>
      <c r="AR1160" s="150" t="e">
        <f aca="false">_xlfn.xlookup(AN1160,A:A,AH:AH)</f>
        <v>#NAME?</v>
      </c>
      <c r="AS1160" s="150" t="e">
        <f aca="false">_xlfn.xlookup(AN1160,A:A,S:S)</f>
        <v>#NAME?</v>
      </c>
      <c r="AT1160" s="150" t="e">
        <f aca="false">_xlfn.xlookup(AN1160,A:A,AE:AE)</f>
        <v>#NAME?</v>
      </c>
      <c r="AU1160" s="150" t="e">
        <f aca="false">_xlfn.xlookup(AN1160,A:A,AF:AF)</f>
        <v>#NAME?</v>
      </c>
      <c r="AX1160" s="146"/>
      <c r="AY1160" s="150"/>
      <c r="AZ1160" s="150"/>
      <c r="BA1160" s="150"/>
      <c r="BB1160" s="146"/>
      <c r="BC1160" s="146"/>
      <c r="BD1160" s="151"/>
      <c r="BE1160" s="146"/>
      <c r="BF1160" s="146"/>
      <c r="BH1160" s="152" t="e">
        <f aca="false">_xlfn.xlookup(BG1160,A:A,E:E)</f>
        <v>#NAME?</v>
      </c>
      <c r="BI1160" s="153" t="e">
        <f aca="false">_xlfn.xlookup(BG1160,A:A,J:J)</f>
        <v>#NAME?</v>
      </c>
      <c r="BJ1160" s="153" t="e">
        <f aca="false">_xlfn.xlookup(BG1160,A:A,N:N)+_xlfn.xlookup(BG1160,A:A,O:O)</f>
        <v>#NAME?</v>
      </c>
    </row>
    <row r="1161" s="153" customFormat="true" ht="15" hidden="false" customHeight="false" outlineLevel="0" collapsed="false">
      <c r="AN1161" s="153" t="e">
        <v>#NAME?</v>
      </c>
      <c r="AO1161" s="153" t="e">
        <f aca="false">_xlfn.xlookup(AN1161,A:A,F:F)</f>
        <v>#NAME?</v>
      </c>
      <c r="AP1161" s="153" t="e">
        <f aca="false">_xlfn.xlookup(AN1161,A:A,J:J)</f>
        <v>#NAME?</v>
      </c>
      <c r="AQ1161" s="153" t="e">
        <f aca="false">_xlfn.xlookup(AN1161,A:A,N:N)+_xlfn.xlookup(AN1161,A:A,O:O)</f>
        <v>#NAME?</v>
      </c>
      <c r="AR1161" s="150" t="e">
        <f aca="false">_xlfn.xlookup(AN1161,A:A,AH:AH)</f>
        <v>#NAME?</v>
      </c>
      <c r="AS1161" s="150" t="e">
        <f aca="false">_xlfn.xlookup(AN1161,A:A,S:S)</f>
        <v>#NAME?</v>
      </c>
      <c r="AT1161" s="150" t="e">
        <f aca="false">_xlfn.xlookup(AN1161,A:A,AE:AE)</f>
        <v>#NAME?</v>
      </c>
      <c r="AU1161" s="150" t="e">
        <f aca="false">_xlfn.xlookup(AN1161,A:A,AF:AF)</f>
        <v>#NAME?</v>
      </c>
      <c r="AX1161" s="146"/>
      <c r="AY1161" s="150"/>
      <c r="AZ1161" s="150"/>
      <c r="BA1161" s="150"/>
      <c r="BB1161" s="146"/>
      <c r="BC1161" s="146"/>
      <c r="BD1161" s="151"/>
      <c r="BE1161" s="146"/>
      <c r="BF1161" s="146"/>
      <c r="BH1161" s="152" t="e">
        <f aca="false">_xlfn.xlookup(BG1161,A:A,E:E)</f>
        <v>#NAME?</v>
      </c>
      <c r="BI1161" s="153" t="e">
        <f aca="false">_xlfn.xlookup(BG1161,A:A,J:J)</f>
        <v>#NAME?</v>
      </c>
      <c r="BJ1161" s="153" t="e">
        <f aca="false">_xlfn.xlookup(BG1161,A:A,N:N)+_xlfn.xlookup(BG1161,A:A,O:O)</f>
        <v>#NAME?</v>
      </c>
    </row>
    <row r="1162" s="153" customFormat="true" ht="15" hidden="false" customHeight="false" outlineLevel="0" collapsed="false">
      <c r="AN1162" s="153" t="e">
        <v>#NAME?</v>
      </c>
      <c r="AO1162" s="153" t="e">
        <f aca="false">_xlfn.xlookup(AN1162,A:A,F:F)</f>
        <v>#NAME?</v>
      </c>
      <c r="AP1162" s="153" t="e">
        <f aca="false">_xlfn.xlookup(AN1162,A:A,J:J)</f>
        <v>#NAME?</v>
      </c>
      <c r="AQ1162" s="153" t="e">
        <f aca="false">_xlfn.xlookup(AN1162,A:A,N:N)+_xlfn.xlookup(AN1162,A:A,O:O)</f>
        <v>#NAME?</v>
      </c>
      <c r="AR1162" s="150" t="e">
        <f aca="false">_xlfn.xlookup(AN1162,A:A,AH:AH)</f>
        <v>#NAME?</v>
      </c>
      <c r="AS1162" s="150" t="e">
        <f aca="false">_xlfn.xlookup(AN1162,A:A,S:S)</f>
        <v>#NAME?</v>
      </c>
      <c r="AT1162" s="150" t="e">
        <f aca="false">_xlfn.xlookup(AN1162,A:A,AE:AE)</f>
        <v>#NAME?</v>
      </c>
      <c r="AU1162" s="150" t="e">
        <f aca="false">_xlfn.xlookup(AN1162,A:A,AF:AF)</f>
        <v>#NAME?</v>
      </c>
      <c r="AX1162" s="146"/>
      <c r="AY1162" s="150"/>
      <c r="AZ1162" s="150"/>
      <c r="BA1162" s="150"/>
      <c r="BB1162" s="146"/>
      <c r="BC1162" s="146"/>
      <c r="BD1162" s="151"/>
      <c r="BE1162" s="146"/>
      <c r="BF1162" s="146"/>
      <c r="BH1162" s="152" t="e">
        <f aca="false">_xlfn.xlookup(BG1162,A:A,E:E)</f>
        <v>#NAME?</v>
      </c>
      <c r="BI1162" s="153" t="e">
        <f aca="false">_xlfn.xlookup(BG1162,A:A,J:J)</f>
        <v>#NAME?</v>
      </c>
      <c r="BJ1162" s="153" t="e">
        <f aca="false">_xlfn.xlookup(BG1162,A:A,N:N)+_xlfn.xlookup(BG1162,A:A,O:O)</f>
        <v>#NAME?</v>
      </c>
    </row>
    <row r="1163" s="153" customFormat="true" ht="15" hidden="false" customHeight="false" outlineLevel="0" collapsed="false">
      <c r="AN1163" s="153" t="e">
        <v>#NAME?</v>
      </c>
      <c r="AO1163" s="153" t="e">
        <f aca="false">_xlfn.xlookup(AN1163,A:A,F:F)</f>
        <v>#NAME?</v>
      </c>
      <c r="AP1163" s="153" t="e">
        <f aca="false">_xlfn.xlookup(AN1163,A:A,J:J)</f>
        <v>#NAME?</v>
      </c>
      <c r="AQ1163" s="153" t="e">
        <f aca="false">_xlfn.xlookup(AN1163,A:A,N:N)+_xlfn.xlookup(AN1163,A:A,O:O)</f>
        <v>#NAME?</v>
      </c>
      <c r="AR1163" s="150" t="e">
        <f aca="false">_xlfn.xlookup(AN1163,A:A,AH:AH)</f>
        <v>#NAME?</v>
      </c>
      <c r="AS1163" s="150" t="e">
        <f aca="false">_xlfn.xlookup(AN1163,A:A,S:S)</f>
        <v>#NAME?</v>
      </c>
      <c r="AT1163" s="150" t="e">
        <f aca="false">_xlfn.xlookup(AN1163,A:A,AE:AE)</f>
        <v>#NAME?</v>
      </c>
      <c r="AU1163" s="150" t="e">
        <f aca="false">_xlfn.xlookup(AN1163,A:A,AF:AF)</f>
        <v>#NAME?</v>
      </c>
      <c r="AX1163" s="146"/>
      <c r="AY1163" s="150"/>
      <c r="AZ1163" s="150"/>
      <c r="BA1163" s="150"/>
      <c r="BB1163" s="146"/>
      <c r="BC1163" s="146"/>
      <c r="BD1163" s="151"/>
      <c r="BE1163" s="146"/>
      <c r="BF1163" s="146"/>
      <c r="BH1163" s="152" t="e">
        <f aca="false">_xlfn.xlookup(BG1163,A:A,E:E)</f>
        <v>#NAME?</v>
      </c>
      <c r="BI1163" s="153" t="e">
        <f aca="false">_xlfn.xlookup(BG1163,A:A,J:J)</f>
        <v>#NAME?</v>
      </c>
      <c r="BJ1163" s="153" t="e">
        <f aca="false">_xlfn.xlookup(BG1163,A:A,N:N)+_xlfn.xlookup(BG1163,A:A,O:O)</f>
        <v>#NAME?</v>
      </c>
    </row>
    <row r="1164" s="153" customFormat="true" ht="15" hidden="false" customHeight="false" outlineLevel="0" collapsed="false">
      <c r="AN1164" s="153" t="e">
        <v>#NAME?</v>
      </c>
      <c r="AO1164" s="153" t="e">
        <f aca="false">_xlfn.xlookup(AN1164,A:A,F:F)</f>
        <v>#NAME?</v>
      </c>
      <c r="AP1164" s="153" t="e">
        <f aca="false">_xlfn.xlookup(AN1164,A:A,J:J)</f>
        <v>#NAME?</v>
      </c>
      <c r="AQ1164" s="153" t="e">
        <f aca="false">_xlfn.xlookup(AN1164,A:A,N:N)+_xlfn.xlookup(AN1164,A:A,O:O)</f>
        <v>#NAME?</v>
      </c>
      <c r="AR1164" s="150" t="e">
        <f aca="false">_xlfn.xlookup(AN1164,A:A,AH:AH)</f>
        <v>#NAME?</v>
      </c>
      <c r="AS1164" s="150" t="e">
        <f aca="false">_xlfn.xlookup(AN1164,A:A,S:S)</f>
        <v>#NAME?</v>
      </c>
      <c r="AT1164" s="150" t="e">
        <f aca="false">_xlfn.xlookup(AN1164,A:A,AE:AE)</f>
        <v>#NAME?</v>
      </c>
      <c r="AU1164" s="150" t="e">
        <f aca="false">_xlfn.xlookup(AN1164,A:A,AF:AF)</f>
        <v>#NAME?</v>
      </c>
      <c r="AX1164" s="146"/>
      <c r="AY1164" s="150"/>
      <c r="AZ1164" s="150"/>
      <c r="BA1164" s="150"/>
      <c r="BB1164" s="146"/>
      <c r="BC1164" s="146"/>
      <c r="BD1164" s="151"/>
      <c r="BE1164" s="146"/>
      <c r="BF1164" s="146"/>
      <c r="BH1164" s="152" t="e">
        <f aca="false">_xlfn.xlookup(BG1164,A:A,E:E)</f>
        <v>#NAME?</v>
      </c>
      <c r="BI1164" s="153" t="e">
        <f aca="false">_xlfn.xlookup(BG1164,A:A,J:J)</f>
        <v>#NAME?</v>
      </c>
      <c r="BJ1164" s="153" t="e">
        <f aca="false">_xlfn.xlookup(BG1164,A:A,N:N)+_xlfn.xlookup(BG1164,A:A,O:O)</f>
        <v>#NAME?</v>
      </c>
    </row>
    <row r="1165" s="153" customFormat="true" ht="15" hidden="false" customHeight="false" outlineLevel="0" collapsed="false">
      <c r="AN1165" s="153" t="e">
        <v>#NAME?</v>
      </c>
      <c r="AO1165" s="153" t="e">
        <f aca="false">_xlfn.xlookup(AN1165,A:A,F:F)</f>
        <v>#NAME?</v>
      </c>
      <c r="AP1165" s="153" t="e">
        <f aca="false">_xlfn.xlookup(AN1165,A:A,J:J)</f>
        <v>#NAME?</v>
      </c>
      <c r="AQ1165" s="153" t="e">
        <f aca="false">_xlfn.xlookup(AN1165,A:A,N:N)+_xlfn.xlookup(AN1165,A:A,O:O)</f>
        <v>#NAME?</v>
      </c>
      <c r="AR1165" s="150" t="e">
        <f aca="false">_xlfn.xlookup(AN1165,A:A,AH:AH)</f>
        <v>#NAME?</v>
      </c>
      <c r="AS1165" s="150" t="e">
        <f aca="false">_xlfn.xlookup(AN1165,A:A,S:S)</f>
        <v>#NAME?</v>
      </c>
      <c r="AT1165" s="150" t="e">
        <f aca="false">_xlfn.xlookup(AN1165,A:A,AE:AE)</f>
        <v>#NAME?</v>
      </c>
      <c r="AU1165" s="150" t="e">
        <f aca="false">_xlfn.xlookup(AN1165,A:A,AF:AF)</f>
        <v>#NAME?</v>
      </c>
      <c r="AX1165" s="146"/>
      <c r="AY1165" s="150"/>
      <c r="AZ1165" s="150"/>
      <c r="BA1165" s="150"/>
      <c r="BB1165" s="146"/>
      <c r="BC1165" s="146"/>
      <c r="BD1165" s="151"/>
      <c r="BE1165" s="146"/>
      <c r="BF1165" s="146"/>
      <c r="BH1165" s="152" t="e">
        <f aca="false">_xlfn.xlookup(BG1165,A:A,E:E)</f>
        <v>#NAME?</v>
      </c>
      <c r="BI1165" s="153" t="e">
        <f aca="false">_xlfn.xlookup(BG1165,A:A,J:J)</f>
        <v>#NAME?</v>
      </c>
      <c r="BJ1165" s="153" t="e">
        <f aca="false">_xlfn.xlookup(BG1165,A:A,N:N)+_xlfn.xlookup(BG1165,A:A,O:O)</f>
        <v>#NAME?</v>
      </c>
    </row>
    <row r="1166" s="153" customFormat="true" ht="15" hidden="false" customHeight="false" outlineLevel="0" collapsed="false">
      <c r="AN1166" s="153" t="e">
        <v>#NAME?</v>
      </c>
      <c r="AO1166" s="153" t="e">
        <f aca="false">_xlfn.xlookup(AN1166,A:A,F:F)</f>
        <v>#NAME?</v>
      </c>
      <c r="AP1166" s="153" t="e">
        <f aca="false">_xlfn.xlookup(AN1166,A:A,J:J)</f>
        <v>#NAME?</v>
      </c>
      <c r="AQ1166" s="153" t="e">
        <f aca="false">_xlfn.xlookup(AN1166,A:A,N:N)+_xlfn.xlookup(AN1166,A:A,O:O)</f>
        <v>#NAME?</v>
      </c>
      <c r="AR1166" s="150" t="e">
        <f aca="false">_xlfn.xlookup(AN1166,A:A,AH:AH)</f>
        <v>#NAME?</v>
      </c>
      <c r="AS1166" s="150" t="e">
        <f aca="false">_xlfn.xlookup(AN1166,A:A,S:S)</f>
        <v>#NAME?</v>
      </c>
      <c r="AT1166" s="150" t="e">
        <f aca="false">_xlfn.xlookup(AN1166,A:A,AE:AE)</f>
        <v>#NAME?</v>
      </c>
      <c r="AU1166" s="150" t="e">
        <f aca="false">_xlfn.xlookup(AN1166,A:A,AF:AF)</f>
        <v>#NAME?</v>
      </c>
      <c r="AX1166" s="146"/>
      <c r="AY1166" s="150"/>
      <c r="AZ1166" s="150"/>
      <c r="BA1166" s="150"/>
      <c r="BB1166" s="146"/>
      <c r="BC1166" s="146"/>
      <c r="BD1166" s="151"/>
      <c r="BE1166" s="146"/>
      <c r="BF1166" s="146"/>
      <c r="BH1166" s="152" t="e">
        <f aca="false">_xlfn.xlookup(BG1166,A:A,E:E)</f>
        <v>#NAME?</v>
      </c>
      <c r="BI1166" s="153" t="e">
        <f aca="false">_xlfn.xlookup(BG1166,A:A,J:J)</f>
        <v>#NAME?</v>
      </c>
      <c r="BJ1166" s="153" t="e">
        <f aca="false">_xlfn.xlookup(BG1166,A:A,N:N)+_xlfn.xlookup(BG1166,A:A,O:O)</f>
        <v>#NAME?</v>
      </c>
    </row>
    <row r="1167" s="153" customFormat="true" ht="15" hidden="false" customHeight="false" outlineLevel="0" collapsed="false">
      <c r="AN1167" s="153" t="e">
        <v>#NAME?</v>
      </c>
      <c r="AO1167" s="153" t="e">
        <f aca="false">_xlfn.xlookup(AN1167,A:A,F:F)</f>
        <v>#NAME?</v>
      </c>
      <c r="AP1167" s="153" t="e">
        <f aca="false">_xlfn.xlookup(AN1167,A:A,J:J)</f>
        <v>#NAME?</v>
      </c>
      <c r="AQ1167" s="153" t="e">
        <f aca="false">_xlfn.xlookup(AN1167,A:A,N:N)+_xlfn.xlookup(AN1167,A:A,O:O)</f>
        <v>#NAME?</v>
      </c>
      <c r="AR1167" s="150" t="e">
        <f aca="false">_xlfn.xlookup(AN1167,A:A,AH:AH)</f>
        <v>#NAME?</v>
      </c>
      <c r="AS1167" s="150" t="e">
        <f aca="false">_xlfn.xlookup(AN1167,A:A,S:S)</f>
        <v>#NAME?</v>
      </c>
      <c r="AT1167" s="150" t="e">
        <f aca="false">_xlfn.xlookup(AN1167,A:A,AE:AE)</f>
        <v>#NAME?</v>
      </c>
      <c r="AU1167" s="150" t="e">
        <f aca="false">_xlfn.xlookup(AN1167,A:A,AF:AF)</f>
        <v>#NAME?</v>
      </c>
      <c r="AX1167" s="146"/>
      <c r="AY1167" s="150"/>
      <c r="AZ1167" s="150"/>
      <c r="BA1167" s="150"/>
      <c r="BB1167" s="146"/>
      <c r="BC1167" s="146"/>
      <c r="BD1167" s="151"/>
      <c r="BE1167" s="146"/>
      <c r="BF1167" s="146"/>
      <c r="BH1167" s="152" t="e">
        <f aca="false">_xlfn.xlookup(BG1167,A:A,E:E)</f>
        <v>#NAME?</v>
      </c>
      <c r="BI1167" s="153" t="e">
        <f aca="false">_xlfn.xlookup(BG1167,A:A,J:J)</f>
        <v>#NAME?</v>
      </c>
      <c r="BJ1167" s="153" t="e">
        <f aca="false">_xlfn.xlookup(BG1167,A:A,N:N)+_xlfn.xlookup(BG1167,A:A,O:O)</f>
        <v>#NAME?</v>
      </c>
    </row>
    <row r="1168" s="153" customFormat="true" ht="15" hidden="false" customHeight="false" outlineLevel="0" collapsed="false">
      <c r="AN1168" s="153" t="e">
        <v>#NAME?</v>
      </c>
      <c r="AO1168" s="153" t="e">
        <f aca="false">_xlfn.xlookup(AN1168,A:A,F:F)</f>
        <v>#NAME?</v>
      </c>
      <c r="AP1168" s="153" t="e">
        <f aca="false">_xlfn.xlookup(AN1168,A:A,J:J)</f>
        <v>#NAME?</v>
      </c>
      <c r="AQ1168" s="153" t="e">
        <f aca="false">_xlfn.xlookup(AN1168,A:A,N:N)+_xlfn.xlookup(AN1168,A:A,O:O)</f>
        <v>#NAME?</v>
      </c>
      <c r="AR1168" s="150" t="e">
        <f aca="false">_xlfn.xlookup(AN1168,A:A,AH:AH)</f>
        <v>#NAME?</v>
      </c>
      <c r="AS1168" s="150" t="e">
        <f aca="false">_xlfn.xlookup(AN1168,A:A,S:S)</f>
        <v>#NAME?</v>
      </c>
      <c r="AT1168" s="150" t="e">
        <f aca="false">_xlfn.xlookup(AN1168,A:A,AE:AE)</f>
        <v>#NAME?</v>
      </c>
      <c r="AU1168" s="150" t="e">
        <f aca="false">_xlfn.xlookup(AN1168,A:A,AF:AF)</f>
        <v>#NAME?</v>
      </c>
      <c r="AX1168" s="146"/>
      <c r="AY1168" s="150"/>
      <c r="AZ1168" s="150"/>
      <c r="BA1168" s="150"/>
      <c r="BB1168" s="146"/>
      <c r="BC1168" s="146"/>
      <c r="BD1168" s="151"/>
      <c r="BE1168" s="146"/>
      <c r="BF1168" s="146"/>
      <c r="BH1168" s="152" t="e">
        <f aca="false">_xlfn.xlookup(BG1168,A:A,E:E)</f>
        <v>#NAME?</v>
      </c>
      <c r="BI1168" s="153" t="e">
        <f aca="false">_xlfn.xlookup(BG1168,A:A,J:J)</f>
        <v>#NAME?</v>
      </c>
      <c r="BJ1168" s="153" t="e">
        <f aca="false">_xlfn.xlookup(BG1168,A:A,N:N)+_xlfn.xlookup(BG1168,A:A,O:O)</f>
        <v>#NAME?</v>
      </c>
    </row>
    <row r="1169" s="153" customFormat="true" ht="15" hidden="false" customHeight="false" outlineLevel="0" collapsed="false">
      <c r="AN1169" s="153" t="e">
        <v>#NAME?</v>
      </c>
      <c r="AO1169" s="153" t="e">
        <f aca="false">_xlfn.xlookup(AN1169,A:A,F:F)</f>
        <v>#NAME?</v>
      </c>
      <c r="AP1169" s="153" t="e">
        <f aca="false">_xlfn.xlookup(AN1169,A:A,J:J)</f>
        <v>#NAME?</v>
      </c>
      <c r="AQ1169" s="153" t="e">
        <f aca="false">_xlfn.xlookup(AN1169,A:A,N:N)+_xlfn.xlookup(AN1169,A:A,O:O)</f>
        <v>#NAME?</v>
      </c>
      <c r="AR1169" s="150" t="e">
        <f aca="false">_xlfn.xlookup(AN1169,A:A,AH:AH)</f>
        <v>#NAME?</v>
      </c>
      <c r="AS1169" s="150" t="e">
        <f aca="false">_xlfn.xlookup(AN1169,A:A,S:S)</f>
        <v>#NAME?</v>
      </c>
      <c r="AT1169" s="150" t="e">
        <f aca="false">_xlfn.xlookup(AN1169,A:A,AE:AE)</f>
        <v>#NAME?</v>
      </c>
      <c r="AU1169" s="150" t="e">
        <f aca="false">_xlfn.xlookup(AN1169,A:A,AF:AF)</f>
        <v>#NAME?</v>
      </c>
      <c r="AX1169" s="146"/>
      <c r="AY1169" s="150"/>
      <c r="AZ1169" s="150"/>
      <c r="BA1169" s="150"/>
      <c r="BB1169" s="146"/>
      <c r="BC1169" s="146"/>
      <c r="BD1169" s="151"/>
      <c r="BE1169" s="146"/>
      <c r="BF1169" s="146"/>
      <c r="BH1169" s="152" t="e">
        <f aca="false">_xlfn.xlookup(BG1169,A:A,E:E)</f>
        <v>#NAME?</v>
      </c>
      <c r="BI1169" s="153" t="e">
        <f aca="false">_xlfn.xlookup(BG1169,A:A,J:J)</f>
        <v>#NAME?</v>
      </c>
      <c r="BJ1169" s="153" t="e">
        <f aca="false">_xlfn.xlookup(BG1169,A:A,N:N)+_xlfn.xlookup(BG1169,A:A,O:O)</f>
        <v>#NAME?</v>
      </c>
    </row>
    <row r="1170" s="153" customFormat="true" ht="15" hidden="false" customHeight="false" outlineLevel="0" collapsed="false">
      <c r="AN1170" s="153" t="e">
        <v>#NAME?</v>
      </c>
      <c r="AO1170" s="153" t="e">
        <f aca="false">_xlfn.xlookup(AN1170,A:A,F:F)</f>
        <v>#NAME?</v>
      </c>
      <c r="AP1170" s="153" t="e">
        <f aca="false">_xlfn.xlookup(AN1170,A:A,J:J)</f>
        <v>#NAME?</v>
      </c>
      <c r="AQ1170" s="153" t="e">
        <f aca="false">_xlfn.xlookup(AN1170,A:A,N:N)+_xlfn.xlookup(AN1170,A:A,O:O)</f>
        <v>#NAME?</v>
      </c>
      <c r="AR1170" s="150" t="e">
        <f aca="false">_xlfn.xlookup(AN1170,A:A,AH:AH)</f>
        <v>#NAME?</v>
      </c>
      <c r="AS1170" s="150" t="e">
        <f aca="false">_xlfn.xlookup(AN1170,A:A,S:S)</f>
        <v>#NAME?</v>
      </c>
      <c r="AT1170" s="150" t="e">
        <f aca="false">_xlfn.xlookup(AN1170,A:A,AE:AE)</f>
        <v>#NAME?</v>
      </c>
      <c r="AU1170" s="150" t="e">
        <f aca="false">_xlfn.xlookup(AN1170,A:A,AF:AF)</f>
        <v>#NAME?</v>
      </c>
      <c r="AX1170" s="146"/>
      <c r="AY1170" s="150"/>
      <c r="AZ1170" s="150"/>
      <c r="BA1170" s="150"/>
      <c r="BB1170" s="146"/>
      <c r="BC1170" s="146"/>
      <c r="BD1170" s="151"/>
      <c r="BE1170" s="146"/>
      <c r="BF1170" s="146"/>
      <c r="BH1170" s="152" t="e">
        <f aca="false">_xlfn.xlookup(BG1170,A:A,E:E)</f>
        <v>#NAME?</v>
      </c>
      <c r="BI1170" s="153" t="e">
        <f aca="false">_xlfn.xlookup(BG1170,A:A,J:J)</f>
        <v>#NAME?</v>
      </c>
      <c r="BJ1170" s="153" t="e">
        <f aca="false">_xlfn.xlookup(BG1170,A:A,N:N)+_xlfn.xlookup(BG1170,A:A,O:O)</f>
        <v>#NAME?</v>
      </c>
    </row>
    <row r="1171" s="153" customFormat="true" ht="15" hidden="false" customHeight="false" outlineLevel="0" collapsed="false">
      <c r="AN1171" s="153" t="e">
        <v>#NAME?</v>
      </c>
      <c r="AO1171" s="153" t="e">
        <f aca="false">_xlfn.xlookup(AN1171,A:A,F:F)</f>
        <v>#NAME?</v>
      </c>
      <c r="AP1171" s="153" t="e">
        <f aca="false">_xlfn.xlookup(AN1171,A:A,J:J)</f>
        <v>#NAME?</v>
      </c>
      <c r="AQ1171" s="153" t="e">
        <f aca="false">_xlfn.xlookup(AN1171,A:A,N:N)+_xlfn.xlookup(AN1171,A:A,O:O)</f>
        <v>#NAME?</v>
      </c>
      <c r="AR1171" s="150" t="e">
        <f aca="false">_xlfn.xlookup(AN1171,A:A,AH:AH)</f>
        <v>#NAME?</v>
      </c>
      <c r="AS1171" s="150" t="e">
        <f aca="false">_xlfn.xlookup(AN1171,A:A,S:S)</f>
        <v>#NAME?</v>
      </c>
      <c r="AT1171" s="150" t="e">
        <f aca="false">_xlfn.xlookup(AN1171,A:A,AE:AE)</f>
        <v>#NAME?</v>
      </c>
      <c r="AU1171" s="150" t="e">
        <f aca="false">_xlfn.xlookup(AN1171,A:A,AF:AF)</f>
        <v>#NAME?</v>
      </c>
      <c r="AX1171" s="146"/>
      <c r="AY1171" s="150"/>
      <c r="AZ1171" s="150"/>
      <c r="BA1171" s="150"/>
      <c r="BB1171" s="146"/>
      <c r="BC1171" s="146"/>
      <c r="BD1171" s="151"/>
      <c r="BE1171" s="146"/>
      <c r="BF1171" s="146"/>
      <c r="BH1171" s="152" t="e">
        <f aca="false">_xlfn.xlookup(BG1171,A:A,E:E)</f>
        <v>#NAME?</v>
      </c>
      <c r="BI1171" s="153" t="e">
        <f aca="false">_xlfn.xlookup(BG1171,A:A,J:J)</f>
        <v>#NAME?</v>
      </c>
      <c r="BJ1171" s="153" t="e">
        <f aca="false">_xlfn.xlookup(BG1171,A:A,N:N)+_xlfn.xlookup(BG1171,A:A,O:O)</f>
        <v>#NAME?</v>
      </c>
    </row>
    <row r="1172" s="153" customFormat="true" ht="15" hidden="false" customHeight="false" outlineLevel="0" collapsed="false">
      <c r="AN1172" s="153" t="e">
        <v>#NAME?</v>
      </c>
      <c r="AO1172" s="153" t="e">
        <f aca="false">_xlfn.xlookup(AN1172,A:A,F:F)</f>
        <v>#NAME?</v>
      </c>
      <c r="AP1172" s="153" t="e">
        <f aca="false">_xlfn.xlookup(AN1172,A:A,J:J)</f>
        <v>#NAME?</v>
      </c>
      <c r="AQ1172" s="153" t="e">
        <f aca="false">_xlfn.xlookup(AN1172,A:A,N:N)+_xlfn.xlookup(AN1172,A:A,O:O)</f>
        <v>#NAME?</v>
      </c>
      <c r="AR1172" s="150" t="e">
        <f aca="false">_xlfn.xlookup(AN1172,A:A,AH:AH)</f>
        <v>#NAME?</v>
      </c>
      <c r="AS1172" s="150" t="e">
        <f aca="false">_xlfn.xlookup(AN1172,A:A,S:S)</f>
        <v>#NAME?</v>
      </c>
      <c r="AT1172" s="150" t="e">
        <f aca="false">_xlfn.xlookup(AN1172,A:A,AE:AE)</f>
        <v>#NAME?</v>
      </c>
      <c r="AU1172" s="150" t="e">
        <f aca="false">_xlfn.xlookup(AN1172,A:A,AF:AF)</f>
        <v>#NAME?</v>
      </c>
      <c r="AX1172" s="146"/>
      <c r="AY1172" s="150"/>
      <c r="AZ1172" s="150"/>
      <c r="BA1172" s="150"/>
      <c r="BB1172" s="146"/>
      <c r="BC1172" s="146"/>
      <c r="BD1172" s="151"/>
      <c r="BE1172" s="146"/>
      <c r="BF1172" s="146"/>
      <c r="BH1172" s="152" t="e">
        <f aca="false">_xlfn.xlookup(BG1172,A:A,E:E)</f>
        <v>#NAME?</v>
      </c>
      <c r="BI1172" s="153" t="e">
        <f aca="false">_xlfn.xlookup(BG1172,A:A,J:J)</f>
        <v>#NAME?</v>
      </c>
      <c r="BJ1172" s="153" t="e">
        <f aca="false">_xlfn.xlookup(BG1172,A:A,N:N)+_xlfn.xlookup(BG1172,A:A,O:O)</f>
        <v>#NAME?</v>
      </c>
    </row>
    <row r="1173" s="153" customFormat="true" ht="15" hidden="false" customHeight="false" outlineLevel="0" collapsed="false">
      <c r="AN1173" s="153" t="e">
        <v>#NAME?</v>
      </c>
      <c r="AO1173" s="153" t="e">
        <f aca="false">_xlfn.xlookup(AN1173,A:A,F:F)</f>
        <v>#NAME?</v>
      </c>
      <c r="AP1173" s="153" t="e">
        <f aca="false">_xlfn.xlookup(AN1173,A:A,J:J)</f>
        <v>#NAME?</v>
      </c>
      <c r="AQ1173" s="153" t="e">
        <f aca="false">_xlfn.xlookup(AN1173,A:A,N:N)+_xlfn.xlookup(AN1173,A:A,O:O)</f>
        <v>#NAME?</v>
      </c>
      <c r="AR1173" s="150" t="e">
        <f aca="false">_xlfn.xlookup(AN1173,A:A,AH:AH)</f>
        <v>#NAME?</v>
      </c>
      <c r="AS1173" s="150" t="e">
        <f aca="false">_xlfn.xlookup(AN1173,A:A,S:S)</f>
        <v>#NAME?</v>
      </c>
      <c r="AT1173" s="150" t="e">
        <f aca="false">_xlfn.xlookup(AN1173,A:A,AE:AE)</f>
        <v>#NAME?</v>
      </c>
      <c r="AU1173" s="150" t="e">
        <f aca="false">_xlfn.xlookup(AN1173,A:A,AF:AF)</f>
        <v>#NAME?</v>
      </c>
      <c r="AX1173" s="146"/>
      <c r="AY1173" s="150"/>
      <c r="AZ1173" s="150"/>
      <c r="BA1173" s="150"/>
      <c r="BB1173" s="146"/>
      <c r="BC1173" s="146"/>
      <c r="BD1173" s="151"/>
      <c r="BE1173" s="146"/>
      <c r="BF1173" s="146"/>
      <c r="BH1173" s="152" t="e">
        <f aca="false">_xlfn.xlookup(BG1173,A:A,E:E)</f>
        <v>#NAME?</v>
      </c>
      <c r="BI1173" s="153" t="e">
        <f aca="false">_xlfn.xlookup(BG1173,A:A,J:J)</f>
        <v>#NAME?</v>
      </c>
      <c r="BJ1173" s="153" t="e">
        <f aca="false">_xlfn.xlookup(BG1173,A:A,N:N)+_xlfn.xlookup(BG1173,A:A,O:O)</f>
        <v>#NAME?</v>
      </c>
    </row>
    <row r="1174" s="153" customFormat="true" ht="15" hidden="false" customHeight="false" outlineLevel="0" collapsed="false">
      <c r="AN1174" s="153" t="e">
        <v>#NAME?</v>
      </c>
      <c r="AO1174" s="153" t="e">
        <f aca="false">_xlfn.xlookup(AN1174,A:A,F:F)</f>
        <v>#NAME?</v>
      </c>
      <c r="AP1174" s="153" t="e">
        <f aca="false">_xlfn.xlookup(AN1174,A:A,J:J)</f>
        <v>#NAME?</v>
      </c>
      <c r="AQ1174" s="153" t="e">
        <f aca="false">_xlfn.xlookup(AN1174,A:A,N:N)+_xlfn.xlookup(AN1174,A:A,O:O)</f>
        <v>#NAME?</v>
      </c>
      <c r="AR1174" s="150" t="e">
        <f aca="false">_xlfn.xlookup(AN1174,A:A,AH:AH)</f>
        <v>#NAME?</v>
      </c>
      <c r="AS1174" s="150" t="e">
        <f aca="false">_xlfn.xlookup(AN1174,A:A,S:S)</f>
        <v>#NAME?</v>
      </c>
      <c r="AT1174" s="150" t="e">
        <f aca="false">_xlfn.xlookup(AN1174,A:A,AE:AE)</f>
        <v>#NAME?</v>
      </c>
      <c r="AU1174" s="150" t="e">
        <f aca="false">_xlfn.xlookup(AN1174,A:A,AF:AF)</f>
        <v>#NAME?</v>
      </c>
      <c r="AX1174" s="146"/>
      <c r="AY1174" s="150"/>
      <c r="AZ1174" s="150"/>
      <c r="BA1174" s="150"/>
      <c r="BB1174" s="146"/>
      <c r="BC1174" s="146"/>
      <c r="BD1174" s="151"/>
      <c r="BE1174" s="146"/>
      <c r="BF1174" s="146"/>
      <c r="BH1174" s="152" t="e">
        <f aca="false">_xlfn.xlookup(BG1174,A:A,E:E)</f>
        <v>#NAME?</v>
      </c>
      <c r="BI1174" s="153" t="e">
        <f aca="false">_xlfn.xlookup(BG1174,A:A,J:J)</f>
        <v>#NAME?</v>
      </c>
      <c r="BJ1174" s="153" t="e">
        <f aca="false">_xlfn.xlookup(BG1174,A:A,N:N)+_xlfn.xlookup(BG1174,A:A,O:O)</f>
        <v>#NAME?</v>
      </c>
    </row>
    <row r="1175" s="153" customFormat="true" ht="15" hidden="false" customHeight="false" outlineLevel="0" collapsed="false">
      <c r="AN1175" s="153" t="e">
        <v>#NAME?</v>
      </c>
      <c r="AO1175" s="153" t="e">
        <f aca="false">_xlfn.xlookup(AN1175,A:A,F:F)</f>
        <v>#NAME?</v>
      </c>
      <c r="AP1175" s="153" t="e">
        <f aca="false">_xlfn.xlookup(AN1175,A:A,J:J)</f>
        <v>#NAME?</v>
      </c>
      <c r="AQ1175" s="153" t="e">
        <f aca="false">_xlfn.xlookup(AN1175,A:A,N:N)+_xlfn.xlookup(AN1175,A:A,O:O)</f>
        <v>#NAME?</v>
      </c>
      <c r="AR1175" s="150" t="e">
        <f aca="false">_xlfn.xlookup(AN1175,A:A,AH:AH)</f>
        <v>#NAME?</v>
      </c>
      <c r="AS1175" s="150" t="e">
        <f aca="false">_xlfn.xlookup(AN1175,A:A,S:S)</f>
        <v>#NAME?</v>
      </c>
      <c r="AT1175" s="150" t="e">
        <f aca="false">_xlfn.xlookup(AN1175,A:A,AE:AE)</f>
        <v>#NAME?</v>
      </c>
      <c r="AU1175" s="150" t="e">
        <f aca="false">_xlfn.xlookup(AN1175,A:A,AF:AF)</f>
        <v>#NAME?</v>
      </c>
      <c r="AX1175" s="146"/>
      <c r="AY1175" s="150"/>
      <c r="AZ1175" s="150"/>
      <c r="BA1175" s="150"/>
      <c r="BB1175" s="146"/>
      <c r="BC1175" s="146"/>
      <c r="BD1175" s="151"/>
      <c r="BE1175" s="146"/>
      <c r="BF1175" s="146"/>
      <c r="BH1175" s="152" t="e">
        <f aca="false">_xlfn.xlookup(BG1175,A:A,E:E)</f>
        <v>#NAME?</v>
      </c>
      <c r="BI1175" s="153" t="e">
        <f aca="false">_xlfn.xlookup(BG1175,A:A,J:J)</f>
        <v>#NAME?</v>
      </c>
      <c r="BJ1175" s="153" t="e">
        <f aca="false">_xlfn.xlookup(BG1175,A:A,N:N)+_xlfn.xlookup(BG1175,A:A,O:O)</f>
        <v>#NAME?</v>
      </c>
    </row>
    <row r="1176" s="153" customFormat="true" ht="15" hidden="false" customHeight="false" outlineLevel="0" collapsed="false">
      <c r="AN1176" s="153" t="e">
        <v>#NAME?</v>
      </c>
      <c r="AO1176" s="153" t="e">
        <f aca="false">_xlfn.xlookup(AN1176,A:A,F:F)</f>
        <v>#NAME?</v>
      </c>
      <c r="AP1176" s="153" t="e">
        <f aca="false">_xlfn.xlookup(AN1176,A:A,J:J)</f>
        <v>#NAME?</v>
      </c>
      <c r="AQ1176" s="153" t="e">
        <f aca="false">_xlfn.xlookup(AN1176,A:A,N:N)+_xlfn.xlookup(AN1176,A:A,O:O)</f>
        <v>#NAME?</v>
      </c>
      <c r="AR1176" s="150" t="e">
        <f aca="false">_xlfn.xlookup(AN1176,A:A,AH:AH)</f>
        <v>#NAME?</v>
      </c>
      <c r="AS1176" s="150" t="e">
        <f aca="false">_xlfn.xlookup(AN1176,A:A,S:S)</f>
        <v>#NAME?</v>
      </c>
      <c r="AT1176" s="150" t="e">
        <f aca="false">_xlfn.xlookup(AN1176,A:A,AE:AE)</f>
        <v>#NAME?</v>
      </c>
      <c r="AU1176" s="150" t="e">
        <f aca="false">_xlfn.xlookup(AN1176,A:A,AF:AF)</f>
        <v>#NAME?</v>
      </c>
      <c r="AX1176" s="146"/>
      <c r="AY1176" s="150"/>
      <c r="AZ1176" s="150"/>
      <c r="BA1176" s="150"/>
      <c r="BB1176" s="146"/>
      <c r="BC1176" s="146"/>
      <c r="BD1176" s="151"/>
      <c r="BE1176" s="146"/>
      <c r="BF1176" s="146"/>
      <c r="BH1176" s="152" t="e">
        <f aca="false">_xlfn.xlookup(BG1176,A:A,E:E)</f>
        <v>#NAME?</v>
      </c>
      <c r="BI1176" s="153" t="e">
        <f aca="false">_xlfn.xlookup(BG1176,A:A,J:J)</f>
        <v>#NAME?</v>
      </c>
      <c r="BJ1176" s="153" t="e">
        <f aca="false">_xlfn.xlookup(BG1176,A:A,N:N)+_xlfn.xlookup(BG1176,A:A,O:O)</f>
        <v>#NAME?</v>
      </c>
    </row>
    <row r="1177" s="153" customFormat="true" ht="15" hidden="false" customHeight="false" outlineLevel="0" collapsed="false">
      <c r="AN1177" s="153" t="e">
        <v>#NAME?</v>
      </c>
      <c r="AO1177" s="153" t="e">
        <f aca="false">_xlfn.xlookup(AN1177,A:A,F:F)</f>
        <v>#NAME?</v>
      </c>
      <c r="AP1177" s="153" t="e">
        <f aca="false">_xlfn.xlookup(AN1177,A:A,J:J)</f>
        <v>#NAME?</v>
      </c>
      <c r="AQ1177" s="153" t="e">
        <f aca="false">_xlfn.xlookup(AN1177,A:A,N:N)+_xlfn.xlookup(AN1177,A:A,O:O)</f>
        <v>#NAME?</v>
      </c>
      <c r="AR1177" s="150" t="e">
        <f aca="false">_xlfn.xlookup(AN1177,A:A,AH:AH)</f>
        <v>#NAME?</v>
      </c>
      <c r="AS1177" s="150" t="e">
        <f aca="false">_xlfn.xlookup(AN1177,A:A,S:S)</f>
        <v>#NAME?</v>
      </c>
      <c r="AT1177" s="150" t="e">
        <f aca="false">_xlfn.xlookup(AN1177,A:A,AE:AE)</f>
        <v>#NAME?</v>
      </c>
      <c r="AU1177" s="150" t="e">
        <f aca="false">_xlfn.xlookup(AN1177,A:A,AF:AF)</f>
        <v>#NAME?</v>
      </c>
      <c r="AX1177" s="146"/>
      <c r="AY1177" s="150"/>
      <c r="AZ1177" s="150"/>
      <c r="BA1177" s="150"/>
      <c r="BB1177" s="146"/>
      <c r="BC1177" s="146"/>
      <c r="BD1177" s="151"/>
      <c r="BE1177" s="146"/>
      <c r="BF1177" s="146"/>
      <c r="BH1177" s="152" t="e">
        <f aca="false">_xlfn.xlookup(BG1177,A:A,E:E)</f>
        <v>#NAME?</v>
      </c>
      <c r="BI1177" s="153" t="e">
        <f aca="false">_xlfn.xlookup(BG1177,A:A,J:J)</f>
        <v>#NAME?</v>
      </c>
      <c r="BJ1177" s="153" t="e">
        <f aca="false">_xlfn.xlookup(BG1177,A:A,N:N)+_xlfn.xlookup(BG1177,A:A,O:O)</f>
        <v>#NAME?</v>
      </c>
    </row>
    <row r="1178" s="153" customFormat="true" ht="15" hidden="false" customHeight="false" outlineLevel="0" collapsed="false">
      <c r="AN1178" s="153" t="e">
        <v>#NAME?</v>
      </c>
      <c r="AO1178" s="153" t="e">
        <f aca="false">_xlfn.xlookup(AN1178,A:A,F:F)</f>
        <v>#NAME?</v>
      </c>
      <c r="AP1178" s="153" t="e">
        <f aca="false">_xlfn.xlookup(AN1178,A:A,J:J)</f>
        <v>#NAME?</v>
      </c>
      <c r="AQ1178" s="153" t="e">
        <f aca="false">_xlfn.xlookup(AN1178,A:A,N:N)+_xlfn.xlookup(AN1178,A:A,O:O)</f>
        <v>#NAME?</v>
      </c>
      <c r="AR1178" s="150" t="e">
        <f aca="false">_xlfn.xlookup(AN1178,A:A,AH:AH)</f>
        <v>#NAME?</v>
      </c>
      <c r="AS1178" s="150" t="e">
        <f aca="false">_xlfn.xlookup(AN1178,A:A,S:S)</f>
        <v>#NAME?</v>
      </c>
      <c r="AT1178" s="150" t="e">
        <f aca="false">_xlfn.xlookup(AN1178,A:A,AE:AE)</f>
        <v>#NAME?</v>
      </c>
      <c r="AU1178" s="150" t="e">
        <f aca="false">_xlfn.xlookup(AN1178,A:A,AF:AF)</f>
        <v>#NAME?</v>
      </c>
      <c r="AX1178" s="146"/>
      <c r="AY1178" s="150"/>
      <c r="AZ1178" s="150"/>
      <c r="BA1178" s="150"/>
      <c r="BB1178" s="146"/>
      <c r="BC1178" s="146"/>
      <c r="BD1178" s="151"/>
      <c r="BE1178" s="146"/>
      <c r="BF1178" s="146"/>
      <c r="BH1178" s="152" t="e">
        <f aca="false">_xlfn.xlookup(BG1178,A:A,E:E)</f>
        <v>#NAME?</v>
      </c>
      <c r="BI1178" s="153" t="e">
        <f aca="false">_xlfn.xlookup(BG1178,A:A,J:J)</f>
        <v>#NAME?</v>
      </c>
      <c r="BJ1178" s="153" t="e">
        <f aca="false">_xlfn.xlookup(BG1178,A:A,N:N)+_xlfn.xlookup(BG1178,A:A,O:O)</f>
        <v>#NAME?</v>
      </c>
    </row>
    <row r="1179" s="153" customFormat="true" ht="15" hidden="false" customHeight="false" outlineLevel="0" collapsed="false">
      <c r="AN1179" s="153" t="e">
        <v>#NAME?</v>
      </c>
      <c r="AO1179" s="153" t="e">
        <f aca="false">_xlfn.xlookup(AN1179,A:A,F:F)</f>
        <v>#NAME?</v>
      </c>
      <c r="AP1179" s="153" t="e">
        <f aca="false">_xlfn.xlookup(AN1179,A:A,J:J)</f>
        <v>#NAME?</v>
      </c>
      <c r="AQ1179" s="153" t="e">
        <f aca="false">_xlfn.xlookup(AN1179,A:A,N:N)+_xlfn.xlookup(AN1179,A:A,O:O)</f>
        <v>#NAME?</v>
      </c>
      <c r="AR1179" s="150" t="e">
        <f aca="false">_xlfn.xlookup(AN1179,A:A,AH:AH)</f>
        <v>#NAME?</v>
      </c>
      <c r="AS1179" s="150" t="e">
        <f aca="false">_xlfn.xlookup(AN1179,A:A,S:S)</f>
        <v>#NAME?</v>
      </c>
      <c r="AT1179" s="150" t="e">
        <f aca="false">_xlfn.xlookup(AN1179,A:A,AE:AE)</f>
        <v>#NAME?</v>
      </c>
      <c r="AU1179" s="150" t="e">
        <f aca="false">_xlfn.xlookup(AN1179,A:A,AF:AF)</f>
        <v>#NAME?</v>
      </c>
      <c r="AX1179" s="146"/>
      <c r="AY1179" s="150"/>
      <c r="AZ1179" s="150"/>
      <c r="BA1179" s="150"/>
      <c r="BB1179" s="146"/>
      <c r="BC1179" s="146"/>
      <c r="BD1179" s="151"/>
      <c r="BE1179" s="146"/>
      <c r="BF1179" s="146"/>
      <c r="BH1179" s="152" t="e">
        <f aca="false">_xlfn.xlookup(BG1179,A:A,E:E)</f>
        <v>#NAME?</v>
      </c>
      <c r="BI1179" s="153" t="e">
        <f aca="false">_xlfn.xlookup(BG1179,A:A,J:J)</f>
        <v>#NAME?</v>
      </c>
      <c r="BJ1179" s="153" t="e">
        <f aca="false">_xlfn.xlookup(BG1179,A:A,N:N)+_xlfn.xlookup(BG1179,A:A,O:O)</f>
        <v>#NAME?</v>
      </c>
    </row>
    <row r="1180" s="153" customFormat="true" ht="15" hidden="false" customHeight="false" outlineLevel="0" collapsed="false">
      <c r="AN1180" s="153" t="e">
        <v>#NAME?</v>
      </c>
      <c r="AO1180" s="153" t="e">
        <f aca="false">_xlfn.xlookup(AN1180,A:A,F:F)</f>
        <v>#NAME?</v>
      </c>
      <c r="AP1180" s="153" t="e">
        <f aca="false">_xlfn.xlookup(AN1180,A:A,J:J)</f>
        <v>#NAME?</v>
      </c>
      <c r="AQ1180" s="153" t="e">
        <f aca="false">_xlfn.xlookup(AN1180,A:A,N:N)+_xlfn.xlookup(AN1180,A:A,O:O)</f>
        <v>#NAME?</v>
      </c>
      <c r="AR1180" s="150" t="e">
        <f aca="false">_xlfn.xlookup(AN1180,A:A,AH:AH)</f>
        <v>#NAME?</v>
      </c>
      <c r="AS1180" s="150" t="e">
        <f aca="false">_xlfn.xlookup(AN1180,A:A,S:S)</f>
        <v>#NAME?</v>
      </c>
      <c r="AT1180" s="150" t="e">
        <f aca="false">_xlfn.xlookup(AN1180,A:A,AE:AE)</f>
        <v>#NAME?</v>
      </c>
      <c r="AU1180" s="150" t="e">
        <f aca="false">_xlfn.xlookup(AN1180,A:A,AF:AF)</f>
        <v>#NAME?</v>
      </c>
      <c r="AX1180" s="146"/>
      <c r="AY1180" s="150"/>
      <c r="AZ1180" s="150"/>
      <c r="BA1180" s="150"/>
      <c r="BB1180" s="146"/>
      <c r="BC1180" s="146"/>
      <c r="BD1180" s="151"/>
      <c r="BE1180" s="146"/>
      <c r="BF1180" s="146"/>
      <c r="BH1180" s="152" t="e">
        <f aca="false">_xlfn.xlookup(BG1180,A:A,E:E)</f>
        <v>#NAME?</v>
      </c>
      <c r="BI1180" s="153" t="e">
        <f aca="false">_xlfn.xlookup(BG1180,A:A,J:J)</f>
        <v>#NAME?</v>
      </c>
      <c r="BJ1180" s="153" t="e">
        <f aca="false">_xlfn.xlookup(BG1180,A:A,N:N)+_xlfn.xlookup(BG1180,A:A,O:O)</f>
        <v>#NAME?</v>
      </c>
    </row>
    <row r="1181" s="153" customFormat="true" ht="15" hidden="false" customHeight="false" outlineLevel="0" collapsed="false">
      <c r="AN1181" s="153" t="e">
        <v>#NAME?</v>
      </c>
      <c r="AO1181" s="153" t="e">
        <f aca="false">_xlfn.xlookup(AN1181,A:A,F:F)</f>
        <v>#NAME?</v>
      </c>
      <c r="AP1181" s="153" t="e">
        <f aca="false">_xlfn.xlookup(AN1181,A:A,J:J)</f>
        <v>#NAME?</v>
      </c>
      <c r="AQ1181" s="153" t="e">
        <f aca="false">_xlfn.xlookup(AN1181,A:A,N:N)+_xlfn.xlookup(AN1181,A:A,O:O)</f>
        <v>#NAME?</v>
      </c>
      <c r="AR1181" s="150" t="e">
        <f aca="false">_xlfn.xlookup(AN1181,A:A,AH:AH)</f>
        <v>#NAME?</v>
      </c>
      <c r="AS1181" s="150" t="e">
        <f aca="false">_xlfn.xlookup(AN1181,A:A,S:S)</f>
        <v>#NAME?</v>
      </c>
      <c r="AT1181" s="150" t="e">
        <f aca="false">_xlfn.xlookup(AN1181,A:A,AE:AE)</f>
        <v>#NAME?</v>
      </c>
      <c r="AU1181" s="150" t="e">
        <f aca="false">_xlfn.xlookup(AN1181,A:A,AF:AF)</f>
        <v>#NAME?</v>
      </c>
      <c r="AX1181" s="146"/>
      <c r="AY1181" s="150"/>
      <c r="AZ1181" s="150"/>
      <c r="BA1181" s="150"/>
      <c r="BB1181" s="146"/>
      <c r="BC1181" s="146"/>
      <c r="BD1181" s="151"/>
      <c r="BE1181" s="146"/>
      <c r="BF1181" s="146"/>
      <c r="BH1181" s="152" t="e">
        <f aca="false">_xlfn.xlookup(BG1181,A:A,E:E)</f>
        <v>#NAME?</v>
      </c>
      <c r="BI1181" s="153" t="e">
        <f aca="false">_xlfn.xlookup(BG1181,A:A,J:J)</f>
        <v>#NAME?</v>
      </c>
      <c r="BJ1181" s="153" t="e">
        <f aca="false">_xlfn.xlookup(BG1181,A:A,N:N)+_xlfn.xlookup(BG1181,A:A,O:O)</f>
        <v>#NAME?</v>
      </c>
    </row>
    <row r="1182" s="153" customFormat="true" ht="15" hidden="false" customHeight="false" outlineLevel="0" collapsed="false">
      <c r="AN1182" s="153" t="e">
        <v>#NAME?</v>
      </c>
      <c r="AO1182" s="153" t="e">
        <f aca="false">_xlfn.xlookup(AN1182,A:A,F:F)</f>
        <v>#NAME?</v>
      </c>
      <c r="AP1182" s="153" t="e">
        <f aca="false">_xlfn.xlookup(AN1182,A:A,J:J)</f>
        <v>#NAME?</v>
      </c>
      <c r="AQ1182" s="153" t="e">
        <f aca="false">_xlfn.xlookup(AN1182,A:A,N:N)+_xlfn.xlookup(AN1182,A:A,O:O)</f>
        <v>#NAME?</v>
      </c>
      <c r="AR1182" s="150" t="e">
        <f aca="false">_xlfn.xlookup(AN1182,A:A,AH:AH)</f>
        <v>#NAME?</v>
      </c>
      <c r="AS1182" s="150" t="e">
        <f aca="false">_xlfn.xlookup(AN1182,A:A,S:S)</f>
        <v>#NAME?</v>
      </c>
      <c r="AT1182" s="150" t="e">
        <f aca="false">_xlfn.xlookup(AN1182,A:A,AE:AE)</f>
        <v>#NAME?</v>
      </c>
      <c r="AU1182" s="150" t="e">
        <f aca="false">_xlfn.xlookup(AN1182,A:A,AF:AF)</f>
        <v>#NAME?</v>
      </c>
      <c r="AX1182" s="146"/>
      <c r="AY1182" s="150"/>
      <c r="AZ1182" s="150"/>
      <c r="BA1182" s="150"/>
      <c r="BB1182" s="146"/>
      <c r="BC1182" s="146"/>
      <c r="BD1182" s="151"/>
      <c r="BE1182" s="146"/>
      <c r="BF1182" s="146"/>
      <c r="BH1182" s="152" t="e">
        <f aca="false">_xlfn.xlookup(BG1182,A:A,E:E)</f>
        <v>#NAME?</v>
      </c>
      <c r="BI1182" s="153" t="e">
        <f aca="false">_xlfn.xlookup(BG1182,A:A,J:J)</f>
        <v>#NAME?</v>
      </c>
      <c r="BJ1182" s="153" t="e">
        <f aca="false">_xlfn.xlookup(BG1182,A:A,N:N)+_xlfn.xlookup(BG1182,A:A,O:O)</f>
        <v>#NAME?</v>
      </c>
    </row>
    <row r="1183" s="153" customFormat="true" ht="15" hidden="false" customHeight="false" outlineLevel="0" collapsed="false">
      <c r="AN1183" s="153" t="e">
        <v>#NAME?</v>
      </c>
      <c r="AO1183" s="153" t="e">
        <f aca="false">_xlfn.xlookup(AN1183,A:A,F:F)</f>
        <v>#NAME?</v>
      </c>
      <c r="AP1183" s="153" t="e">
        <f aca="false">_xlfn.xlookup(AN1183,A:A,J:J)</f>
        <v>#NAME?</v>
      </c>
      <c r="AQ1183" s="153" t="e">
        <f aca="false">_xlfn.xlookup(AN1183,A:A,N:N)+_xlfn.xlookup(AN1183,A:A,O:O)</f>
        <v>#NAME?</v>
      </c>
      <c r="AR1183" s="150" t="e">
        <f aca="false">_xlfn.xlookup(AN1183,A:A,AH:AH)</f>
        <v>#NAME?</v>
      </c>
      <c r="AS1183" s="150" t="e">
        <f aca="false">_xlfn.xlookup(AN1183,A:A,S:S)</f>
        <v>#NAME?</v>
      </c>
      <c r="AT1183" s="150" t="e">
        <f aca="false">_xlfn.xlookup(AN1183,A:A,AE:AE)</f>
        <v>#NAME?</v>
      </c>
      <c r="AU1183" s="150" t="e">
        <f aca="false">_xlfn.xlookup(AN1183,A:A,AF:AF)</f>
        <v>#NAME?</v>
      </c>
      <c r="AX1183" s="146"/>
      <c r="AY1183" s="150"/>
      <c r="AZ1183" s="150"/>
      <c r="BA1183" s="150"/>
      <c r="BB1183" s="146"/>
      <c r="BC1183" s="146"/>
      <c r="BD1183" s="151"/>
      <c r="BE1183" s="146"/>
      <c r="BF1183" s="146"/>
      <c r="BH1183" s="152" t="e">
        <f aca="false">_xlfn.xlookup(BG1183,A:A,E:E)</f>
        <v>#NAME?</v>
      </c>
      <c r="BI1183" s="153" t="e">
        <f aca="false">_xlfn.xlookup(BG1183,A:A,J:J)</f>
        <v>#NAME?</v>
      </c>
      <c r="BJ1183" s="153" t="e">
        <f aca="false">_xlfn.xlookup(BG1183,A:A,N:N)+_xlfn.xlookup(BG1183,A:A,O:O)</f>
        <v>#NAME?</v>
      </c>
    </row>
    <row r="1184" s="153" customFormat="true" ht="15" hidden="false" customHeight="false" outlineLevel="0" collapsed="false">
      <c r="AN1184" s="153" t="e">
        <v>#NAME?</v>
      </c>
      <c r="AO1184" s="153" t="e">
        <f aca="false">_xlfn.xlookup(AN1184,A:A,F:F)</f>
        <v>#NAME?</v>
      </c>
      <c r="AP1184" s="153" t="e">
        <f aca="false">_xlfn.xlookup(AN1184,A:A,J:J)</f>
        <v>#NAME?</v>
      </c>
      <c r="AQ1184" s="153" t="e">
        <f aca="false">_xlfn.xlookup(AN1184,A:A,N:N)+_xlfn.xlookup(AN1184,A:A,O:O)</f>
        <v>#NAME?</v>
      </c>
      <c r="AR1184" s="150" t="e">
        <f aca="false">_xlfn.xlookup(AN1184,A:A,AH:AH)</f>
        <v>#NAME?</v>
      </c>
      <c r="AS1184" s="150" t="e">
        <f aca="false">_xlfn.xlookup(AN1184,A:A,S:S)</f>
        <v>#NAME?</v>
      </c>
      <c r="AT1184" s="150" t="e">
        <f aca="false">_xlfn.xlookup(AN1184,A:A,AE:AE)</f>
        <v>#NAME?</v>
      </c>
      <c r="AU1184" s="150" t="e">
        <f aca="false">_xlfn.xlookup(AN1184,A:A,AF:AF)</f>
        <v>#NAME?</v>
      </c>
      <c r="AX1184" s="146"/>
      <c r="AY1184" s="150"/>
      <c r="AZ1184" s="150"/>
      <c r="BA1184" s="150"/>
      <c r="BB1184" s="146"/>
      <c r="BC1184" s="146"/>
      <c r="BD1184" s="151"/>
      <c r="BE1184" s="146"/>
      <c r="BF1184" s="146"/>
      <c r="BH1184" s="152" t="e">
        <f aca="false">_xlfn.xlookup(BG1184,A:A,E:E)</f>
        <v>#NAME?</v>
      </c>
      <c r="BI1184" s="153" t="e">
        <f aca="false">_xlfn.xlookup(BG1184,A:A,J:J)</f>
        <v>#NAME?</v>
      </c>
      <c r="BJ1184" s="153" t="e">
        <f aca="false">_xlfn.xlookup(BG1184,A:A,N:N)+_xlfn.xlookup(BG1184,A:A,O:O)</f>
        <v>#NAME?</v>
      </c>
    </row>
    <row r="1185" s="153" customFormat="true" ht="15" hidden="false" customHeight="false" outlineLevel="0" collapsed="false">
      <c r="AN1185" s="153" t="e">
        <v>#NAME?</v>
      </c>
      <c r="AO1185" s="153" t="e">
        <f aca="false">_xlfn.xlookup(AN1185,A:A,F:F)</f>
        <v>#NAME?</v>
      </c>
      <c r="AP1185" s="153" t="e">
        <f aca="false">_xlfn.xlookup(AN1185,A:A,J:J)</f>
        <v>#NAME?</v>
      </c>
      <c r="AQ1185" s="153" t="e">
        <f aca="false">_xlfn.xlookup(AN1185,A:A,N:N)+_xlfn.xlookup(AN1185,A:A,O:O)</f>
        <v>#NAME?</v>
      </c>
      <c r="AR1185" s="150" t="e">
        <f aca="false">_xlfn.xlookup(AN1185,A:A,AH:AH)</f>
        <v>#NAME?</v>
      </c>
      <c r="AS1185" s="150" t="e">
        <f aca="false">_xlfn.xlookup(AN1185,A:A,S:S)</f>
        <v>#NAME?</v>
      </c>
      <c r="AT1185" s="150" t="e">
        <f aca="false">_xlfn.xlookup(AN1185,A:A,AE:AE)</f>
        <v>#NAME?</v>
      </c>
      <c r="AU1185" s="150" t="e">
        <f aca="false">_xlfn.xlookup(AN1185,A:A,AF:AF)</f>
        <v>#NAME?</v>
      </c>
      <c r="AX1185" s="146"/>
      <c r="AY1185" s="150"/>
      <c r="AZ1185" s="150"/>
      <c r="BA1185" s="150"/>
      <c r="BB1185" s="146"/>
      <c r="BC1185" s="146"/>
      <c r="BD1185" s="151"/>
      <c r="BE1185" s="146"/>
      <c r="BF1185" s="146"/>
      <c r="BH1185" s="152" t="e">
        <f aca="false">_xlfn.xlookup(BG1185,A:A,E:E)</f>
        <v>#NAME?</v>
      </c>
      <c r="BI1185" s="153" t="e">
        <f aca="false">_xlfn.xlookup(BG1185,A:A,J:J)</f>
        <v>#NAME?</v>
      </c>
      <c r="BJ1185" s="153" t="e">
        <f aca="false">_xlfn.xlookup(BG1185,A:A,N:N)+_xlfn.xlookup(BG1185,A:A,O:O)</f>
        <v>#NAME?</v>
      </c>
    </row>
    <row r="1186" s="153" customFormat="true" ht="15" hidden="false" customHeight="false" outlineLevel="0" collapsed="false">
      <c r="AN1186" s="153" t="e">
        <v>#NAME?</v>
      </c>
      <c r="AO1186" s="153" t="e">
        <f aca="false">_xlfn.xlookup(AN1186,A:A,F:F)</f>
        <v>#NAME?</v>
      </c>
      <c r="AP1186" s="153" t="e">
        <f aca="false">_xlfn.xlookup(AN1186,A:A,J:J)</f>
        <v>#NAME?</v>
      </c>
      <c r="AQ1186" s="153" t="e">
        <f aca="false">_xlfn.xlookup(AN1186,A:A,N:N)+_xlfn.xlookup(AN1186,A:A,O:O)</f>
        <v>#NAME?</v>
      </c>
      <c r="AR1186" s="150" t="e">
        <f aca="false">_xlfn.xlookup(AN1186,A:A,AH:AH)</f>
        <v>#NAME?</v>
      </c>
      <c r="AS1186" s="150" t="e">
        <f aca="false">_xlfn.xlookup(AN1186,A:A,S:S)</f>
        <v>#NAME?</v>
      </c>
      <c r="AT1186" s="150" t="e">
        <f aca="false">_xlfn.xlookup(AN1186,A:A,AE:AE)</f>
        <v>#NAME?</v>
      </c>
      <c r="AU1186" s="150" t="e">
        <f aca="false">_xlfn.xlookup(AN1186,A:A,AF:AF)</f>
        <v>#NAME?</v>
      </c>
      <c r="AX1186" s="146"/>
      <c r="AY1186" s="150"/>
      <c r="AZ1186" s="150"/>
      <c r="BA1186" s="150"/>
      <c r="BB1186" s="146"/>
      <c r="BC1186" s="146"/>
      <c r="BD1186" s="151"/>
      <c r="BE1186" s="146"/>
      <c r="BF1186" s="146"/>
      <c r="BH1186" s="152" t="e">
        <f aca="false">_xlfn.xlookup(BG1186,A:A,E:E)</f>
        <v>#NAME?</v>
      </c>
      <c r="BI1186" s="153" t="e">
        <f aca="false">_xlfn.xlookup(BG1186,A:A,J:J)</f>
        <v>#NAME?</v>
      </c>
      <c r="BJ1186" s="153" t="e">
        <f aca="false">_xlfn.xlookup(BG1186,A:A,N:N)+_xlfn.xlookup(BG1186,A:A,O:O)</f>
        <v>#NAME?</v>
      </c>
    </row>
    <row r="1187" s="153" customFormat="true" ht="15" hidden="false" customHeight="false" outlineLevel="0" collapsed="false">
      <c r="AN1187" s="153" t="e">
        <v>#NAME?</v>
      </c>
      <c r="AO1187" s="153" t="e">
        <f aca="false">_xlfn.xlookup(AN1187,A:A,F:F)</f>
        <v>#NAME?</v>
      </c>
      <c r="AP1187" s="153" t="e">
        <f aca="false">_xlfn.xlookup(AN1187,A:A,J:J)</f>
        <v>#NAME?</v>
      </c>
      <c r="AQ1187" s="153" t="e">
        <f aca="false">_xlfn.xlookup(AN1187,A:A,N:N)+_xlfn.xlookup(AN1187,A:A,O:O)</f>
        <v>#NAME?</v>
      </c>
      <c r="AR1187" s="150" t="e">
        <f aca="false">_xlfn.xlookup(AN1187,A:A,AH:AH)</f>
        <v>#NAME?</v>
      </c>
      <c r="AS1187" s="150" t="e">
        <f aca="false">_xlfn.xlookup(AN1187,A:A,S:S)</f>
        <v>#NAME?</v>
      </c>
      <c r="AT1187" s="150" t="e">
        <f aca="false">_xlfn.xlookup(AN1187,A:A,AE:AE)</f>
        <v>#NAME?</v>
      </c>
      <c r="AU1187" s="150" t="e">
        <f aca="false">_xlfn.xlookup(AN1187,A:A,AF:AF)</f>
        <v>#NAME?</v>
      </c>
      <c r="AX1187" s="146"/>
      <c r="AY1187" s="150"/>
      <c r="AZ1187" s="150"/>
      <c r="BA1187" s="150"/>
      <c r="BB1187" s="146"/>
      <c r="BC1187" s="146"/>
      <c r="BD1187" s="151"/>
      <c r="BE1187" s="146"/>
      <c r="BF1187" s="146"/>
      <c r="BH1187" s="152" t="e">
        <f aca="false">_xlfn.xlookup(BG1187,A:A,E:E)</f>
        <v>#NAME?</v>
      </c>
      <c r="BI1187" s="153" t="e">
        <f aca="false">_xlfn.xlookup(BG1187,A:A,J:J)</f>
        <v>#NAME?</v>
      </c>
      <c r="BJ1187" s="153" t="e">
        <f aca="false">_xlfn.xlookup(BG1187,A:A,N:N)+_xlfn.xlookup(BG1187,A:A,O:O)</f>
        <v>#NAME?</v>
      </c>
    </row>
    <row r="1188" s="153" customFormat="true" ht="15" hidden="false" customHeight="false" outlineLevel="0" collapsed="false">
      <c r="AN1188" s="153" t="e">
        <v>#NAME?</v>
      </c>
      <c r="AO1188" s="153" t="e">
        <f aca="false">_xlfn.xlookup(AN1188,A:A,F:F)</f>
        <v>#NAME?</v>
      </c>
      <c r="AP1188" s="153" t="e">
        <f aca="false">_xlfn.xlookup(AN1188,A:A,J:J)</f>
        <v>#NAME?</v>
      </c>
      <c r="AQ1188" s="153" t="e">
        <f aca="false">_xlfn.xlookup(AN1188,A:A,N:N)+_xlfn.xlookup(AN1188,A:A,O:O)</f>
        <v>#NAME?</v>
      </c>
      <c r="AR1188" s="150" t="e">
        <f aca="false">_xlfn.xlookup(AN1188,A:A,AH:AH)</f>
        <v>#NAME?</v>
      </c>
      <c r="AS1188" s="150" t="e">
        <f aca="false">_xlfn.xlookup(AN1188,A:A,S:S)</f>
        <v>#NAME?</v>
      </c>
      <c r="AT1188" s="150" t="e">
        <f aca="false">_xlfn.xlookup(AN1188,A:A,AE:AE)</f>
        <v>#NAME?</v>
      </c>
      <c r="AU1188" s="150" t="e">
        <f aca="false">_xlfn.xlookup(AN1188,A:A,AF:AF)</f>
        <v>#NAME?</v>
      </c>
      <c r="AX1188" s="146"/>
      <c r="AY1188" s="150"/>
      <c r="AZ1188" s="150"/>
      <c r="BA1188" s="150"/>
      <c r="BB1188" s="146"/>
      <c r="BC1188" s="146"/>
      <c r="BD1188" s="151"/>
      <c r="BE1188" s="146"/>
      <c r="BF1188" s="146"/>
      <c r="BH1188" s="152" t="e">
        <f aca="false">_xlfn.xlookup(BG1188,A:A,E:E)</f>
        <v>#NAME?</v>
      </c>
      <c r="BI1188" s="153" t="e">
        <f aca="false">_xlfn.xlookup(BG1188,A:A,J:J)</f>
        <v>#NAME?</v>
      </c>
      <c r="BJ1188" s="153" t="e">
        <f aca="false">_xlfn.xlookup(BG1188,A:A,N:N)+_xlfn.xlookup(BG1188,A:A,O:O)</f>
        <v>#NAME?</v>
      </c>
    </row>
    <row r="1189" s="153" customFormat="true" ht="15" hidden="false" customHeight="false" outlineLevel="0" collapsed="false">
      <c r="AN1189" s="153" t="e">
        <v>#NAME?</v>
      </c>
      <c r="AO1189" s="153" t="e">
        <f aca="false">_xlfn.xlookup(AN1189,A:A,F:F)</f>
        <v>#NAME?</v>
      </c>
      <c r="AP1189" s="153" t="e">
        <f aca="false">_xlfn.xlookup(AN1189,A:A,J:J)</f>
        <v>#NAME?</v>
      </c>
      <c r="AQ1189" s="153" t="e">
        <f aca="false">_xlfn.xlookup(AN1189,A:A,N:N)+_xlfn.xlookup(AN1189,A:A,O:O)</f>
        <v>#NAME?</v>
      </c>
      <c r="AR1189" s="150" t="e">
        <f aca="false">_xlfn.xlookup(AN1189,A:A,AH:AH)</f>
        <v>#NAME?</v>
      </c>
      <c r="AS1189" s="150" t="e">
        <f aca="false">_xlfn.xlookup(AN1189,A:A,S:S)</f>
        <v>#NAME?</v>
      </c>
      <c r="AT1189" s="150" t="e">
        <f aca="false">_xlfn.xlookup(AN1189,A:A,AE:AE)</f>
        <v>#NAME?</v>
      </c>
      <c r="AU1189" s="150" t="e">
        <f aca="false">_xlfn.xlookup(AN1189,A:A,AF:AF)</f>
        <v>#NAME?</v>
      </c>
      <c r="AX1189" s="146"/>
      <c r="AY1189" s="150"/>
      <c r="AZ1189" s="150"/>
      <c r="BA1189" s="150"/>
      <c r="BB1189" s="146"/>
      <c r="BC1189" s="146"/>
      <c r="BD1189" s="151"/>
      <c r="BE1189" s="146"/>
      <c r="BF1189" s="146"/>
      <c r="BH1189" s="152" t="e">
        <f aca="false">_xlfn.xlookup(BG1189,A:A,E:E)</f>
        <v>#NAME?</v>
      </c>
      <c r="BI1189" s="153" t="e">
        <f aca="false">_xlfn.xlookup(BG1189,A:A,J:J)</f>
        <v>#NAME?</v>
      </c>
      <c r="BJ1189" s="153" t="e">
        <f aca="false">_xlfn.xlookup(BG1189,A:A,N:N)+_xlfn.xlookup(BG1189,A:A,O:O)</f>
        <v>#NAME?</v>
      </c>
    </row>
    <row r="1190" s="153" customFormat="true" ht="15" hidden="false" customHeight="false" outlineLevel="0" collapsed="false">
      <c r="AN1190" s="153" t="e">
        <v>#NAME?</v>
      </c>
      <c r="AO1190" s="153" t="e">
        <f aca="false">_xlfn.xlookup(AN1190,A:A,F:F)</f>
        <v>#NAME?</v>
      </c>
      <c r="AP1190" s="153" t="e">
        <f aca="false">_xlfn.xlookup(AN1190,A:A,J:J)</f>
        <v>#NAME?</v>
      </c>
      <c r="AQ1190" s="153" t="e">
        <f aca="false">_xlfn.xlookup(AN1190,A:A,N:N)+_xlfn.xlookup(AN1190,A:A,O:O)</f>
        <v>#NAME?</v>
      </c>
      <c r="AR1190" s="150" t="e">
        <f aca="false">_xlfn.xlookup(AN1190,A:A,AH:AH)</f>
        <v>#NAME?</v>
      </c>
      <c r="AS1190" s="150" t="e">
        <f aca="false">_xlfn.xlookup(AN1190,A:A,S:S)</f>
        <v>#NAME?</v>
      </c>
      <c r="AT1190" s="150" t="e">
        <f aca="false">_xlfn.xlookup(AN1190,A:A,AE:AE)</f>
        <v>#NAME?</v>
      </c>
      <c r="AU1190" s="150" t="e">
        <f aca="false">_xlfn.xlookup(AN1190,A:A,AF:AF)</f>
        <v>#NAME?</v>
      </c>
      <c r="AX1190" s="146"/>
      <c r="AY1190" s="150"/>
      <c r="AZ1190" s="150"/>
      <c r="BA1190" s="150"/>
      <c r="BB1190" s="146"/>
      <c r="BC1190" s="146"/>
      <c r="BD1190" s="151"/>
      <c r="BE1190" s="146"/>
      <c r="BF1190" s="146"/>
      <c r="BH1190" s="152" t="e">
        <f aca="false">_xlfn.xlookup(BG1190,A:A,E:E)</f>
        <v>#NAME?</v>
      </c>
      <c r="BI1190" s="153" t="e">
        <f aca="false">_xlfn.xlookup(BG1190,A:A,J:J)</f>
        <v>#NAME?</v>
      </c>
      <c r="BJ1190" s="153" t="e">
        <f aca="false">_xlfn.xlookup(BG1190,A:A,N:N)+_xlfn.xlookup(BG1190,A:A,O:O)</f>
        <v>#NAME?</v>
      </c>
    </row>
    <row r="1191" s="153" customFormat="true" ht="15" hidden="false" customHeight="false" outlineLevel="0" collapsed="false">
      <c r="AN1191" s="153" t="e">
        <v>#NAME?</v>
      </c>
      <c r="AO1191" s="153" t="e">
        <f aca="false">_xlfn.xlookup(AN1191,A:A,F:F)</f>
        <v>#NAME?</v>
      </c>
      <c r="AP1191" s="153" t="e">
        <f aca="false">_xlfn.xlookup(AN1191,A:A,J:J)</f>
        <v>#NAME?</v>
      </c>
      <c r="AQ1191" s="153" t="e">
        <f aca="false">_xlfn.xlookup(AN1191,A:A,N:N)+_xlfn.xlookup(AN1191,A:A,O:O)</f>
        <v>#NAME?</v>
      </c>
      <c r="AR1191" s="150" t="e">
        <f aca="false">_xlfn.xlookup(AN1191,A:A,AH:AH)</f>
        <v>#NAME?</v>
      </c>
      <c r="AS1191" s="150" t="e">
        <f aca="false">_xlfn.xlookup(AN1191,A:A,S:S)</f>
        <v>#NAME?</v>
      </c>
      <c r="AT1191" s="150" t="e">
        <f aca="false">_xlfn.xlookup(AN1191,A:A,AE:AE)</f>
        <v>#NAME?</v>
      </c>
      <c r="AU1191" s="150" t="e">
        <f aca="false">_xlfn.xlookup(AN1191,A:A,AF:AF)</f>
        <v>#NAME?</v>
      </c>
      <c r="AX1191" s="146"/>
      <c r="AY1191" s="150"/>
      <c r="AZ1191" s="150"/>
      <c r="BA1191" s="150"/>
      <c r="BB1191" s="146"/>
      <c r="BC1191" s="146"/>
      <c r="BD1191" s="151"/>
      <c r="BE1191" s="146"/>
      <c r="BF1191" s="146"/>
      <c r="BH1191" s="152" t="e">
        <f aca="false">_xlfn.xlookup(BG1191,A:A,E:E)</f>
        <v>#NAME?</v>
      </c>
      <c r="BI1191" s="153" t="e">
        <f aca="false">_xlfn.xlookup(BG1191,A:A,J:J)</f>
        <v>#NAME?</v>
      </c>
      <c r="BJ1191" s="153" t="e">
        <f aca="false">_xlfn.xlookup(BG1191,A:A,N:N)+_xlfn.xlookup(BG1191,A:A,O:O)</f>
        <v>#NAME?</v>
      </c>
    </row>
    <row r="1192" s="153" customFormat="true" ht="15" hidden="false" customHeight="false" outlineLevel="0" collapsed="false">
      <c r="AN1192" s="153" t="e">
        <v>#NAME?</v>
      </c>
      <c r="AO1192" s="153" t="e">
        <f aca="false">_xlfn.xlookup(AN1192,A:A,F:F)</f>
        <v>#NAME?</v>
      </c>
      <c r="AP1192" s="153" t="e">
        <f aca="false">_xlfn.xlookup(AN1192,A:A,J:J)</f>
        <v>#NAME?</v>
      </c>
      <c r="AQ1192" s="153" t="e">
        <f aca="false">_xlfn.xlookup(AN1192,A:A,N:N)+_xlfn.xlookup(AN1192,A:A,O:O)</f>
        <v>#NAME?</v>
      </c>
      <c r="AR1192" s="150" t="e">
        <f aca="false">_xlfn.xlookup(AN1192,A:A,AH:AH)</f>
        <v>#NAME?</v>
      </c>
      <c r="AS1192" s="150" t="e">
        <f aca="false">_xlfn.xlookup(AN1192,A:A,S:S)</f>
        <v>#NAME?</v>
      </c>
      <c r="AT1192" s="150" t="e">
        <f aca="false">_xlfn.xlookup(AN1192,A:A,AE:AE)</f>
        <v>#NAME?</v>
      </c>
      <c r="AU1192" s="150" t="e">
        <f aca="false">_xlfn.xlookup(AN1192,A:A,AF:AF)</f>
        <v>#NAME?</v>
      </c>
      <c r="AX1192" s="146"/>
      <c r="AY1192" s="150"/>
      <c r="AZ1192" s="150"/>
      <c r="BA1192" s="150"/>
      <c r="BB1192" s="146"/>
      <c r="BC1192" s="146"/>
      <c r="BD1192" s="151"/>
      <c r="BE1192" s="146"/>
      <c r="BF1192" s="146"/>
      <c r="BH1192" s="152" t="e">
        <f aca="false">_xlfn.xlookup(BG1192,A:A,E:E)</f>
        <v>#NAME?</v>
      </c>
      <c r="BI1192" s="153" t="e">
        <f aca="false">_xlfn.xlookup(BG1192,A:A,J:J)</f>
        <v>#NAME?</v>
      </c>
      <c r="BJ1192" s="153" t="e">
        <f aca="false">_xlfn.xlookup(BG1192,A:A,N:N)+_xlfn.xlookup(BG1192,A:A,O:O)</f>
        <v>#NAME?</v>
      </c>
    </row>
    <row r="1193" s="153" customFormat="true" ht="15" hidden="false" customHeight="false" outlineLevel="0" collapsed="false">
      <c r="AN1193" s="153" t="e">
        <v>#NAME?</v>
      </c>
      <c r="AO1193" s="153" t="e">
        <f aca="false">_xlfn.xlookup(AN1193,A:A,F:F)</f>
        <v>#NAME?</v>
      </c>
      <c r="AP1193" s="153" t="e">
        <f aca="false">_xlfn.xlookup(AN1193,A:A,J:J)</f>
        <v>#NAME?</v>
      </c>
      <c r="AQ1193" s="153" t="e">
        <f aca="false">_xlfn.xlookup(AN1193,A:A,N:N)+_xlfn.xlookup(AN1193,A:A,O:O)</f>
        <v>#NAME?</v>
      </c>
      <c r="AR1193" s="150" t="e">
        <f aca="false">_xlfn.xlookup(AN1193,A:A,AH:AH)</f>
        <v>#NAME?</v>
      </c>
      <c r="AS1193" s="150" t="e">
        <f aca="false">_xlfn.xlookup(AN1193,A:A,S:S)</f>
        <v>#NAME?</v>
      </c>
      <c r="AT1193" s="150" t="e">
        <f aca="false">_xlfn.xlookup(AN1193,A:A,AE:AE)</f>
        <v>#NAME?</v>
      </c>
      <c r="AU1193" s="150" t="e">
        <f aca="false">_xlfn.xlookup(AN1193,A:A,AF:AF)</f>
        <v>#NAME?</v>
      </c>
      <c r="AX1193" s="146"/>
      <c r="AY1193" s="150"/>
      <c r="AZ1193" s="150"/>
      <c r="BA1193" s="150"/>
      <c r="BB1193" s="146"/>
      <c r="BC1193" s="146"/>
      <c r="BD1193" s="151"/>
      <c r="BE1193" s="146"/>
      <c r="BF1193" s="146"/>
      <c r="BH1193" s="152" t="e">
        <f aca="false">_xlfn.xlookup(BG1193,A:A,E:E)</f>
        <v>#NAME?</v>
      </c>
      <c r="BI1193" s="153" t="e">
        <f aca="false">_xlfn.xlookup(BG1193,A:A,J:J)</f>
        <v>#NAME?</v>
      </c>
      <c r="BJ1193" s="153" t="e">
        <f aca="false">_xlfn.xlookup(BG1193,A:A,N:N)+_xlfn.xlookup(BG1193,A:A,O:O)</f>
        <v>#NAME?</v>
      </c>
    </row>
    <row r="1194" s="153" customFormat="true" ht="15" hidden="false" customHeight="false" outlineLevel="0" collapsed="false">
      <c r="AN1194" s="153" t="e">
        <v>#NAME?</v>
      </c>
      <c r="AO1194" s="153" t="e">
        <f aca="false">_xlfn.xlookup(AN1194,A:A,F:F)</f>
        <v>#NAME?</v>
      </c>
      <c r="AP1194" s="153" t="e">
        <f aca="false">_xlfn.xlookup(AN1194,A:A,J:J)</f>
        <v>#NAME?</v>
      </c>
      <c r="AQ1194" s="153" t="e">
        <f aca="false">_xlfn.xlookup(AN1194,A:A,N:N)+_xlfn.xlookup(AN1194,A:A,O:O)</f>
        <v>#NAME?</v>
      </c>
      <c r="AR1194" s="150" t="e">
        <f aca="false">_xlfn.xlookup(AN1194,A:A,AH:AH)</f>
        <v>#NAME?</v>
      </c>
      <c r="AS1194" s="150" t="e">
        <f aca="false">_xlfn.xlookup(AN1194,A:A,S:S)</f>
        <v>#NAME?</v>
      </c>
      <c r="AT1194" s="150" t="e">
        <f aca="false">_xlfn.xlookup(AN1194,A:A,AE:AE)</f>
        <v>#NAME?</v>
      </c>
      <c r="AU1194" s="150" t="e">
        <f aca="false">_xlfn.xlookup(AN1194,A:A,AF:AF)</f>
        <v>#NAME?</v>
      </c>
      <c r="AX1194" s="146"/>
      <c r="AY1194" s="150"/>
      <c r="AZ1194" s="150"/>
      <c r="BA1194" s="150"/>
      <c r="BB1194" s="146"/>
      <c r="BC1194" s="146"/>
      <c r="BD1194" s="151"/>
      <c r="BE1194" s="146"/>
      <c r="BF1194" s="146"/>
      <c r="BH1194" s="152" t="e">
        <f aca="false">_xlfn.xlookup(BG1194,A:A,E:E)</f>
        <v>#NAME?</v>
      </c>
      <c r="BI1194" s="153" t="e">
        <f aca="false">_xlfn.xlookup(BG1194,A:A,J:J)</f>
        <v>#NAME?</v>
      </c>
      <c r="BJ1194" s="153" t="e">
        <f aca="false">_xlfn.xlookup(BG1194,A:A,N:N)+_xlfn.xlookup(BG1194,A:A,O:O)</f>
        <v>#NAME?</v>
      </c>
    </row>
    <row r="1195" s="153" customFormat="true" ht="15" hidden="false" customHeight="false" outlineLevel="0" collapsed="false">
      <c r="AN1195" s="153" t="e">
        <v>#NAME?</v>
      </c>
      <c r="AO1195" s="153" t="e">
        <f aca="false">_xlfn.xlookup(AN1195,A:A,F:F)</f>
        <v>#NAME?</v>
      </c>
      <c r="AP1195" s="153" t="e">
        <f aca="false">_xlfn.xlookup(AN1195,A:A,J:J)</f>
        <v>#NAME?</v>
      </c>
      <c r="AQ1195" s="153" t="e">
        <f aca="false">_xlfn.xlookup(AN1195,A:A,N:N)+_xlfn.xlookup(AN1195,A:A,O:O)</f>
        <v>#NAME?</v>
      </c>
      <c r="AR1195" s="150" t="e">
        <f aca="false">_xlfn.xlookup(AN1195,A:A,AH:AH)</f>
        <v>#NAME?</v>
      </c>
      <c r="AS1195" s="150" t="e">
        <f aca="false">_xlfn.xlookup(AN1195,A:A,S:S)</f>
        <v>#NAME?</v>
      </c>
      <c r="AT1195" s="150" t="e">
        <f aca="false">_xlfn.xlookup(AN1195,A:A,AE:AE)</f>
        <v>#NAME?</v>
      </c>
      <c r="AU1195" s="150" t="e">
        <f aca="false">_xlfn.xlookup(AN1195,A:A,AF:AF)</f>
        <v>#NAME?</v>
      </c>
      <c r="AX1195" s="146"/>
      <c r="AY1195" s="150"/>
      <c r="AZ1195" s="150"/>
      <c r="BA1195" s="150"/>
      <c r="BB1195" s="146"/>
      <c r="BC1195" s="146"/>
      <c r="BD1195" s="151"/>
      <c r="BE1195" s="146"/>
      <c r="BF1195" s="146"/>
      <c r="BH1195" s="152" t="e">
        <f aca="false">_xlfn.xlookup(BG1195,A:A,E:E)</f>
        <v>#NAME?</v>
      </c>
      <c r="BI1195" s="153" t="e">
        <f aca="false">_xlfn.xlookup(BG1195,A:A,J:J)</f>
        <v>#NAME?</v>
      </c>
      <c r="BJ1195" s="153" t="e">
        <f aca="false">_xlfn.xlookup(BG1195,A:A,N:N)+_xlfn.xlookup(BG1195,A:A,O:O)</f>
        <v>#NAME?</v>
      </c>
    </row>
    <row r="1196" s="153" customFormat="true" ht="15" hidden="false" customHeight="false" outlineLevel="0" collapsed="false">
      <c r="AN1196" s="153" t="e">
        <v>#NAME?</v>
      </c>
      <c r="AO1196" s="153" t="e">
        <f aca="false">_xlfn.xlookup(AN1196,A:A,F:F)</f>
        <v>#NAME?</v>
      </c>
      <c r="AP1196" s="153" t="e">
        <f aca="false">_xlfn.xlookup(AN1196,A:A,J:J)</f>
        <v>#NAME?</v>
      </c>
      <c r="AQ1196" s="153" t="e">
        <f aca="false">_xlfn.xlookup(AN1196,A:A,N:N)+_xlfn.xlookup(AN1196,A:A,O:O)</f>
        <v>#NAME?</v>
      </c>
      <c r="AR1196" s="150" t="e">
        <f aca="false">_xlfn.xlookup(AN1196,A:A,AH:AH)</f>
        <v>#NAME?</v>
      </c>
      <c r="AS1196" s="150" t="e">
        <f aca="false">_xlfn.xlookup(AN1196,A:A,S:S)</f>
        <v>#NAME?</v>
      </c>
      <c r="AT1196" s="150" t="e">
        <f aca="false">_xlfn.xlookup(AN1196,A:A,AE:AE)</f>
        <v>#NAME?</v>
      </c>
      <c r="AU1196" s="150" t="e">
        <f aca="false">_xlfn.xlookup(AN1196,A:A,AF:AF)</f>
        <v>#NAME?</v>
      </c>
      <c r="AX1196" s="146"/>
      <c r="AY1196" s="150"/>
      <c r="AZ1196" s="150"/>
      <c r="BA1196" s="150"/>
      <c r="BB1196" s="146"/>
      <c r="BC1196" s="146"/>
      <c r="BD1196" s="151"/>
      <c r="BE1196" s="146"/>
      <c r="BF1196" s="146"/>
      <c r="BH1196" s="152" t="e">
        <f aca="false">_xlfn.xlookup(BG1196,A:A,E:E)</f>
        <v>#NAME?</v>
      </c>
      <c r="BI1196" s="153" t="e">
        <f aca="false">_xlfn.xlookup(BG1196,A:A,J:J)</f>
        <v>#NAME?</v>
      </c>
      <c r="BJ1196" s="153" t="e">
        <f aca="false">_xlfn.xlookup(BG1196,A:A,N:N)+_xlfn.xlookup(BG1196,A:A,O:O)</f>
        <v>#NAME?</v>
      </c>
    </row>
    <row r="1197" s="153" customFormat="true" ht="15" hidden="false" customHeight="false" outlineLevel="0" collapsed="false">
      <c r="AN1197" s="153" t="e">
        <v>#NAME?</v>
      </c>
      <c r="AO1197" s="153" t="e">
        <f aca="false">_xlfn.xlookup(AN1197,A:A,F:F)</f>
        <v>#NAME?</v>
      </c>
      <c r="AP1197" s="153" t="e">
        <f aca="false">_xlfn.xlookup(AN1197,A:A,J:J)</f>
        <v>#NAME?</v>
      </c>
      <c r="AQ1197" s="153" t="e">
        <f aca="false">_xlfn.xlookup(AN1197,A:A,N:N)+_xlfn.xlookup(AN1197,A:A,O:O)</f>
        <v>#NAME?</v>
      </c>
      <c r="AR1197" s="150" t="e">
        <f aca="false">_xlfn.xlookup(AN1197,A:A,AH:AH)</f>
        <v>#NAME?</v>
      </c>
      <c r="AS1197" s="150" t="e">
        <f aca="false">_xlfn.xlookup(AN1197,A:A,S:S)</f>
        <v>#NAME?</v>
      </c>
      <c r="AT1197" s="150" t="e">
        <f aca="false">_xlfn.xlookup(AN1197,A:A,AE:AE)</f>
        <v>#NAME?</v>
      </c>
      <c r="AU1197" s="150" t="e">
        <f aca="false">_xlfn.xlookup(AN1197,A:A,AF:AF)</f>
        <v>#NAME?</v>
      </c>
      <c r="AX1197" s="146"/>
      <c r="AY1197" s="150"/>
      <c r="AZ1197" s="150"/>
      <c r="BA1197" s="150"/>
      <c r="BB1197" s="146"/>
      <c r="BC1197" s="146"/>
      <c r="BD1197" s="151"/>
      <c r="BE1197" s="146"/>
      <c r="BF1197" s="146"/>
      <c r="BH1197" s="152" t="e">
        <f aca="false">_xlfn.xlookup(BG1197,A:A,E:E)</f>
        <v>#NAME?</v>
      </c>
      <c r="BI1197" s="153" t="e">
        <f aca="false">_xlfn.xlookup(BG1197,A:A,J:J)</f>
        <v>#NAME?</v>
      </c>
      <c r="BJ1197" s="153" t="e">
        <f aca="false">_xlfn.xlookup(BG1197,A:A,N:N)+_xlfn.xlookup(BG1197,A:A,O:O)</f>
        <v>#NAME?</v>
      </c>
    </row>
    <row r="1198" s="153" customFormat="true" ht="15" hidden="false" customHeight="false" outlineLevel="0" collapsed="false">
      <c r="AN1198" s="153" t="e">
        <v>#NAME?</v>
      </c>
      <c r="AO1198" s="153" t="e">
        <f aca="false">_xlfn.xlookup(AN1198,A:A,F:F)</f>
        <v>#NAME?</v>
      </c>
      <c r="AP1198" s="153" t="e">
        <f aca="false">_xlfn.xlookup(AN1198,A:A,J:J)</f>
        <v>#NAME?</v>
      </c>
      <c r="AQ1198" s="153" t="e">
        <f aca="false">_xlfn.xlookup(AN1198,A:A,N:N)+_xlfn.xlookup(AN1198,A:A,O:O)</f>
        <v>#NAME?</v>
      </c>
      <c r="AR1198" s="150" t="e">
        <f aca="false">_xlfn.xlookup(AN1198,A:A,AH:AH)</f>
        <v>#NAME?</v>
      </c>
      <c r="AS1198" s="150" t="e">
        <f aca="false">_xlfn.xlookup(AN1198,A:A,S:S)</f>
        <v>#NAME?</v>
      </c>
      <c r="AT1198" s="150" t="e">
        <f aca="false">_xlfn.xlookup(AN1198,A:A,AE:AE)</f>
        <v>#NAME?</v>
      </c>
      <c r="AU1198" s="150" t="e">
        <f aca="false">_xlfn.xlookup(AN1198,A:A,AF:AF)</f>
        <v>#NAME?</v>
      </c>
      <c r="AX1198" s="146"/>
      <c r="AY1198" s="150"/>
      <c r="AZ1198" s="150"/>
      <c r="BA1198" s="150"/>
      <c r="BB1198" s="146"/>
      <c r="BC1198" s="146"/>
      <c r="BD1198" s="151"/>
      <c r="BE1198" s="146"/>
      <c r="BF1198" s="146"/>
      <c r="BH1198" s="152" t="e">
        <f aca="false">_xlfn.xlookup(BG1198,A:A,E:E)</f>
        <v>#NAME?</v>
      </c>
      <c r="BI1198" s="153" t="e">
        <f aca="false">_xlfn.xlookup(BG1198,A:A,J:J)</f>
        <v>#NAME?</v>
      </c>
      <c r="BJ1198" s="153" t="e">
        <f aca="false">_xlfn.xlookup(BG1198,A:A,N:N)+_xlfn.xlookup(BG1198,A:A,O:O)</f>
        <v>#NAME?</v>
      </c>
    </row>
    <row r="1199" s="153" customFormat="true" ht="15" hidden="false" customHeight="false" outlineLevel="0" collapsed="false">
      <c r="AN1199" s="153" t="e">
        <v>#NAME?</v>
      </c>
      <c r="AO1199" s="153" t="e">
        <f aca="false">_xlfn.xlookup(AN1199,A:A,F:F)</f>
        <v>#NAME?</v>
      </c>
      <c r="AP1199" s="153" t="e">
        <f aca="false">_xlfn.xlookup(AN1199,A:A,J:J)</f>
        <v>#NAME?</v>
      </c>
      <c r="AQ1199" s="153" t="e">
        <f aca="false">_xlfn.xlookup(AN1199,A:A,N:N)+_xlfn.xlookup(AN1199,A:A,O:O)</f>
        <v>#NAME?</v>
      </c>
      <c r="AR1199" s="150" t="e">
        <f aca="false">_xlfn.xlookup(AN1199,A:A,AH:AH)</f>
        <v>#NAME?</v>
      </c>
      <c r="AS1199" s="150" t="e">
        <f aca="false">_xlfn.xlookup(AN1199,A:A,S:S)</f>
        <v>#NAME?</v>
      </c>
      <c r="AT1199" s="150" t="e">
        <f aca="false">_xlfn.xlookup(AN1199,A:A,AE:AE)</f>
        <v>#NAME?</v>
      </c>
      <c r="AU1199" s="150" t="e">
        <f aca="false">_xlfn.xlookup(AN1199,A:A,AF:AF)</f>
        <v>#NAME?</v>
      </c>
      <c r="AX1199" s="146"/>
      <c r="AY1199" s="150"/>
      <c r="AZ1199" s="150"/>
      <c r="BA1199" s="150"/>
      <c r="BB1199" s="146"/>
      <c r="BC1199" s="146"/>
      <c r="BD1199" s="151"/>
      <c r="BE1199" s="146"/>
      <c r="BF1199" s="146"/>
      <c r="BH1199" s="152" t="e">
        <f aca="false">_xlfn.xlookup(BG1199,A:A,E:E)</f>
        <v>#NAME?</v>
      </c>
      <c r="BI1199" s="153" t="e">
        <f aca="false">_xlfn.xlookup(BG1199,A:A,J:J)</f>
        <v>#NAME?</v>
      </c>
      <c r="BJ1199" s="153" t="e">
        <f aca="false">_xlfn.xlookup(BG1199,A:A,N:N)+_xlfn.xlookup(BG1199,A:A,O:O)</f>
        <v>#NAME?</v>
      </c>
    </row>
    <row r="1200" s="153" customFormat="true" ht="15" hidden="false" customHeight="false" outlineLevel="0" collapsed="false">
      <c r="AN1200" s="153" t="e">
        <v>#NAME?</v>
      </c>
      <c r="AO1200" s="153" t="e">
        <f aca="false">_xlfn.xlookup(AN1200,A:A,F:F)</f>
        <v>#NAME?</v>
      </c>
      <c r="AP1200" s="153" t="e">
        <f aca="false">_xlfn.xlookup(AN1200,A:A,J:J)</f>
        <v>#NAME?</v>
      </c>
      <c r="AQ1200" s="153" t="e">
        <f aca="false">_xlfn.xlookup(AN1200,A:A,N:N)+_xlfn.xlookup(AN1200,A:A,O:O)</f>
        <v>#NAME?</v>
      </c>
      <c r="AR1200" s="150" t="e">
        <f aca="false">_xlfn.xlookup(AN1200,A:A,AH:AH)</f>
        <v>#NAME?</v>
      </c>
      <c r="AS1200" s="150" t="e">
        <f aca="false">_xlfn.xlookup(AN1200,A:A,S:S)</f>
        <v>#NAME?</v>
      </c>
      <c r="AT1200" s="150" t="e">
        <f aca="false">_xlfn.xlookup(AN1200,A:A,AE:AE)</f>
        <v>#NAME?</v>
      </c>
      <c r="AU1200" s="150" t="e">
        <f aca="false">_xlfn.xlookup(AN1200,A:A,AF:AF)</f>
        <v>#NAME?</v>
      </c>
      <c r="AX1200" s="146"/>
      <c r="AY1200" s="150"/>
      <c r="AZ1200" s="150"/>
      <c r="BA1200" s="150"/>
      <c r="BB1200" s="146"/>
      <c r="BC1200" s="146"/>
      <c r="BD1200" s="151"/>
      <c r="BE1200" s="146"/>
      <c r="BF1200" s="146"/>
      <c r="BH1200" s="152" t="e">
        <f aca="false">_xlfn.xlookup(BG1200,A:A,E:E)</f>
        <v>#NAME?</v>
      </c>
      <c r="BI1200" s="153" t="e">
        <f aca="false">_xlfn.xlookup(BG1200,A:A,J:J)</f>
        <v>#NAME?</v>
      </c>
      <c r="BJ1200" s="153" t="e">
        <f aca="false">_xlfn.xlookup(BG1200,A:A,N:N)+_xlfn.xlookup(BG1200,A:A,O:O)</f>
        <v>#NAME?</v>
      </c>
    </row>
    <row r="1201" s="153" customFormat="true" ht="15" hidden="false" customHeight="false" outlineLevel="0" collapsed="false">
      <c r="AN1201" s="153" t="e">
        <v>#NAME?</v>
      </c>
      <c r="AO1201" s="153" t="e">
        <f aca="false">_xlfn.xlookup(AN1201,A:A,F:F)</f>
        <v>#NAME?</v>
      </c>
      <c r="AP1201" s="153" t="e">
        <f aca="false">_xlfn.xlookup(AN1201,A:A,J:J)</f>
        <v>#NAME?</v>
      </c>
      <c r="AQ1201" s="153" t="e">
        <f aca="false">_xlfn.xlookup(AN1201,A:A,N:N)+_xlfn.xlookup(AN1201,A:A,O:O)</f>
        <v>#NAME?</v>
      </c>
      <c r="AR1201" s="150" t="e">
        <f aca="false">_xlfn.xlookup(AN1201,A:A,AH:AH)</f>
        <v>#NAME?</v>
      </c>
      <c r="AS1201" s="150" t="e">
        <f aca="false">_xlfn.xlookup(AN1201,A:A,S:S)</f>
        <v>#NAME?</v>
      </c>
      <c r="AT1201" s="150" t="e">
        <f aca="false">_xlfn.xlookup(AN1201,A:A,AE:AE)</f>
        <v>#NAME?</v>
      </c>
      <c r="AU1201" s="150" t="e">
        <f aca="false">_xlfn.xlookup(AN1201,A:A,AF:AF)</f>
        <v>#NAME?</v>
      </c>
      <c r="AX1201" s="146"/>
      <c r="AY1201" s="150"/>
      <c r="AZ1201" s="150"/>
      <c r="BA1201" s="150"/>
      <c r="BB1201" s="146"/>
      <c r="BC1201" s="146"/>
      <c r="BD1201" s="151"/>
      <c r="BE1201" s="146"/>
      <c r="BF1201" s="146"/>
      <c r="BH1201" s="152" t="e">
        <f aca="false">_xlfn.xlookup(BG1201,A:A,E:E)</f>
        <v>#NAME?</v>
      </c>
      <c r="BI1201" s="153" t="e">
        <f aca="false">_xlfn.xlookup(BG1201,A:A,J:J)</f>
        <v>#NAME?</v>
      </c>
      <c r="BJ1201" s="153" t="e">
        <f aca="false">_xlfn.xlookup(BG1201,A:A,N:N)+_xlfn.xlookup(BG1201,A:A,O:O)</f>
        <v>#NAME?</v>
      </c>
    </row>
    <row r="1202" s="153" customFormat="true" ht="15" hidden="false" customHeight="false" outlineLevel="0" collapsed="false">
      <c r="AN1202" s="153" t="e">
        <v>#NAME?</v>
      </c>
      <c r="AO1202" s="153" t="e">
        <f aca="false">_xlfn.xlookup(AN1202,A:A,F:F)</f>
        <v>#NAME?</v>
      </c>
      <c r="AP1202" s="153" t="e">
        <f aca="false">_xlfn.xlookup(AN1202,A:A,J:J)</f>
        <v>#NAME?</v>
      </c>
      <c r="AQ1202" s="153" t="e">
        <f aca="false">_xlfn.xlookup(AN1202,A:A,N:N)+_xlfn.xlookup(AN1202,A:A,O:O)</f>
        <v>#NAME?</v>
      </c>
      <c r="AR1202" s="150" t="e">
        <f aca="false">_xlfn.xlookup(AN1202,A:A,AH:AH)</f>
        <v>#NAME?</v>
      </c>
      <c r="AS1202" s="150" t="e">
        <f aca="false">_xlfn.xlookup(AN1202,A:A,S:S)</f>
        <v>#NAME?</v>
      </c>
      <c r="AT1202" s="150" t="e">
        <f aca="false">_xlfn.xlookup(AN1202,A:A,AE:AE)</f>
        <v>#NAME?</v>
      </c>
      <c r="AU1202" s="150" t="e">
        <f aca="false">_xlfn.xlookup(AN1202,A:A,AF:AF)</f>
        <v>#NAME?</v>
      </c>
      <c r="AX1202" s="146"/>
      <c r="AY1202" s="150"/>
      <c r="AZ1202" s="150"/>
      <c r="BA1202" s="150"/>
      <c r="BB1202" s="146"/>
      <c r="BC1202" s="146"/>
      <c r="BD1202" s="151"/>
      <c r="BE1202" s="146"/>
      <c r="BF1202" s="146"/>
      <c r="BH1202" s="152" t="e">
        <f aca="false">_xlfn.xlookup(BG1202,A:A,E:E)</f>
        <v>#NAME?</v>
      </c>
      <c r="BI1202" s="153" t="e">
        <f aca="false">_xlfn.xlookup(BG1202,A:A,J:J)</f>
        <v>#NAME?</v>
      </c>
      <c r="BJ1202" s="153" t="e">
        <f aca="false">_xlfn.xlookup(BG1202,A:A,N:N)+_xlfn.xlookup(BG1202,A:A,O:O)</f>
        <v>#NAME?</v>
      </c>
    </row>
    <row r="1203" s="153" customFormat="true" ht="15" hidden="false" customHeight="false" outlineLevel="0" collapsed="false">
      <c r="AN1203" s="153" t="e">
        <v>#NAME?</v>
      </c>
      <c r="AO1203" s="153" t="e">
        <f aca="false">_xlfn.xlookup(AN1203,A:A,F:F)</f>
        <v>#NAME?</v>
      </c>
      <c r="AP1203" s="153" t="e">
        <f aca="false">_xlfn.xlookup(AN1203,A:A,J:J)</f>
        <v>#NAME?</v>
      </c>
      <c r="AQ1203" s="153" t="e">
        <f aca="false">_xlfn.xlookup(AN1203,A:A,N:N)+_xlfn.xlookup(AN1203,A:A,O:O)</f>
        <v>#NAME?</v>
      </c>
      <c r="AR1203" s="150" t="e">
        <f aca="false">_xlfn.xlookup(AN1203,A:A,AH:AH)</f>
        <v>#NAME?</v>
      </c>
      <c r="AS1203" s="150" t="e">
        <f aca="false">_xlfn.xlookup(AN1203,A:A,S:S)</f>
        <v>#NAME?</v>
      </c>
      <c r="AT1203" s="150" t="e">
        <f aca="false">_xlfn.xlookup(AN1203,A:A,AE:AE)</f>
        <v>#NAME?</v>
      </c>
      <c r="AU1203" s="150" t="e">
        <f aca="false">_xlfn.xlookup(AN1203,A:A,AF:AF)</f>
        <v>#NAME?</v>
      </c>
      <c r="AX1203" s="146"/>
      <c r="AY1203" s="150"/>
      <c r="AZ1203" s="150"/>
      <c r="BA1203" s="150"/>
      <c r="BB1203" s="146"/>
      <c r="BC1203" s="146"/>
      <c r="BD1203" s="151"/>
      <c r="BE1203" s="146"/>
      <c r="BF1203" s="146"/>
      <c r="BH1203" s="152" t="e">
        <f aca="false">_xlfn.xlookup(BG1203,A:A,E:E)</f>
        <v>#NAME?</v>
      </c>
      <c r="BI1203" s="153" t="e">
        <f aca="false">_xlfn.xlookup(BG1203,A:A,J:J)</f>
        <v>#NAME?</v>
      </c>
      <c r="BJ1203" s="153" t="e">
        <f aca="false">_xlfn.xlookup(BG1203,A:A,N:N)+_xlfn.xlookup(BG1203,A:A,O:O)</f>
        <v>#NAME?</v>
      </c>
    </row>
    <row r="1204" s="153" customFormat="true" ht="15" hidden="false" customHeight="false" outlineLevel="0" collapsed="false">
      <c r="AN1204" s="153" t="e">
        <v>#NAME?</v>
      </c>
      <c r="AO1204" s="153" t="e">
        <f aca="false">_xlfn.xlookup(AN1204,A:A,F:F)</f>
        <v>#NAME?</v>
      </c>
      <c r="AP1204" s="153" t="e">
        <f aca="false">_xlfn.xlookup(AN1204,A:A,J:J)</f>
        <v>#NAME?</v>
      </c>
      <c r="AQ1204" s="153" t="e">
        <f aca="false">_xlfn.xlookup(AN1204,A:A,N:N)+_xlfn.xlookup(AN1204,A:A,O:O)</f>
        <v>#NAME?</v>
      </c>
      <c r="AR1204" s="150" t="e">
        <f aca="false">_xlfn.xlookup(AN1204,A:A,AH:AH)</f>
        <v>#NAME?</v>
      </c>
      <c r="AS1204" s="150" t="e">
        <f aca="false">_xlfn.xlookup(AN1204,A:A,S:S)</f>
        <v>#NAME?</v>
      </c>
      <c r="AT1204" s="150" t="e">
        <f aca="false">_xlfn.xlookup(AN1204,A:A,AE:AE)</f>
        <v>#NAME?</v>
      </c>
      <c r="AU1204" s="150" t="e">
        <f aca="false">_xlfn.xlookup(AN1204,A:A,AF:AF)</f>
        <v>#NAME?</v>
      </c>
      <c r="AX1204" s="146"/>
      <c r="AY1204" s="150"/>
      <c r="AZ1204" s="150"/>
      <c r="BA1204" s="150"/>
      <c r="BB1204" s="146"/>
      <c r="BC1204" s="146"/>
      <c r="BD1204" s="151"/>
      <c r="BE1204" s="146"/>
      <c r="BF1204" s="146"/>
      <c r="BH1204" s="152" t="e">
        <f aca="false">_xlfn.xlookup(BG1204,A:A,E:E)</f>
        <v>#NAME?</v>
      </c>
      <c r="BI1204" s="153" t="e">
        <f aca="false">_xlfn.xlookup(BG1204,A:A,J:J)</f>
        <v>#NAME?</v>
      </c>
      <c r="BJ1204" s="153" t="e">
        <f aca="false">_xlfn.xlookup(BG1204,A:A,N:N)+_xlfn.xlookup(BG1204,A:A,O:O)</f>
        <v>#NAME?</v>
      </c>
    </row>
    <row r="1205" s="153" customFormat="true" ht="15" hidden="false" customHeight="false" outlineLevel="0" collapsed="false">
      <c r="AN1205" s="153" t="e">
        <v>#NAME?</v>
      </c>
      <c r="AO1205" s="153" t="e">
        <f aca="false">_xlfn.xlookup(AN1205,A:A,F:F)</f>
        <v>#NAME?</v>
      </c>
      <c r="AP1205" s="153" t="e">
        <f aca="false">_xlfn.xlookup(AN1205,A:A,J:J)</f>
        <v>#NAME?</v>
      </c>
      <c r="AQ1205" s="153" t="e">
        <f aca="false">_xlfn.xlookup(AN1205,A:A,N:N)+_xlfn.xlookup(AN1205,A:A,O:O)</f>
        <v>#NAME?</v>
      </c>
      <c r="AR1205" s="150" t="e">
        <f aca="false">_xlfn.xlookup(AN1205,A:A,AH:AH)</f>
        <v>#NAME?</v>
      </c>
      <c r="AS1205" s="150" t="e">
        <f aca="false">_xlfn.xlookup(AN1205,A:A,S:S)</f>
        <v>#NAME?</v>
      </c>
      <c r="AT1205" s="150" t="e">
        <f aca="false">_xlfn.xlookup(AN1205,A:A,AE:AE)</f>
        <v>#NAME?</v>
      </c>
      <c r="AU1205" s="150" t="e">
        <f aca="false">_xlfn.xlookup(AN1205,A:A,AF:AF)</f>
        <v>#NAME?</v>
      </c>
      <c r="AX1205" s="146"/>
      <c r="AY1205" s="150"/>
      <c r="AZ1205" s="150"/>
      <c r="BA1205" s="150"/>
      <c r="BB1205" s="146"/>
      <c r="BC1205" s="146"/>
      <c r="BD1205" s="151"/>
      <c r="BE1205" s="146"/>
      <c r="BF1205" s="146"/>
      <c r="BH1205" s="152" t="e">
        <f aca="false">_xlfn.xlookup(BG1205,A:A,E:E)</f>
        <v>#NAME?</v>
      </c>
      <c r="BI1205" s="153" t="e">
        <f aca="false">_xlfn.xlookup(BG1205,A:A,J:J)</f>
        <v>#NAME?</v>
      </c>
      <c r="BJ1205" s="153" t="e">
        <f aca="false">_xlfn.xlookup(BG1205,A:A,N:N)+_xlfn.xlookup(BG1205,A:A,O:O)</f>
        <v>#NAME?</v>
      </c>
    </row>
    <row r="1206" s="153" customFormat="true" ht="15" hidden="false" customHeight="false" outlineLevel="0" collapsed="false">
      <c r="AN1206" s="153" t="e">
        <v>#NAME?</v>
      </c>
      <c r="AO1206" s="153" t="e">
        <f aca="false">_xlfn.xlookup(AN1206,A:A,F:F)</f>
        <v>#NAME?</v>
      </c>
      <c r="AP1206" s="153" t="e">
        <f aca="false">_xlfn.xlookup(AN1206,A:A,J:J)</f>
        <v>#NAME?</v>
      </c>
      <c r="AQ1206" s="153" t="e">
        <f aca="false">_xlfn.xlookup(AN1206,A:A,N:N)+_xlfn.xlookup(AN1206,A:A,O:O)</f>
        <v>#NAME?</v>
      </c>
      <c r="AR1206" s="150" t="e">
        <f aca="false">_xlfn.xlookup(AN1206,A:A,AH:AH)</f>
        <v>#NAME?</v>
      </c>
      <c r="AS1206" s="150" t="e">
        <f aca="false">_xlfn.xlookup(AN1206,A:A,S:S)</f>
        <v>#NAME?</v>
      </c>
      <c r="AT1206" s="150" t="e">
        <f aca="false">_xlfn.xlookup(AN1206,A:A,AE:AE)</f>
        <v>#NAME?</v>
      </c>
      <c r="AU1206" s="150" t="e">
        <f aca="false">_xlfn.xlookup(AN1206,A:A,AF:AF)</f>
        <v>#NAME?</v>
      </c>
      <c r="AX1206" s="146"/>
      <c r="AY1206" s="150"/>
      <c r="AZ1206" s="150"/>
      <c r="BA1206" s="150"/>
      <c r="BB1206" s="146"/>
      <c r="BC1206" s="146"/>
      <c r="BD1206" s="151"/>
      <c r="BE1206" s="146"/>
      <c r="BF1206" s="146"/>
      <c r="BH1206" s="152" t="e">
        <f aca="false">_xlfn.xlookup(BG1206,A:A,E:E)</f>
        <v>#NAME?</v>
      </c>
      <c r="BI1206" s="153" t="e">
        <f aca="false">_xlfn.xlookup(BG1206,A:A,J:J)</f>
        <v>#NAME?</v>
      </c>
      <c r="BJ1206" s="153" t="e">
        <f aca="false">_xlfn.xlookup(BG1206,A:A,N:N)+_xlfn.xlookup(BG1206,A:A,O:O)</f>
        <v>#NAME?</v>
      </c>
    </row>
    <row r="1207" s="153" customFormat="true" ht="15" hidden="false" customHeight="false" outlineLevel="0" collapsed="false">
      <c r="AN1207" s="153" t="e">
        <v>#NAME?</v>
      </c>
      <c r="AO1207" s="153" t="e">
        <f aca="false">_xlfn.xlookup(AN1207,A:A,F:F)</f>
        <v>#NAME?</v>
      </c>
      <c r="AP1207" s="153" t="e">
        <f aca="false">_xlfn.xlookup(AN1207,A:A,J:J)</f>
        <v>#NAME?</v>
      </c>
      <c r="AQ1207" s="153" t="e">
        <f aca="false">_xlfn.xlookup(AN1207,A:A,N:N)+_xlfn.xlookup(AN1207,A:A,O:O)</f>
        <v>#NAME?</v>
      </c>
      <c r="AR1207" s="150" t="e">
        <f aca="false">_xlfn.xlookup(AN1207,A:A,AH:AH)</f>
        <v>#NAME?</v>
      </c>
      <c r="AS1207" s="150" t="e">
        <f aca="false">_xlfn.xlookup(AN1207,A:A,S:S)</f>
        <v>#NAME?</v>
      </c>
      <c r="AT1207" s="150" t="e">
        <f aca="false">_xlfn.xlookup(AN1207,A:A,AE:AE)</f>
        <v>#NAME?</v>
      </c>
      <c r="AU1207" s="150" t="e">
        <f aca="false">_xlfn.xlookup(AN1207,A:A,AF:AF)</f>
        <v>#NAME?</v>
      </c>
      <c r="AX1207" s="146"/>
      <c r="AY1207" s="150"/>
      <c r="AZ1207" s="150"/>
      <c r="BA1207" s="150"/>
      <c r="BB1207" s="146"/>
      <c r="BC1207" s="146"/>
      <c r="BD1207" s="151"/>
      <c r="BE1207" s="146"/>
      <c r="BF1207" s="146"/>
      <c r="BH1207" s="152" t="e">
        <f aca="false">_xlfn.xlookup(BG1207,A:A,E:E)</f>
        <v>#NAME?</v>
      </c>
      <c r="BI1207" s="153" t="e">
        <f aca="false">_xlfn.xlookup(BG1207,A:A,J:J)</f>
        <v>#NAME?</v>
      </c>
      <c r="BJ1207" s="153" t="e">
        <f aca="false">_xlfn.xlookup(BG1207,A:A,N:N)+_xlfn.xlookup(BG1207,A:A,O:O)</f>
        <v>#NAME?</v>
      </c>
    </row>
    <row r="1208" s="153" customFormat="true" ht="15" hidden="false" customHeight="false" outlineLevel="0" collapsed="false">
      <c r="AN1208" s="153" t="e">
        <v>#NAME?</v>
      </c>
      <c r="AO1208" s="153" t="e">
        <f aca="false">_xlfn.xlookup(AN1208,A:A,F:F)</f>
        <v>#NAME?</v>
      </c>
      <c r="AP1208" s="153" t="e">
        <f aca="false">_xlfn.xlookup(AN1208,A:A,J:J)</f>
        <v>#NAME?</v>
      </c>
      <c r="AQ1208" s="153" t="e">
        <f aca="false">_xlfn.xlookup(AN1208,A:A,N:N)+_xlfn.xlookup(AN1208,A:A,O:O)</f>
        <v>#NAME?</v>
      </c>
      <c r="AR1208" s="150" t="e">
        <f aca="false">_xlfn.xlookup(AN1208,A:A,AH:AH)</f>
        <v>#NAME?</v>
      </c>
      <c r="AS1208" s="150" t="e">
        <f aca="false">_xlfn.xlookup(AN1208,A:A,S:S)</f>
        <v>#NAME?</v>
      </c>
      <c r="AT1208" s="150" t="e">
        <f aca="false">_xlfn.xlookup(AN1208,A:A,AE:AE)</f>
        <v>#NAME?</v>
      </c>
      <c r="AU1208" s="150" t="e">
        <f aca="false">_xlfn.xlookup(AN1208,A:A,AF:AF)</f>
        <v>#NAME?</v>
      </c>
      <c r="AX1208" s="146"/>
      <c r="AY1208" s="150"/>
      <c r="AZ1208" s="150"/>
      <c r="BA1208" s="150"/>
      <c r="BB1208" s="146"/>
      <c r="BC1208" s="146"/>
      <c r="BD1208" s="151"/>
      <c r="BE1208" s="146"/>
      <c r="BF1208" s="146"/>
      <c r="BH1208" s="152" t="e">
        <f aca="false">_xlfn.xlookup(BG1208,A:A,E:E)</f>
        <v>#NAME?</v>
      </c>
      <c r="BI1208" s="153" t="e">
        <f aca="false">_xlfn.xlookup(BG1208,A:A,J:J)</f>
        <v>#NAME?</v>
      </c>
      <c r="BJ1208" s="153" t="e">
        <f aca="false">_xlfn.xlookup(BG1208,A:A,N:N)+_xlfn.xlookup(BG1208,A:A,O:O)</f>
        <v>#NAME?</v>
      </c>
    </row>
    <row r="1209" s="153" customFormat="true" ht="15" hidden="false" customHeight="false" outlineLevel="0" collapsed="false">
      <c r="AN1209" s="153" t="e">
        <v>#NAME?</v>
      </c>
      <c r="AO1209" s="153" t="e">
        <f aca="false">_xlfn.xlookup(AN1209,A:A,F:F)</f>
        <v>#NAME?</v>
      </c>
      <c r="AP1209" s="153" t="e">
        <f aca="false">_xlfn.xlookup(AN1209,A:A,J:J)</f>
        <v>#NAME?</v>
      </c>
      <c r="AQ1209" s="153" t="e">
        <f aca="false">_xlfn.xlookup(AN1209,A:A,N:N)+_xlfn.xlookup(AN1209,A:A,O:O)</f>
        <v>#NAME?</v>
      </c>
      <c r="AR1209" s="150" t="e">
        <f aca="false">_xlfn.xlookup(AN1209,A:A,AH:AH)</f>
        <v>#NAME?</v>
      </c>
      <c r="AS1209" s="150" t="e">
        <f aca="false">_xlfn.xlookup(AN1209,A:A,S:S)</f>
        <v>#NAME?</v>
      </c>
      <c r="AT1209" s="150" t="e">
        <f aca="false">_xlfn.xlookup(AN1209,A:A,AE:AE)</f>
        <v>#NAME?</v>
      </c>
      <c r="AU1209" s="150" t="e">
        <f aca="false">_xlfn.xlookup(AN1209,A:A,AF:AF)</f>
        <v>#NAME?</v>
      </c>
      <c r="AX1209" s="146"/>
      <c r="AY1209" s="150"/>
      <c r="AZ1209" s="150"/>
      <c r="BA1209" s="150"/>
      <c r="BB1209" s="146"/>
      <c r="BC1209" s="146"/>
      <c r="BD1209" s="151"/>
      <c r="BE1209" s="146"/>
      <c r="BF1209" s="146"/>
      <c r="BH1209" s="152" t="e">
        <f aca="false">_xlfn.xlookup(BG1209,A:A,E:E)</f>
        <v>#NAME?</v>
      </c>
      <c r="BI1209" s="153" t="e">
        <f aca="false">_xlfn.xlookup(BG1209,A:A,J:J)</f>
        <v>#NAME?</v>
      </c>
      <c r="BJ1209" s="153" t="e">
        <f aca="false">_xlfn.xlookup(BG1209,A:A,N:N)+_xlfn.xlookup(BG1209,A:A,O:O)</f>
        <v>#NAME?</v>
      </c>
    </row>
    <row r="1210" s="153" customFormat="true" ht="15" hidden="false" customHeight="false" outlineLevel="0" collapsed="false">
      <c r="AN1210" s="153" t="e">
        <v>#NAME?</v>
      </c>
      <c r="AO1210" s="153" t="e">
        <f aca="false">_xlfn.xlookup(AN1210,A:A,F:F)</f>
        <v>#NAME?</v>
      </c>
      <c r="AP1210" s="153" t="e">
        <f aca="false">_xlfn.xlookup(AN1210,A:A,J:J)</f>
        <v>#NAME?</v>
      </c>
      <c r="AQ1210" s="153" t="e">
        <f aca="false">_xlfn.xlookup(AN1210,A:A,N:N)+_xlfn.xlookup(AN1210,A:A,O:O)</f>
        <v>#NAME?</v>
      </c>
      <c r="AR1210" s="150" t="e">
        <f aca="false">_xlfn.xlookup(AN1210,A:A,AH:AH)</f>
        <v>#NAME?</v>
      </c>
      <c r="AS1210" s="150" t="e">
        <f aca="false">_xlfn.xlookup(AN1210,A:A,S:S)</f>
        <v>#NAME?</v>
      </c>
      <c r="AT1210" s="150" t="e">
        <f aca="false">_xlfn.xlookup(AN1210,A:A,AE:AE)</f>
        <v>#NAME?</v>
      </c>
      <c r="AU1210" s="150" t="e">
        <f aca="false">_xlfn.xlookup(AN1210,A:A,AF:AF)</f>
        <v>#NAME?</v>
      </c>
      <c r="AX1210" s="146"/>
      <c r="AY1210" s="150"/>
      <c r="AZ1210" s="150"/>
      <c r="BA1210" s="150"/>
      <c r="BB1210" s="146"/>
      <c r="BC1210" s="146"/>
      <c r="BD1210" s="151"/>
      <c r="BE1210" s="146"/>
      <c r="BF1210" s="146"/>
      <c r="BH1210" s="152" t="e">
        <f aca="false">_xlfn.xlookup(BG1210,A:A,E:E)</f>
        <v>#NAME?</v>
      </c>
      <c r="BI1210" s="153" t="e">
        <f aca="false">_xlfn.xlookup(BG1210,A:A,J:J)</f>
        <v>#NAME?</v>
      </c>
      <c r="BJ1210" s="153" t="e">
        <f aca="false">_xlfn.xlookup(BG1210,A:A,N:N)+_xlfn.xlookup(BG1210,A:A,O:O)</f>
        <v>#NAME?</v>
      </c>
    </row>
    <row r="1211" s="153" customFormat="true" ht="15" hidden="false" customHeight="false" outlineLevel="0" collapsed="false">
      <c r="AN1211" s="153" t="e">
        <v>#NAME?</v>
      </c>
      <c r="AO1211" s="153" t="e">
        <f aca="false">_xlfn.xlookup(AN1211,A:A,F:F)</f>
        <v>#NAME?</v>
      </c>
      <c r="AP1211" s="153" t="e">
        <f aca="false">_xlfn.xlookup(AN1211,A:A,J:J)</f>
        <v>#NAME?</v>
      </c>
      <c r="AQ1211" s="153" t="e">
        <f aca="false">_xlfn.xlookup(AN1211,A:A,N:N)+_xlfn.xlookup(AN1211,A:A,O:O)</f>
        <v>#NAME?</v>
      </c>
      <c r="AR1211" s="150" t="e">
        <f aca="false">_xlfn.xlookup(AN1211,A:A,AH:AH)</f>
        <v>#NAME?</v>
      </c>
      <c r="AS1211" s="150" t="e">
        <f aca="false">_xlfn.xlookup(AN1211,A:A,S:S)</f>
        <v>#NAME?</v>
      </c>
      <c r="AT1211" s="150" t="e">
        <f aca="false">_xlfn.xlookup(AN1211,A:A,AE:AE)</f>
        <v>#NAME?</v>
      </c>
      <c r="AU1211" s="150" t="e">
        <f aca="false">_xlfn.xlookup(AN1211,A:A,AF:AF)</f>
        <v>#NAME?</v>
      </c>
      <c r="AX1211" s="146"/>
      <c r="AY1211" s="150"/>
      <c r="AZ1211" s="150"/>
      <c r="BA1211" s="150"/>
      <c r="BB1211" s="146"/>
      <c r="BC1211" s="146"/>
      <c r="BD1211" s="151"/>
      <c r="BE1211" s="146"/>
      <c r="BF1211" s="146"/>
      <c r="BH1211" s="152" t="e">
        <f aca="false">_xlfn.xlookup(BG1211,A:A,E:E)</f>
        <v>#NAME?</v>
      </c>
      <c r="BI1211" s="153" t="e">
        <f aca="false">_xlfn.xlookup(BG1211,A:A,J:J)</f>
        <v>#NAME?</v>
      </c>
      <c r="BJ1211" s="153" t="e">
        <f aca="false">_xlfn.xlookup(BG1211,A:A,N:N)+_xlfn.xlookup(BG1211,A:A,O:O)</f>
        <v>#NAME?</v>
      </c>
    </row>
    <row r="1212" s="153" customFormat="true" ht="15" hidden="false" customHeight="false" outlineLevel="0" collapsed="false">
      <c r="AN1212" s="153" t="e">
        <v>#NAME?</v>
      </c>
      <c r="AO1212" s="153" t="e">
        <f aca="false">_xlfn.xlookup(AN1212,A:A,F:F)</f>
        <v>#NAME?</v>
      </c>
      <c r="AP1212" s="153" t="e">
        <f aca="false">_xlfn.xlookup(AN1212,A:A,J:J)</f>
        <v>#NAME?</v>
      </c>
      <c r="AQ1212" s="153" t="e">
        <f aca="false">_xlfn.xlookup(AN1212,A:A,N:N)+_xlfn.xlookup(AN1212,A:A,O:O)</f>
        <v>#NAME?</v>
      </c>
      <c r="AR1212" s="150" t="e">
        <f aca="false">_xlfn.xlookup(AN1212,A:A,AH:AH)</f>
        <v>#NAME?</v>
      </c>
      <c r="AS1212" s="150" t="e">
        <f aca="false">_xlfn.xlookup(AN1212,A:A,S:S)</f>
        <v>#NAME?</v>
      </c>
      <c r="AT1212" s="150" t="e">
        <f aca="false">_xlfn.xlookup(AN1212,A:A,AE:AE)</f>
        <v>#NAME?</v>
      </c>
      <c r="AU1212" s="150" t="e">
        <f aca="false">_xlfn.xlookup(AN1212,A:A,AF:AF)</f>
        <v>#NAME?</v>
      </c>
      <c r="AX1212" s="146"/>
      <c r="AY1212" s="150"/>
      <c r="AZ1212" s="150"/>
      <c r="BA1212" s="150"/>
      <c r="BB1212" s="146"/>
      <c r="BC1212" s="146"/>
      <c r="BD1212" s="151"/>
      <c r="BE1212" s="146"/>
      <c r="BF1212" s="146"/>
      <c r="BH1212" s="152" t="e">
        <f aca="false">_xlfn.xlookup(BG1212,A:A,E:E)</f>
        <v>#NAME?</v>
      </c>
      <c r="BI1212" s="153" t="e">
        <f aca="false">_xlfn.xlookup(BG1212,A:A,J:J)</f>
        <v>#NAME?</v>
      </c>
      <c r="BJ1212" s="153" t="e">
        <f aca="false">_xlfn.xlookup(BG1212,A:A,N:N)+_xlfn.xlookup(BG1212,A:A,O:O)</f>
        <v>#NAME?</v>
      </c>
    </row>
    <row r="1213" s="153" customFormat="true" ht="15" hidden="false" customHeight="false" outlineLevel="0" collapsed="false">
      <c r="AN1213" s="153" t="e">
        <v>#NAME?</v>
      </c>
      <c r="AO1213" s="153" t="e">
        <f aca="false">_xlfn.xlookup(AN1213,A:A,F:F)</f>
        <v>#NAME?</v>
      </c>
      <c r="AP1213" s="153" t="e">
        <f aca="false">_xlfn.xlookup(AN1213,A:A,J:J)</f>
        <v>#NAME?</v>
      </c>
      <c r="AQ1213" s="153" t="e">
        <f aca="false">_xlfn.xlookup(AN1213,A:A,N:N)+_xlfn.xlookup(AN1213,A:A,O:O)</f>
        <v>#NAME?</v>
      </c>
      <c r="AR1213" s="150" t="e">
        <f aca="false">_xlfn.xlookup(AN1213,A:A,AH:AH)</f>
        <v>#NAME?</v>
      </c>
      <c r="AS1213" s="150" t="e">
        <f aca="false">_xlfn.xlookup(AN1213,A:A,S:S)</f>
        <v>#NAME?</v>
      </c>
      <c r="AT1213" s="150" t="e">
        <f aca="false">_xlfn.xlookup(AN1213,A:A,AE:AE)</f>
        <v>#NAME?</v>
      </c>
      <c r="AU1213" s="150" t="e">
        <f aca="false">_xlfn.xlookup(AN1213,A:A,AF:AF)</f>
        <v>#NAME?</v>
      </c>
      <c r="AX1213" s="146"/>
      <c r="AY1213" s="150"/>
      <c r="AZ1213" s="150"/>
      <c r="BA1213" s="150"/>
      <c r="BB1213" s="146"/>
      <c r="BC1213" s="146"/>
      <c r="BD1213" s="151"/>
      <c r="BE1213" s="146"/>
      <c r="BF1213" s="146"/>
      <c r="BH1213" s="152" t="e">
        <f aca="false">_xlfn.xlookup(BG1213,A:A,E:E)</f>
        <v>#NAME?</v>
      </c>
      <c r="BI1213" s="153" t="e">
        <f aca="false">_xlfn.xlookup(BG1213,A:A,J:J)</f>
        <v>#NAME?</v>
      </c>
      <c r="BJ1213" s="153" t="e">
        <f aca="false">_xlfn.xlookup(BG1213,A:A,N:N)+_xlfn.xlookup(BG1213,A:A,O:O)</f>
        <v>#NAME?</v>
      </c>
    </row>
    <row r="1214" s="153" customFormat="true" ht="15" hidden="false" customHeight="false" outlineLevel="0" collapsed="false">
      <c r="AN1214" s="153" t="e">
        <v>#NAME?</v>
      </c>
      <c r="AO1214" s="153" t="e">
        <f aca="false">_xlfn.xlookup(AN1214,A:A,F:F)</f>
        <v>#NAME?</v>
      </c>
      <c r="AP1214" s="153" t="e">
        <f aca="false">_xlfn.xlookup(AN1214,A:A,J:J)</f>
        <v>#NAME?</v>
      </c>
      <c r="AQ1214" s="153" t="e">
        <f aca="false">_xlfn.xlookup(AN1214,A:A,N:N)+_xlfn.xlookup(AN1214,A:A,O:O)</f>
        <v>#NAME?</v>
      </c>
      <c r="AR1214" s="150" t="e">
        <f aca="false">_xlfn.xlookup(AN1214,A:A,AH:AH)</f>
        <v>#NAME?</v>
      </c>
      <c r="AS1214" s="150" t="e">
        <f aca="false">_xlfn.xlookup(AN1214,A:A,S:S)</f>
        <v>#NAME?</v>
      </c>
      <c r="AT1214" s="150" t="e">
        <f aca="false">_xlfn.xlookup(AN1214,A:A,AE:AE)</f>
        <v>#NAME?</v>
      </c>
      <c r="AU1214" s="150" t="e">
        <f aca="false">_xlfn.xlookup(AN1214,A:A,AF:AF)</f>
        <v>#NAME?</v>
      </c>
      <c r="AX1214" s="146"/>
      <c r="AY1214" s="150"/>
      <c r="AZ1214" s="150"/>
      <c r="BA1214" s="150"/>
      <c r="BB1214" s="146"/>
      <c r="BC1214" s="146"/>
      <c r="BD1214" s="151"/>
      <c r="BE1214" s="146"/>
      <c r="BF1214" s="146"/>
      <c r="BH1214" s="152" t="e">
        <f aca="false">_xlfn.xlookup(BG1214,A:A,E:E)</f>
        <v>#NAME?</v>
      </c>
      <c r="BI1214" s="153" t="e">
        <f aca="false">_xlfn.xlookup(BG1214,A:A,J:J)</f>
        <v>#NAME?</v>
      </c>
      <c r="BJ1214" s="153" t="e">
        <f aca="false">_xlfn.xlookup(BG1214,A:A,N:N)+_xlfn.xlookup(BG1214,A:A,O:O)</f>
        <v>#NAME?</v>
      </c>
    </row>
    <row r="1215" s="153" customFormat="true" ht="15" hidden="false" customHeight="false" outlineLevel="0" collapsed="false">
      <c r="AN1215" s="153" t="e">
        <v>#NAME?</v>
      </c>
      <c r="AO1215" s="153" t="e">
        <f aca="false">_xlfn.xlookup(AN1215,A:A,F:F)</f>
        <v>#NAME?</v>
      </c>
      <c r="AP1215" s="153" t="e">
        <f aca="false">_xlfn.xlookup(AN1215,A:A,J:J)</f>
        <v>#NAME?</v>
      </c>
      <c r="AQ1215" s="153" t="e">
        <f aca="false">_xlfn.xlookup(AN1215,A:A,N:N)+_xlfn.xlookup(AN1215,A:A,O:O)</f>
        <v>#NAME?</v>
      </c>
      <c r="AR1215" s="150" t="e">
        <f aca="false">_xlfn.xlookup(AN1215,A:A,AH:AH)</f>
        <v>#NAME?</v>
      </c>
      <c r="AS1215" s="150" t="e">
        <f aca="false">_xlfn.xlookup(AN1215,A:A,S:S)</f>
        <v>#NAME?</v>
      </c>
      <c r="AT1215" s="150" t="e">
        <f aca="false">_xlfn.xlookup(AN1215,A:A,AE:AE)</f>
        <v>#NAME?</v>
      </c>
      <c r="AU1215" s="150" t="e">
        <f aca="false">_xlfn.xlookup(AN1215,A:A,AF:AF)</f>
        <v>#NAME?</v>
      </c>
      <c r="AX1215" s="146"/>
      <c r="AY1215" s="150"/>
      <c r="AZ1215" s="150"/>
      <c r="BA1215" s="150"/>
      <c r="BB1215" s="146"/>
      <c r="BC1215" s="146"/>
      <c r="BD1215" s="151"/>
      <c r="BE1215" s="146"/>
      <c r="BF1215" s="146"/>
      <c r="BH1215" s="152" t="e">
        <f aca="false">_xlfn.xlookup(BG1215,A:A,E:E)</f>
        <v>#NAME?</v>
      </c>
      <c r="BI1215" s="153" t="e">
        <f aca="false">_xlfn.xlookup(BG1215,A:A,J:J)</f>
        <v>#NAME?</v>
      </c>
      <c r="BJ1215" s="153" t="e">
        <f aca="false">_xlfn.xlookup(BG1215,A:A,N:N)+_xlfn.xlookup(BG1215,A:A,O:O)</f>
        <v>#NAME?</v>
      </c>
    </row>
    <row r="1216" s="153" customFormat="true" ht="15" hidden="false" customHeight="false" outlineLevel="0" collapsed="false">
      <c r="AN1216" s="153" t="e">
        <v>#NAME?</v>
      </c>
      <c r="AO1216" s="153" t="e">
        <f aca="false">_xlfn.xlookup(AN1216,A:A,F:F)</f>
        <v>#NAME?</v>
      </c>
      <c r="AP1216" s="153" t="e">
        <f aca="false">_xlfn.xlookup(AN1216,A:A,J:J)</f>
        <v>#NAME?</v>
      </c>
      <c r="AQ1216" s="153" t="e">
        <f aca="false">_xlfn.xlookup(AN1216,A:A,N:N)+_xlfn.xlookup(AN1216,A:A,O:O)</f>
        <v>#NAME?</v>
      </c>
      <c r="AR1216" s="150" t="e">
        <f aca="false">_xlfn.xlookup(AN1216,A:A,AH:AH)</f>
        <v>#NAME?</v>
      </c>
      <c r="AS1216" s="150" t="e">
        <f aca="false">_xlfn.xlookup(AN1216,A:A,S:S)</f>
        <v>#NAME?</v>
      </c>
      <c r="AT1216" s="150" t="e">
        <f aca="false">_xlfn.xlookup(AN1216,A:A,AE:AE)</f>
        <v>#NAME?</v>
      </c>
      <c r="AU1216" s="150" t="e">
        <f aca="false">_xlfn.xlookup(AN1216,A:A,AF:AF)</f>
        <v>#NAME?</v>
      </c>
      <c r="AX1216" s="146"/>
      <c r="AY1216" s="150"/>
      <c r="AZ1216" s="150"/>
      <c r="BA1216" s="150"/>
      <c r="BB1216" s="146"/>
      <c r="BC1216" s="146"/>
      <c r="BD1216" s="151"/>
      <c r="BE1216" s="146"/>
      <c r="BF1216" s="146"/>
      <c r="BH1216" s="152" t="e">
        <f aca="false">_xlfn.xlookup(BG1216,A:A,E:E)</f>
        <v>#NAME?</v>
      </c>
      <c r="BI1216" s="153" t="e">
        <f aca="false">_xlfn.xlookup(BG1216,A:A,J:J)</f>
        <v>#NAME?</v>
      </c>
      <c r="BJ1216" s="153" t="e">
        <f aca="false">_xlfn.xlookup(BG1216,A:A,N:N)+_xlfn.xlookup(BG1216,A:A,O:O)</f>
        <v>#NAME?</v>
      </c>
    </row>
    <row r="1217" s="153" customFormat="true" ht="15" hidden="false" customHeight="false" outlineLevel="0" collapsed="false">
      <c r="AN1217" s="153" t="e">
        <v>#NAME?</v>
      </c>
      <c r="AO1217" s="153" t="e">
        <f aca="false">_xlfn.xlookup(AN1217,A:A,F:F)</f>
        <v>#NAME?</v>
      </c>
      <c r="AP1217" s="153" t="e">
        <f aca="false">_xlfn.xlookup(AN1217,A:A,J:J)</f>
        <v>#NAME?</v>
      </c>
      <c r="AQ1217" s="153" t="e">
        <f aca="false">_xlfn.xlookup(AN1217,A:A,N:N)+_xlfn.xlookup(AN1217,A:A,O:O)</f>
        <v>#NAME?</v>
      </c>
      <c r="AR1217" s="150" t="e">
        <f aca="false">_xlfn.xlookup(AN1217,A:A,AH:AH)</f>
        <v>#NAME?</v>
      </c>
      <c r="AS1217" s="150" t="e">
        <f aca="false">_xlfn.xlookup(AN1217,A:A,S:S)</f>
        <v>#NAME?</v>
      </c>
      <c r="AT1217" s="150" t="e">
        <f aca="false">_xlfn.xlookup(AN1217,A:A,AE:AE)</f>
        <v>#NAME?</v>
      </c>
      <c r="AU1217" s="150" t="e">
        <f aca="false">_xlfn.xlookup(AN1217,A:A,AF:AF)</f>
        <v>#NAME?</v>
      </c>
      <c r="AX1217" s="146"/>
      <c r="AY1217" s="150"/>
      <c r="AZ1217" s="150"/>
      <c r="BA1217" s="150"/>
      <c r="BB1217" s="146"/>
      <c r="BC1217" s="146"/>
      <c r="BD1217" s="151"/>
      <c r="BE1217" s="146"/>
      <c r="BF1217" s="146"/>
      <c r="BH1217" s="152" t="e">
        <f aca="false">_xlfn.xlookup(BG1217,A:A,E:E)</f>
        <v>#NAME?</v>
      </c>
      <c r="BI1217" s="153" t="e">
        <f aca="false">_xlfn.xlookup(BG1217,A:A,J:J)</f>
        <v>#NAME?</v>
      </c>
      <c r="BJ1217" s="153" t="e">
        <f aca="false">_xlfn.xlookup(BG1217,A:A,N:N)+_xlfn.xlookup(BG1217,A:A,O:O)</f>
        <v>#NAME?</v>
      </c>
    </row>
    <row r="1218" s="153" customFormat="true" ht="15" hidden="false" customHeight="false" outlineLevel="0" collapsed="false">
      <c r="AN1218" s="153" t="e">
        <v>#NAME?</v>
      </c>
      <c r="AO1218" s="153" t="e">
        <f aca="false">_xlfn.xlookup(AN1218,A:A,F:F)</f>
        <v>#NAME?</v>
      </c>
      <c r="AP1218" s="153" t="e">
        <f aca="false">_xlfn.xlookup(AN1218,A:A,J:J)</f>
        <v>#NAME?</v>
      </c>
      <c r="AQ1218" s="153" t="e">
        <f aca="false">_xlfn.xlookup(AN1218,A:A,N:N)+_xlfn.xlookup(AN1218,A:A,O:O)</f>
        <v>#NAME?</v>
      </c>
      <c r="AR1218" s="150" t="e">
        <f aca="false">_xlfn.xlookup(AN1218,A:A,AH:AH)</f>
        <v>#NAME?</v>
      </c>
      <c r="AS1218" s="150" t="e">
        <f aca="false">_xlfn.xlookup(AN1218,A:A,S:S)</f>
        <v>#NAME?</v>
      </c>
      <c r="AT1218" s="150" t="e">
        <f aca="false">_xlfn.xlookup(AN1218,A:A,AE:AE)</f>
        <v>#NAME?</v>
      </c>
      <c r="AU1218" s="150" t="e">
        <f aca="false">_xlfn.xlookup(AN1218,A:A,AF:AF)</f>
        <v>#NAME?</v>
      </c>
      <c r="AX1218" s="146"/>
      <c r="AY1218" s="150"/>
      <c r="AZ1218" s="150"/>
      <c r="BA1218" s="150"/>
      <c r="BB1218" s="146"/>
      <c r="BC1218" s="146"/>
      <c r="BD1218" s="151"/>
      <c r="BE1218" s="146"/>
      <c r="BF1218" s="146"/>
      <c r="BH1218" s="152" t="e">
        <f aca="false">_xlfn.xlookup(BG1218,A:A,E:E)</f>
        <v>#NAME?</v>
      </c>
      <c r="BI1218" s="153" t="e">
        <f aca="false">_xlfn.xlookup(BG1218,A:A,J:J)</f>
        <v>#NAME?</v>
      </c>
      <c r="BJ1218" s="153" t="e">
        <f aca="false">_xlfn.xlookup(BG1218,A:A,N:N)+_xlfn.xlookup(BG1218,A:A,O:O)</f>
        <v>#NAME?</v>
      </c>
    </row>
    <row r="1219" s="153" customFormat="true" ht="15" hidden="false" customHeight="false" outlineLevel="0" collapsed="false">
      <c r="AN1219" s="153" t="e">
        <v>#NAME?</v>
      </c>
      <c r="AO1219" s="153" t="e">
        <f aca="false">_xlfn.xlookup(AN1219,A:A,F:F)</f>
        <v>#NAME?</v>
      </c>
      <c r="AP1219" s="153" t="e">
        <f aca="false">_xlfn.xlookup(AN1219,A:A,J:J)</f>
        <v>#NAME?</v>
      </c>
      <c r="AQ1219" s="153" t="e">
        <f aca="false">_xlfn.xlookup(AN1219,A:A,N:N)+_xlfn.xlookup(AN1219,A:A,O:O)</f>
        <v>#NAME?</v>
      </c>
      <c r="AR1219" s="150" t="e">
        <f aca="false">_xlfn.xlookup(AN1219,A:A,AH:AH)</f>
        <v>#NAME?</v>
      </c>
      <c r="AS1219" s="150" t="e">
        <f aca="false">_xlfn.xlookup(AN1219,A:A,S:S)</f>
        <v>#NAME?</v>
      </c>
      <c r="AT1219" s="150" t="e">
        <f aca="false">_xlfn.xlookup(AN1219,A:A,AE:AE)</f>
        <v>#NAME?</v>
      </c>
      <c r="AU1219" s="150" t="e">
        <f aca="false">_xlfn.xlookup(AN1219,A:A,AF:AF)</f>
        <v>#NAME?</v>
      </c>
      <c r="AX1219" s="146"/>
      <c r="AY1219" s="150"/>
      <c r="AZ1219" s="150"/>
      <c r="BA1219" s="150"/>
      <c r="BB1219" s="146"/>
      <c r="BC1219" s="146"/>
      <c r="BD1219" s="151"/>
      <c r="BE1219" s="146"/>
      <c r="BF1219" s="146"/>
      <c r="BH1219" s="152" t="e">
        <f aca="false">_xlfn.xlookup(BG1219,A:A,E:E)</f>
        <v>#NAME?</v>
      </c>
      <c r="BI1219" s="153" t="e">
        <f aca="false">_xlfn.xlookup(BG1219,A:A,J:J)</f>
        <v>#NAME?</v>
      </c>
      <c r="BJ1219" s="153" t="e">
        <f aca="false">_xlfn.xlookup(BG1219,A:A,N:N)+_xlfn.xlookup(BG1219,A:A,O:O)</f>
        <v>#NAME?</v>
      </c>
    </row>
    <row r="1220" s="153" customFormat="true" ht="15" hidden="false" customHeight="false" outlineLevel="0" collapsed="false">
      <c r="AN1220" s="153" t="e">
        <v>#NAME?</v>
      </c>
      <c r="AO1220" s="153" t="e">
        <f aca="false">_xlfn.xlookup(AN1220,A:A,F:F)</f>
        <v>#NAME?</v>
      </c>
      <c r="AP1220" s="153" t="e">
        <f aca="false">_xlfn.xlookup(AN1220,A:A,J:J)</f>
        <v>#NAME?</v>
      </c>
      <c r="AQ1220" s="153" t="e">
        <f aca="false">_xlfn.xlookup(AN1220,A:A,N:N)+_xlfn.xlookup(AN1220,A:A,O:O)</f>
        <v>#NAME?</v>
      </c>
      <c r="AR1220" s="150" t="e">
        <f aca="false">_xlfn.xlookup(AN1220,A:A,AH:AH)</f>
        <v>#NAME?</v>
      </c>
      <c r="AS1220" s="150" t="e">
        <f aca="false">_xlfn.xlookup(AN1220,A:A,S:S)</f>
        <v>#NAME?</v>
      </c>
      <c r="AT1220" s="150" t="e">
        <f aca="false">_xlfn.xlookup(AN1220,A:A,AE:AE)</f>
        <v>#NAME?</v>
      </c>
      <c r="AU1220" s="150" t="e">
        <f aca="false">_xlfn.xlookup(AN1220,A:A,AF:AF)</f>
        <v>#NAME?</v>
      </c>
      <c r="AX1220" s="146"/>
      <c r="AY1220" s="150"/>
      <c r="AZ1220" s="150"/>
      <c r="BA1220" s="150"/>
      <c r="BB1220" s="146"/>
      <c r="BC1220" s="146"/>
      <c r="BD1220" s="151"/>
      <c r="BE1220" s="146"/>
      <c r="BF1220" s="146"/>
      <c r="BH1220" s="152" t="e">
        <f aca="false">_xlfn.xlookup(BG1220,A:A,E:E)</f>
        <v>#NAME?</v>
      </c>
      <c r="BI1220" s="153" t="e">
        <f aca="false">_xlfn.xlookup(BG1220,A:A,J:J)</f>
        <v>#NAME?</v>
      </c>
      <c r="BJ1220" s="153" t="e">
        <f aca="false">_xlfn.xlookup(BG1220,A:A,N:N)+_xlfn.xlookup(BG1220,A:A,O:O)</f>
        <v>#NAME?</v>
      </c>
    </row>
    <row r="1221" s="153" customFormat="true" ht="15" hidden="false" customHeight="false" outlineLevel="0" collapsed="false">
      <c r="AN1221" s="153" t="e">
        <v>#NAME?</v>
      </c>
      <c r="AO1221" s="153" t="e">
        <f aca="false">_xlfn.xlookup(AN1221,A:A,F:F)</f>
        <v>#NAME?</v>
      </c>
      <c r="AP1221" s="153" t="e">
        <f aca="false">_xlfn.xlookup(AN1221,A:A,J:J)</f>
        <v>#NAME?</v>
      </c>
      <c r="AQ1221" s="153" t="e">
        <f aca="false">_xlfn.xlookup(AN1221,A:A,N:N)+_xlfn.xlookup(AN1221,A:A,O:O)</f>
        <v>#NAME?</v>
      </c>
      <c r="AR1221" s="150" t="e">
        <f aca="false">_xlfn.xlookup(AN1221,A:A,AH:AH)</f>
        <v>#NAME?</v>
      </c>
      <c r="AS1221" s="150" t="e">
        <f aca="false">_xlfn.xlookup(AN1221,A:A,S:S)</f>
        <v>#NAME?</v>
      </c>
      <c r="AT1221" s="150" t="e">
        <f aca="false">_xlfn.xlookup(AN1221,A:A,AE:AE)</f>
        <v>#NAME?</v>
      </c>
      <c r="AU1221" s="150" t="e">
        <f aca="false">_xlfn.xlookup(AN1221,A:A,AF:AF)</f>
        <v>#NAME?</v>
      </c>
      <c r="AX1221" s="146"/>
      <c r="AY1221" s="150"/>
      <c r="AZ1221" s="150"/>
      <c r="BA1221" s="150"/>
      <c r="BB1221" s="146"/>
      <c r="BC1221" s="146"/>
      <c r="BD1221" s="151"/>
      <c r="BE1221" s="146"/>
      <c r="BF1221" s="146"/>
      <c r="BH1221" s="152" t="e">
        <f aca="false">_xlfn.xlookup(BG1221,A:A,E:E)</f>
        <v>#NAME?</v>
      </c>
      <c r="BI1221" s="153" t="e">
        <f aca="false">_xlfn.xlookup(BG1221,A:A,J:J)</f>
        <v>#NAME?</v>
      </c>
      <c r="BJ1221" s="153" t="e">
        <f aca="false">_xlfn.xlookup(BG1221,A:A,N:N)+_xlfn.xlookup(BG1221,A:A,O:O)</f>
        <v>#NAME?</v>
      </c>
    </row>
    <row r="1222" s="153" customFormat="true" ht="15" hidden="false" customHeight="false" outlineLevel="0" collapsed="false">
      <c r="AN1222" s="153" t="e">
        <v>#NAME?</v>
      </c>
      <c r="AO1222" s="153" t="e">
        <f aca="false">_xlfn.xlookup(AN1222,A:A,F:F)</f>
        <v>#NAME?</v>
      </c>
      <c r="AP1222" s="153" t="e">
        <f aca="false">_xlfn.xlookup(AN1222,A:A,J:J)</f>
        <v>#NAME?</v>
      </c>
      <c r="AQ1222" s="153" t="e">
        <f aca="false">_xlfn.xlookup(AN1222,A:A,N:N)+_xlfn.xlookup(AN1222,A:A,O:O)</f>
        <v>#NAME?</v>
      </c>
      <c r="AR1222" s="150" t="e">
        <f aca="false">_xlfn.xlookup(AN1222,A:A,AH:AH)</f>
        <v>#NAME?</v>
      </c>
      <c r="AS1222" s="150" t="e">
        <f aca="false">_xlfn.xlookup(AN1222,A:A,S:S)</f>
        <v>#NAME?</v>
      </c>
      <c r="AT1222" s="150" t="e">
        <f aca="false">_xlfn.xlookup(AN1222,A:A,AE:AE)</f>
        <v>#NAME?</v>
      </c>
      <c r="AU1222" s="150" t="e">
        <f aca="false">_xlfn.xlookup(AN1222,A:A,AF:AF)</f>
        <v>#NAME?</v>
      </c>
      <c r="AX1222" s="146"/>
      <c r="AY1222" s="150"/>
      <c r="AZ1222" s="150"/>
      <c r="BA1222" s="150"/>
      <c r="BB1222" s="146"/>
      <c r="BC1222" s="146"/>
      <c r="BD1222" s="151"/>
      <c r="BE1222" s="146"/>
      <c r="BF1222" s="146"/>
      <c r="BH1222" s="152" t="e">
        <f aca="false">_xlfn.xlookup(BG1222,A:A,E:E)</f>
        <v>#NAME?</v>
      </c>
      <c r="BI1222" s="153" t="e">
        <f aca="false">_xlfn.xlookup(BG1222,A:A,J:J)</f>
        <v>#NAME?</v>
      </c>
      <c r="BJ1222" s="153" t="e">
        <f aca="false">_xlfn.xlookup(BG1222,A:A,N:N)+_xlfn.xlookup(BG1222,A:A,O:O)</f>
        <v>#NAME?</v>
      </c>
    </row>
    <row r="1223" s="153" customFormat="true" ht="15" hidden="false" customHeight="false" outlineLevel="0" collapsed="false">
      <c r="AN1223" s="153" t="e">
        <v>#NAME?</v>
      </c>
      <c r="AO1223" s="153" t="e">
        <f aca="false">_xlfn.xlookup(AN1223,A:A,F:F)</f>
        <v>#NAME?</v>
      </c>
      <c r="AP1223" s="153" t="e">
        <f aca="false">_xlfn.xlookup(AN1223,A:A,J:J)</f>
        <v>#NAME?</v>
      </c>
      <c r="AQ1223" s="153" t="e">
        <f aca="false">_xlfn.xlookup(AN1223,A:A,N:N)+_xlfn.xlookup(AN1223,A:A,O:O)</f>
        <v>#NAME?</v>
      </c>
      <c r="AR1223" s="150" t="e">
        <f aca="false">_xlfn.xlookup(AN1223,A:A,AH:AH)</f>
        <v>#NAME?</v>
      </c>
      <c r="AS1223" s="150" t="e">
        <f aca="false">_xlfn.xlookup(AN1223,A:A,S:S)</f>
        <v>#NAME?</v>
      </c>
      <c r="AT1223" s="150" t="e">
        <f aca="false">_xlfn.xlookup(AN1223,A:A,AE:AE)</f>
        <v>#NAME?</v>
      </c>
      <c r="AU1223" s="150" t="e">
        <f aca="false">_xlfn.xlookup(AN1223,A:A,AF:AF)</f>
        <v>#NAME?</v>
      </c>
      <c r="AX1223" s="146"/>
      <c r="AY1223" s="150"/>
      <c r="AZ1223" s="150"/>
      <c r="BA1223" s="150"/>
      <c r="BB1223" s="146"/>
      <c r="BC1223" s="146"/>
      <c r="BD1223" s="151"/>
      <c r="BE1223" s="146"/>
      <c r="BF1223" s="146"/>
      <c r="BH1223" s="152" t="e">
        <f aca="false">_xlfn.xlookup(BG1223,A:A,E:E)</f>
        <v>#NAME?</v>
      </c>
      <c r="BI1223" s="153" t="e">
        <f aca="false">_xlfn.xlookup(BG1223,A:A,J:J)</f>
        <v>#NAME?</v>
      </c>
      <c r="BJ1223" s="153" t="e">
        <f aca="false">_xlfn.xlookup(BG1223,A:A,N:N)+_xlfn.xlookup(BG1223,A:A,O:O)</f>
        <v>#NAME?</v>
      </c>
    </row>
    <row r="1224" s="153" customFormat="true" ht="15" hidden="false" customHeight="false" outlineLevel="0" collapsed="false">
      <c r="AN1224" s="153" t="e">
        <v>#NAME?</v>
      </c>
      <c r="AO1224" s="153" t="e">
        <f aca="false">_xlfn.xlookup(AN1224,A:A,F:F)</f>
        <v>#NAME?</v>
      </c>
      <c r="AP1224" s="153" t="e">
        <f aca="false">_xlfn.xlookup(AN1224,A:A,J:J)</f>
        <v>#NAME?</v>
      </c>
      <c r="AQ1224" s="153" t="e">
        <f aca="false">_xlfn.xlookup(AN1224,A:A,N:N)+_xlfn.xlookup(AN1224,A:A,O:O)</f>
        <v>#NAME?</v>
      </c>
      <c r="AR1224" s="150" t="e">
        <f aca="false">_xlfn.xlookup(AN1224,A:A,AH:AH)</f>
        <v>#NAME?</v>
      </c>
      <c r="AS1224" s="150" t="e">
        <f aca="false">_xlfn.xlookup(AN1224,A:A,S:S)</f>
        <v>#NAME?</v>
      </c>
      <c r="AT1224" s="150" t="e">
        <f aca="false">_xlfn.xlookup(AN1224,A:A,AE:AE)</f>
        <v>#NAME?</v>
      </c>
      <c r="AU1224" s="150" t="e">
        <f aca="false">_xlfn.xlookup(AN1224,A:A,AF:AF)</f>
        <v>#NAME?</v>
      </c>
      <c r="AX1224" s="146"/>
      <c r="AY1224" s="150"/>
      <c r="AZ1224" s="150"/>
      <c r="BA1224" s="150"/>
      <c r="BB1224" s="146"/>
      <c r="BC1224" s="146"/>
      <c r="BD1224" s="151"/>
      <c r="BE1224" s="146"/>
      <c r="BF1224" s="146"/>
      <c r="BH1224" s="152" t="e">
        <f aca="false">_xlfn.xlookup(BG1224,A:A,E:E)</f>
        <v>#NAME?</v>
      </c>
      <c r="BI1224" s="153" t="e">
        <f aca="false">_xlfn.xlookup(BG1224,A:A,J:J)</f>
        <v>#NAME?</v>
      </c>
      <c r="BJ1224" s="153" t="e">
        <f aca="false">_xlfn.xlookup(BG1224,A:A,N:N)+_xlfn.xlookup(BG1224,A:A,O:O)</f>
        <v>#NAME?</v>
      </c>
    </row>
    <row r="1225" s="153" customFormat="true" ht="15" hidden="false" customHeight="false" outlineLevel="0" collapsed="false">
      <c r="AN1225" s="153" t="e">
        <v>#NAME?</v>
      </c>
      <c r="AO1225" s="153" t="e">
        <f aca="false">_xlfn.xlookup(AN1225,A:A,F:F)</f>
        <v>#NAME?</v>
      </c>
      <c r="AP1225" s="153" t="e">
        <f aca="false">_xlfn.xlookup(AN1225,A:A,J:J)</f>
        <v>#NAME?</v>
      </c>
      <c r="AQ1225" s="153" t="e">
        <f aca="false">_xlfn.xlookup(AN1225,A:A,N:N)+_xlfn.xlookup(AN1225,A:A,O:O)</f>
        <v>#NAME?</v>
      </c>
      <c r="AR1225" s="150" t="e">
        <f aca="false">_xlfn.xlookup(AN1225,A:A,AH:AH)</f>
        <v>#NAME?</v>
      </c>
      <c r="AS1225" s="150" t="e">
        <f aca="false">_xlfn.xlookup(AN1225,A:A,S:S)</f>
        <v>#NAME?</v>
      </c>
      <c r="AT1225" s="150" t="e">
        <f aca="false">_xlfn.xlookup(AN1225,A:A,AE:AE)</f>
        <v>#NAME?</v>
      </c>
      <c r="AU1225" s="150" t="e">
        <f aca="false">_xlfn.xlookup(AN1225,A:A,AF:AF)</f>
        <v>#NAME?</v>
      </c>
      <c r="AX1225" s="146"/>
      <c r="AY1225" s="150"/>
      <c r="AZ1225" s="150"/>
      <c r="BA1225" s="150"/>
      <c r="BB1225" s="146"/>
      <c r="BC1225" s="146"/>
      <c r="BD1225" s="151"/>
      <c r="BE1225" s="146"/>
      <c r="BF1225" s="146"/>
      <c r="BH1225" s="152" t="e">
        <f aca="false">_xlfn.xlookup(BG1225,A:A,E:E)</f>
        <v>#NAME?</v>
      </c>
      <c r="BI1225" s="153" t="e">
        <f aca="false">_xlfn.xlookup(BG1225,A:A,J:J)</f>
        <v>#NAME?</v>
      </c>
      <c r="BJ1225" s="153" t="e">
        <f aca="false">_xlfn.xlookup(BG1225,A:A,N:N)+_xlfn.xlookup(BG1225,A:A,O:O)</f>
        <v>#NAME?</v>
      </c>
    </row>
    <row r="1226" s="153" customFormat="true" ht="15" hidden="false" customHeight="false" outlineLevel="0" collapsed="false">
      <c r="AN1226" s="153" t="e">
        <v>#NAME?</v>
      </c>
      <c r="AO1226" s="153" t="e">
        <f aca="false">_xlfn.xlookup(AN1226,A:A,F:F)</f>
        <v>#NAME?</v>
      </c>
      <c r="AP1226" s="153" t="e">
        <f aca="false">_xlfn.xlookup(AN1226,A:A,J:J)</f>
        <v>#NAME?</v>
      </c>
      <c r="AQ1226" s="153" t="e">
        <f aca="false">_xlfn.xlookup(AN1226,A:A,N:N)+_xlfn.xlookup(AN1226,A:A,O:O)</f>
        <v>#NAME?</v>
      </c>
      <c r="AR1226" s="150" t="e">
        <f aca="false">_xlfn.xlookup(AN1226,A:A,AH:AH)</f>
        <v>#NAME?</v>
      </c>
      <c r="AS1226" s="150" t="e">
        <f aca="false">_xlfn.xlookup(AN1226,A:A,S:S)</f>
        <v>#NAME?</v>
      </c>
      <c r="AT1226" s="150" t="e">
        <f aca="false">_xlfn.xlookup(AN1226,A:A,AE:AE)</f>
        <v>#NAME?</v>
      </c>
      <c r="AU1226" s="150" t="e">
        <f aca="false">_xlfn.xlookup(AN1226,A:A,AF:AF)</f>
        <v>#NAME?</v>
      </c>
      <c r="AX1226" s="146"/>
      <c r="AY1226" s="150"/>
      <c r="AZ1226" s="150"/>
      <c r="BA1226" s="150"/>
      <c r="BB1226" s="146"/>
      <c r="BC1226" s="146"/>
      <c r="BD1226" s="151"/>
      <c r="BE1226" s="146"/>
      <c r="BF1226" s="146"/>
      <c r="BH1226" s="152" t="e">
        <f aca="false">_xlfn.xlookup(BG1226,A:A,E:E)</f>
        <v>#NAME?</v>
      </c>
      <c r="BI1226" s="153" t="e">
        <f aca="false">_xlfn.xlookup(BG1226,A:A,J:J)</f>
        <v>#NAME?</v>
      </c>
      <c r="BJ1226" s="153" t="e">
        <f aca="false">_xlfn.xlookup(BG1226,A:A,N:N)+_xlfn.xlookup(BG1226,A:A,O:O)</f>
        <v>#NAME?</v>
      </c>
    </row>
    <row r="1227" s="153" customFormat="true" ht="15" hidden="false" customHeight="false" outlineLevel="0" collapsed="false">
      <c r="AN1227" s="153" t="e">
        <v>#NAME?</v>
      </c>
      <c r="AO1227" s="153" t="e">
        <f aca="false">_xlfn.xlookup(AN1227,A:A,F:F)</f>
        <v>#NAME?</v>
      </c>
      <c r="AP1227" s="153" t="e">
        <f aca="false">_xlfn.xlookup(AN1227,A:A,J:J)</f>
        <v>#NAME?</v>
      </c>
      <c r="AQ1227" s="153" t="e">
        <f aca="false">_xlfn.xlookup(AN1227,A:A,N:N)+_xlfn.xlookup(AN1227,A:A,O:O)</f>
        <v>#NAME?</v>
      </c>
      <c r="AR1227" s="150" t="e">
        <f aca="false">_xlfn.xlookup(AN1227,A:A,AH:AH)</f>
        <v>#NAME?</v>
      </c>
      <c r="AS1227" s="150" t="e">
        <f aca="false">_xlfn.xlookup(AN1227,A:A,S:S)</f>
        <v>#NAME?</v>
      </c>
      <c r="AT1227" s="150" t="e">
        <f aca="false">_xlfn.xlookup(AN1227,A:A,AE:AE)</f>
        <v>#NAME?</v>
      </c>
      <c r="AU1227" s="150" t="e">
        <f aca="false">_xlfn.xlookup(AN1227,A:A,AF:AF)</f>
        <v>#NAME?</v>
      </c>
      <c r="AX1227" s="146"/>
      <c r="AY1227" s="150"/>
      <c r="AZ1227" s="150"/>
      <c r="BA1227" s="150"/>
      <c r="BB1227" s="146"/>
      <c r="BC1227" s="146"/>
      <c r="BD1227" s="151"/>
      <c r="BE1227" s="146"/>
      <c r="BF1227" s="146"/>
      <c r="BH1227" s="152" t="e">
        <f aca="false">_xlfn.xlookup(BG1227,A:A,E:E)</f>
        <v>#NAME?</v>
      </c>
      <c r="BI1227" s="153" t="e">
        <f aca="false">_xlfn.xlookup(BG1227,A:A,J:J)</f>
        <v>#NAME?</v>
      </c>
      <c r="BJ1227" s="153" t="e">
        <f aca="false">_xlfn.xlookup(BG1227,A:A,N:N)+_xlfn.xlookup(BG1227,A:A,O:O)</f>
        <v>#NAME?</v>
      </c>
    </row>
    <row r="1228" s="153" customFormat="true" ht="15" hidden="false" customHeight="false" outlineLevel="0" collapsed="false">
      <c r="AN1228" s="153" t="e">
        <v>#NAME?</v>
      </c>
      <c r="AO1228" s="153" t="e">
        <f aca="false">_xlfn.xlookup(AN1228,A:A,F:F)</f>
        <v>#NAME?</v>
      </c>
      <c r="AP1228" s="153" t="e">
        <f aca="false">_xlfn.xlookup(AN1228,A:A,J:J)</f>
        <v>#NAME?</v>
      </c>
      <c r="AQ1228" s="153" t="e">
        <f aca="false">_xlfn.xlookup(AN1228,A:A,N:N)+_xlfn.xlookup(AN1228,A:A,O:O)</f>
        <v>#NAME?</v>
      </c>
      <c r="AR1228" s="150" t="e">
        <f aca="false">_xlfn.xlookup(AN1228,A:A,AH:AH)</f>
        <v>#NAME?</v>
      </c>
      <c r="AS1228" s="150" t="e">
        <f aca="false">_xlfn.xlookup(AN1228,A:A,S:S)</f>
        <v>#NAME?</v>
      </c>
      <c r="AT1228" s="150" t="e">
        <f aca="false">_xlfn.xlookup(AN1228,A:A,AE:AE)</f>
        <v>#NAME?</v>
      </c>
      <c r="AU1228" s="150" t="e">
        <f aca="false">_xlfn.xlookup(AN1228,A:A,AF:AF)</f>
        <v>#NAME?</v>
      </c>
      <c r="AX1228" s="146"/>
      <c r="AY1228" s="150"/>
      <c r="AZ1228" s="150"/>
      <c r="BA1228" s="150"/>
      <c r="BB1228" s="146"/>
      <c r="BC1228" s="146"/>
      <c r="BD1228" s="151"/>
      <c r="BE1228" s="146"/>
      <c r="BF1228" s="146"/>
      <c r="BH1228" s="152" t="e">
        <f aca="false">_xlfn.xlookup(BG1228,A:A,E:E)</f>
        <v>#NAME?</v>
      </c>
      <c r="BI1228" s="153" t="e">
        <f aca="false">_xlfn.xlookup(BG1228,A:A,J:J)</f>
        <v>#NAME?</v>
      </c>
      <c r="BJ1228" s="153" t="e">
        <f aca="false">_xlfn.xlookup(BG1228,A:A,N:N)+_xlfn.xlookup(BG1228,A:A,O:O)</f>
        <v>#NAME?</v>
      </c>
    </row>
    <row r="1229" s="153" customFormat="true" ht="15" hidden="false" customHeight="false" outlineLevel="0" collapsed="false">
      <c r="AN1229" s="153" t="e">
        <v>#NAME?</v>
      </c>
      <c r="AO1229" s="153" t="e">
        <f aca="false">_xlfn.xlookup(AN1229,A:A,F:F)</f>
        <v>#NAME?</v>
      </c>
      <c r="AP1229" s="153" t="e">
        <f aca="false">_xlfn.xlookup(AN1229,A:A,J:J)</f>
        <v>#NAME?</v>
      </c>
      <c r="AQ1229" s="153" t="e">
        <f aca="false">_xlfn.xlookup(AN1229,A:A,N:N)+_xlfn.xlookup(AN1229,A:A,O:O)</f>
        <v>#NAME?</v>
      </c>
      <c r="AR1229" s="150" t="e">
        <f aca="false">_xlfn.xlookup(AN1229,A:A,AH:AH)</f>
        <v>#NAME?</v>
      </c>
      <c r="AS1229" s="150" t="e">
        <f aca="false">_xlfn.xlookup(AN1229,A:A,S:S)</f>
        <v>#NAME?</v>
      </c>
      <c r="AT1229" s="150" t="e">
        <f aca="false">_xlfn.xlookup(AN1229,A:A,AE:AE)</f>
        <v>#NAME?</v>
      </c>
      <c r="AU1229" s="150" t="e">
        <f aca="false">_xlfn.xlookup(AN1229,A:A,AF:AF)</f>
        <v>#NAME?</v>
      </c>
      <c r="AX1229" s="146"/>
      <c r="AY1229" s="150"/>
      <c r="AZ1229" s="150"/>
      <c r="BA1229" s="150"/>
      <c r="BB1229" s="146"/>
      <c r="BC1229" s="146"/>
      <c r="BD1229" s="151"/>
      <c r="BE1229" s="146"/>
      <c r="BF1229" s="146"/>
      <c r="BH1229" s="152" t="e">
        <f aca="false">_xlfn.xlookup(BG1229,A:A,E:E)</f>
        <v>#NAME?</v>
      </c>
      <c r="BI1229" s="153" t="e">
        <f aca="false">_xlfn.xlookup(BG1229,A:A,J:J)</f>
        <v>#NAME?</v>
      </c>
      <c r="BJ1229" s="153" t="e">
        <f aca="false">_xlfn.xlookup(BG1229,A:A,N:N)+_xlfn.xlookup(BG1229,A:A,O:O)</f>
        <v>#NAME?</v>
      </c>
    </row>
    <row r="1230" s="153" customFormat="true" ht="15" hidden="false" customHeight="false" outlineLevel="0" collapsed="false">
      <c r="AN1230" s="153" t="e">
        <v>#NAME?</v>
      </c>
      <c r="AO1230" s="153" t="e">
        <f aca="false">_xlfn.xlookup(AN1230,A:A,F:F)</f>
        <v>#NAME?</v>
      </c>
      <c r="AP1230" s="153" t="e">
        <f aca="false">_xlfn.xlookup(AN1230,A:A,J:J)</f>
        <v>#NAME?</v>
      </c>
      <c r="AQ1230" s="153" t="e">
        <f aca="false">_xlfn.xlookup(AN1230,A:A,N:N)+_xlfn.xlookup(AN1230,A:A,O:O)</f>
        <v>#NAME?</v>
      </c>
      <c r="AR1230" s="150" t="e">
        <f aca="false">_xlfn.xlookup(AN1230,A:A,AH:AH)</f>
        <v>#NAME?</v>
      </c>
      <c r="AS1230" s="150" t="e">
        <f aca="false">_xlfn.xlookup(AN1230,A:A,S:S)</f>
        <v>#NAME?</v>
      </c>
      <c r="AT1230" s="150" t="e">
        <f aca="false">_xlfn.xlookup(AN1230,A:A,AE:AE)</f>
        <v>#NAME?</v>
      </c>
      <c r="AU1230" s="150" t="e">
        <f aca="false">_xlfn.xlookup(AN1230,A:A,AF:AF)</f>
        <v>#NAME?</v>
      </c>
      <c r="AX1230" s="146"/>
      <c r="AY1230" s="150"/>
      <c r="AZ1230" s="150"/>
      <c r="BA1230" s="150"/>
      <c r="BB1230" s="146"/>
      <c r="BC1230" s="146"/>
      <c r="BD1230" s="151"/>
      <c r="BE1230" s="146"/>
      <c r="BF1230" s="146"/>
      <c r="BH1230" s="152" t="e">
        <f aca="false">_xlfn.xlookup(BG1230,A:A,E:E)</f>
        <v>#NAME?</v>
      </c>
      <c r="BI1230" s="153" t="e">
        <f aca="false">_xlfn.xlookup(BG1230,A:A,J:J)</f>
        <v>#NAME?</v>
      </c>
      <c r="BJ1230" s="153" t="e">
        <f aca="false">_xlfn.xlookup(BG1230,A:A,N:N)+_xlfn.xlookup(BG1230,A:A,O:O)</f>
        <v>#NAME?</v>
      </c>
    </row>
    <row r="1231" s="153" customFormat="true" ht="15" hidden="false" customHeight="false" outlineLevel="0" collapsed="false">
      <c r="AN1231" s="153" t="e">
        <v>#NAME?</v>
      </c>
      <c r="AO1231" s="153" t="e">
        <f aca="false">_xlfn.xlookup(AN1231,A:A,F:F)</f>
        <v>#NAME?</v>
      </c>
      <c r="AP1231" s="153" t="e">
        <f aca="false">_xlfn.xlookup(AN1231,A:A,J:J)</f>
        <v>#NAME?</v>
      </c>
      <c r="AQ1231" s="153" t="e">
        <f aca="false">_xlfn.xlookup(AN1231,A:A,N:N)+_xlfn.xlookup(AN1231,A:A,O:O)</f>
        <v>#NAME?</v>
      </c>
      <c r="AR1231" s="150" t="e">
        <f aca="false">_xlfn.xlookup(AN1231,A:A,AH:AH)</f>
        <v>#NAME?</v>
      </c>
      <c r="AS1231" s="150" t="e">
        <f aca="false">_xlfn.xlookup(AN1231,A:A,S:S)</f>
        <v>#NAME?</v>
      </c>
      <c r="AT1231" s="150" t="e">
        <f aca="false">_xlfn.xlookup(AN1231,A:A,AE:AE)</f>
        <v>#NAME?</v>
      </c>
      <c r="AU1231" s="150" t="e">
        <f aca="false">_xlfn.xlookup(AN1231,A:A,AF:AF)</f>
        <v>#NAME?</v>
      </c>
      <c r="AX1231" s="146"/>
      <c r="AY1231" s="150"/>
      <c r="AZ1231" s="150"/>
      <c r="BA1231" s="150"/>
      <c r="BB1231" s="146"/>
      <c r="BC1231" s="146"/>
      <c r="BD1231" s="151"/>
      <c r="BE1231" s="146"/>
      <c r="BF1231" s="146"/>
      <c r="BH1231" s="152" t="e">
        <f aca="false">_xlfn.xlookup(BG1231,A:A,E:E)</f>
        <v>#NAME?</v>
      </c>
      <c r="BI1231" s="153" t="e">
        <f aca="false">_xlfn.xlookup(BG1231,A:A,J:J)</f>
        <v>#NAME?</v>
      </c>
      <c r="BJ1231" s="153" t="e">
        <f aca="false">_xlfn.xlookup(BG1231,A:A,N:N)+_xlfn.xlookup(BG1231,A:A,O:O)</f>
        <v>#NAME?</v>
      </c>
    </row>
    <row r="1232" s="153" customFormat="true" ht="15" hidden="false" customHeight="false" outlineLevel="0" collapsed="false">
      <c r="AN1232" s="153" t="e">
        <v>#NAME?</v>
      </c>
      <c r="AO1232" s="153" t="e">
        <f aca="false">_xlfn.xlookup(AN1232,A:A,F:F)</f>
        <v>#NAME?</v>
      </c>
      <c r="AP1232" s="153" t="e">
        <f aca="false">_xlfn.xlookup(AN1232,A:A,J:J)</f>
        <v>#NAME?</v>
      </c>
      <c r="AQ1232" s="153" t="e">
        <f aca="false">_xlfn.xlookup(AN1232,A:A,N:N)+_xlfn.xlookup(AN1232,A:A,O:O)</f>
        <v>#NAME?</v>
      </c>
      <c r="AR1232" s="150" t="e">
        <f aca="false">_xlfn.xlookup(AN1232,A:A,AH:AH)</f>
        <v>#NAME?</v>
      </c>
      <c r="AS1232" s="150" t="e">
        <f aca="false">_xlfn.xlookup(AN1232,A:A,S:S)</f>
        <v>#NAME?</v>
      </c>
      <c r="AT1232" s="150" t="e">
        <f aca="false">_xlfn.xlookup(AN1232,A:A,AE:AE)</f>
        <v>#NAME?</v>
      </c>
      <c r="AU1232" s="150" t="e">
        <f aca="false">_xlfn.xlookup(AN1232,A:A,AF:AF)</f>
        <v>#NAME?</v>
      </c>
      <c r="AX1232" s="146"/>
      <c r="AY1232" s="150"/>
      <c r="AZ1232" s="150"/>
      <c r="BA1232" s="150"/>
      <c r="BB1232" s="146"/>
      <c r="BC1232" s="146"/>
      <c r="BD1232" s="151"/>
      <c r="BE1232" s="146"/>
      <c r="BF1232" s="146"/>
      <c r="BH1232" s="152" t="e">
        <f aca="false">_xlfn.xlookup(BG1232,A:A,E:E)</f>
        <v>#NAME?</v>
      </c>
      <c r="BI1232" s="153" t="e">
        <f aca="false">_xlfn.xlookup(BG1232,A:A,J:J)</f>
        <v>#NAME?</v>
      </c>
      <c r="BJ1232" s="153" t="e">
        <f aca="false">_xlfn.xlookup(BG1232,A:A,N:N)+_xlfn.xlookup(BG1232,A:A,O:O)</f>
        <v>#NAME?</v>
      </c>
    </row>
    <row r="1233" s="153" customFormat="true" ht="15" hidden="false" customHeight="false" outlineLevel="0" collapsed="false">
      <c r="AN1233" s="153" t="e">
        <v>#NAME?</v>
      </c>
      <c r="AO1233" s="153" t="e">
        <f aca="false">_xlfn.xlookup(AN1233,A:A,F:F)</f>
        <v>#NAME?</v>
      </c>
      <c r="AP1233" s="153" t="e">
        <f aca="false">_xlfn.xlookup(AN1233,A:A,J:J)</f>
        <v>#NAME?</v>
      </c>
      <c r="AQ1233" s="153" t="e">
        <f aca="false">_xlfn.xlookup(AN1233,A:A,N:N)+_xlfn.xlookup(AN1233,A:A,O:O)</f>
        <v>#NAME?</v>
      </c>
      <c r="AR1233" s="150" t="e">
        <f aca="false">_xlfn.xlookup(AN1233,A:A,AH:AH)</f>
        <v>#NAME?</v>
      </c>
      <c r="AS1233" s="150" t="e">
        <f aca="false">_xlfn.xlookup(AN1233,A:A,S:S)</f>
        <v>#NAME?</v>
      </c>
      <c r="AT1233" s="150" t="e">
        <f aca="false">_xlfn.xlookup(AN1233,A:A,AE:AE)</f>
        <v>#NAME?</v>
      </c>
      <c r="AU1233" s="150" t="e">
        <f aca="false">_xlfn.xlookup(AN1233,A:A,AF:AF)</f>
        <v>#NAME?</v>
      </c>
      <c r="AX1233" s="146"/>
      <c r="AY1233" s="150"/>
      <c r="AZ1233" s="150"/>
      <c r="BA1233" s="150"/>
      <c r="BB1233" s="146"/>
      <c r="BC1233" s="146"/>
      <c r="BD1233" s="151"/>
      <c r="BE1233" s="146"/>
      <c r="BF1233" s="146"/>
      <c r="BH1233" s="152" t="e">
        <f aca="false">_xlfn.xlookup(BG1233,A:A,E:E)</f>
        <v>#NAME?</v>
      </c>
      <c r="BI1233" s="153" t="e">
        <f aca="false">_xlfn.xlookup(BG1233,A:A,J:J)</f>
        <v>#NAME?</v>
      </c>
      <c r="BJ1233" s="153" t="e">
        <f aca="false">_xlfn.xlookup(BG1233,A:A,N:N)+_xlfn.xlookup(BG1233,A:A,O:O)</f>
        <v>#NAME?</v>
      </c>
    </row>
    <row r="1234" s="153" customFormat="true" ht="15" hidden="false" customHeight="false" outlineLevel="0" collapsed="false">
      <c r="AN1234" s="153" t="e">
        <v>#NAME?</v>
      </c>
      <c r="AO1234" s="153" t="e">
        <f aca="false">_xlfn.xlookup(AN1234,A:A,F:F)</f>
        <v>#NAME?</v>
      </c>
      <c r="AP1234" s="153" t="e">
        <f aca="false">_xlfn.xlookup(AN1234,A:A,J:J)</f>
        <v>#NAME?</v>
      </c>
      <c r="AQ1234" s="153" t="e">
        <f aca="false">_xlfn.xlookup(AN1234,A:A,N:N)+_xlfn.xlookup(AN1234,A:A,O:O)</f>
        <v>#NAME?</v>
      </c>
      <c r="AR1234" s="150" t="e">
        <f aca="false">_xlfn.xlookup(AN1234,A:A,AH:AH)</f>
        <v>#NAME?</v>
      </c>
      <c r="AS1234" s="150" t="e">
        <f aca="false">_xlfn.xlookup(AN1234,A:A,S:S)</f>
        <v>#NAME?</v>
      </c>
      <c r="AT1234" s="150" t="e">
        <f aca="false">_xlfn.xlookup(AN1234,A:A,AE:AE)</f>
        <v>#NAME?</v>
      </c>
      <c r="AU1234" s="150" t="e">
        <f aca="false">_xlfn.xlookup(AN1234,A:A,AF:AF)</f>
        <v>#NAME?</v>
      </c>
      <c r="AX1234" s="146"/>
      <c r="AY1234" s="150"/>
      <c r="AZ1234" s="150"/>
      <c r="BA1234" s="150"/>
      <c r="BB1234" s="146"/>
      <c r="BC1234" s="146"/>
      <c r="BD1234" s="151"/>
      <c r="BE1234" s="146"/>
      <c r="BF1234" s="146"/>
      <c r="BH1234" s="152" t="e">
        <f aca="false">_xlfn.xlookup(BG1234,A:A,E:E)</f>
        <v>#NAME?</v>
      </c>
      <c r="BI1234" s="153" t="e">
        <f aca="false">_xlfn.xlookup(BG1234,A:A,J:J)</f>
        <v>#NAME?</v>
      </c>
      <c r="BJ1234" s="153" t="e">
        <f aca="false">_xlfn.xlookup(BG1234,A:A,N:N)+_xlfn.xlookup(BG1234,A:A,O:O)</f>
        <v>#NAME?</v>
      </c>
    </row>
    <row r="1235" s="153" customFormat="true" ht="15" hidden="false" customHeight="false" outlineLevel="0" collapsed="false">
      <c r="AN1235" s="153" t="e">
        <v>#NAME?</v>
      </c>
      <c r="AO1235" s="153" t="e">
        <f aca="false">_xlfn.xlookup(AN1235,A:A,F:F)</f>
        <v>#NAME?</v>
      </c>
      <c r="AP1235" s="153" t="e">
        <f aca="false">_xlfn.xlookup(AN1235,A:A,J:J)</f>
        <v>#NAME?</v>
      </c>
      <c r="AQ1235" s="153" t="e">
        <f aca="false">_xlfn.xlookup(AN1235,A:A,N:N)+_xlfn.xlookup(AN1235,A:A,O:O)</f>
        <v>#NAME?</v>
      </c>
      <c r="AR1235" s="150" t="e">
        <f aca="false">_xlfn.xlookup(AN1235,A:A,AH:AH)</f>
        <v>#NAME?</v>
      </c>
      <c r="AS1235" s="150" t="e">
        <f aca="false">_xlfn.xlookup(AN1235,A:A,S:S)</f>
        <v>#NAME?</v>
      </c>
      <c r="AT1235" s="150" t="e">
        <f aca="false">_xlfn.xlookup(AN1235,A:A,AE:AE)</f>
        <v>#NAME?</v>
      </c>
      <c r="AU1235" s="150" t="e">
        <f aca="false">_xlfn.xlookup(AN1235,A:A,AF:AF)</f>
        <v>#NAME?</v>
      </c>
      <c r="AX1235" s="146"/>
      <c r="AY1235" s="150"/>
      <c r="AZ1235" s="150"/>
      <c r="BA1235" s="150"/>
      <c r="BB1235" s="146"/>
      <c r="BC1235" s="146"/>
      <c r="BD1235" s="151"/>
      <c r="BE1235" s="146"/>
      <c r="BF1235" s="146"/>
      <c r="BH1235" s="152" t="e">
        <f aca="false">_xlfn.xlookup(BG1235,A:A,E:E)</f>
        <v>#NAME?</v>
      </c>
      <c r="BI1235" s="153" t="e">
        <f aca="false">_xlfn.xlookup(BG1235,A:A,J:J)</f>
        <v>#NAME?</v>
      </c>
      <c r="BJ1235" s="153" t="e">
        <f aca="false">_xlfn.xlookup(BG1235,A:A,N:N)+_xlfn.xlookup(BG1235,A:A,O:O)</f>
        <v>#NAME?</v>
      </c>
    </row>
    <row r="1236" s="153" customFormat="true" ht="15" hidden="false" customHeight="false" outlineLevel="0" collapsed="false">
      <c r="AN1236" s="153" t="e">
        <v>#NAME?</v>
      </c>
      <c r="AO1236" s="153" t="e">
        <f aca="false">_xlfn.xlookup(AN1236,A:A,F:F)</f>
        <v>#NAME?</v>
      </c>
      <c r="AP1236" s="153" t="e">
        <f aca="false">_xlfn.xlookup(AN1236,A:A,J:J)</f>
        <v>#NAME?</v>
      </c>
      <c r="AQ1236" s="153" t="e">
        <f aca="false">_xlfn.xlookup(AN1236,A:A,N:N)+_xlfn.xlookup(AN1236,A:A,O:O)</f>
        <v>#NAME?</v>
      </c>
      <c r="AR1236" s="150" t="e">
        <f aca="false">_xlfn.xlookup(AN1236,A:A,AH:AH)</f>
        <v>#NAME?</v>
      </c>
      <c r="AS1236" s="150" t="e">
        <f aca="false">_xlfn.xlookup(AN1236,A:A,S:S)</f>
        <v>#NAME?</v>
      </c>
      <c r="AT1236" s="150" t="e">
        <f aca="false">_xlfn.xlookup(AN1236,A:A,AE:AE)</f>
        <v>#NAME?</v>
      </c>
      <c r="AU1236" s="150" t="e">
        <f aca="false">_xlfn.xlookup(AN1236,A:A,AF:AF)</f>
        <v>#NAME?</v>
      </c>
      <c r="AX1236" s="146"/>
      <c r="AY1236" s="150"/>
      <c r="AZ1236" s="150"/>
      <c r="BA1236" s="150"/>
      <c r="BB1236" s="146"/>
      <c r="BC1236" s="146"/>
      <c r="BD1236" s="151"/>
      <c r="BE1236" s="146"/>
      <c r="BF1236" s="146"/>
      <c r="BH1236" s="152" t="e">
        <f aca="false">_xlfn.xlookup(BG1236,A:A,E:E)</f>
        <v>#NAME?</v>
      </c>
      <c r="BI1236" s="153" t="e">
        <f aca="false">_xlfn.xlookup(BG1236,A:A,J:J)</f>
        <v>#NAME?</v>
      </c>
      <c r="BJ1236" s="153" t="e">
        <f aca="false">_xlfn.xlookup(BG1236,A:A,N:N)+_xlfn.xlookup(BG1236,A:A,O:O)</f>
        <v>#NAME?</v>
      </c>
    </row>
    <row r="1237" s="153" customFormat="true" ht="15" hidden="false" customHeight="false" outlineLevel="0" collapsed="false">
      <c r="AN1237" s="153" t="e">
        <v>#NAME?</v>
      </c>
      <c r="AO1237" s="153" t="e">
        <f aca="false">_xlfn.xlookup(AN1237,A:A,F:F)</f>
        <v>#NAME?</v>
      </c>
      <c r="AP1237" s="153" t="e">
        <f aca="false">_xlfn.xlookup(AN1237,A:A,J:J)</f>
        <v>#NAME?</v>
      </c>
      <c r="AQ1237" s="153" t="e">
        <f aca="false">_xlfn.xlookup(AN1237,A:A,N:N)+_xlfn.xlookup(AN1237,A:A,O:O)</f>
        <v>#NAME?</v>
      </c>
      <c r="AR1237" s="150" t="e">
        <f aca="false">_xlfn.xlookup(AN1237,A:A,AH:AH)</f>
        <v>#NAME?</v>
      </c>
      <c r="AS1237" s="150" t="e">
        <f aca="false">_xlfn.xlookup(AN1237,A:A,S:S)</f>
        <v>#NAME?</v>
      </c>
      <c r="AT1237" s="150" t="e">
        <f aca="false">_xlfn.xlookup(AN1237,A:A,AE:AE)</f>
        <v>#NAME?</v>
      </c>
      <c r="AU1237" s="150" t="e">
        <f aca="false">_xlfn.xlookup(AN1237,A:A,AF:AF)</f>
        <v>#NAME?</v>
      </c>
      <c r="AX1237" s="146"/>
      <c r="AY1237" s="150"/>
      <c r="AZ1237" s="150"/>
      <c r="BA1237" s="150"/>
      <c r="BB1237" s="146"/>
      <c r="BC1237" s="146"/>
      <c r="BD1237" s="151"/>
      <c r="BE1237" s="146"/>
      <c r="BF1237" s="146"/>
      <c r="BH1237" s="152" t="e">
        <f aca="false">_xlfn.xlookup(BG1237,A:A,E:E)</f>
        <v>#NAME?</v>
      </c>
      <c r="BI1237" s="153" t="e">
        <f aca="false">_xlfn.xlookup(BG1237,A:A,J:J)</f>
        <v>#NAME?</v>
      </c>
      <c r="BJ1237" s="153" t="e">
        <f aca="false">_xlfn.xlookup(BG1237,A:A,N:N)+_xlfn.xlookup(BG1237,A:A,O:O)</f>
        <v>#NAME?</v>
      </c>
    </row>
    <row r="1238" s="153" customFormat="true" ht="15" hidden="false" customHeight="false" outlineLevel="0" collapsed="false">
      <c r="AN1238" s="153" t="e">
        <v>#NAME?</v>
      </c>
      <c r="AO1238" s="153" t="e">
        <f aca="false">_xlfn.xlookup(AN1238,A:A,F:F)</f>
        <v>#NAME?</v>
      </c>
      <c r="AP1238" s="153" t="e">
        <f aca="false">_xlfn.xlookup(AN1238,A:A,J:J)</f>
        <v>#NAME?</v>
      </c>
      <c r="AQ1238" s="153" t="e">
        <f aca="false">_xlfn.xlookup(AN1238,A:A,N:N)+_xlfn.xlookup(AN1238,A:A,O:O)</f>
        <v>#NAME?</v>
      </c>
      <c r="AR1238" s="150" t="e">
        <f aca="false">_xlfn.xlookup(AN1238,A:A,AH:AH)</f>
        <v>#NAME?</v>
      </c>
      <c r="AS1238" s="150" t="e">
        <f aca="false">_xlfn.xlookup(AN1238,A:A,S:S)</f>
        <v>#NAME?</v>
      </c>
      <c r="AT1238" s="150" t="e">
        <f aca="false">_xlfn.xlookup(AN1238,A:A,AE:AE)</f>
        <v>#NAME?</v>
      </c>
      <c r="AU1238" s="150" t="e">
        <f aca="false">_xlfn.xlookup(AN1238,A:A,AF:AF)</f>
        <v>#NAME?</v>
      </c>
      <c r="AX1238" s="146"/>
      <c r="AY1238" s="150"/>
      <c r="AZ1238" s="150"/>
      <c r="BA1238" s="150"/>
      <c r="BB1238" s="146"/>
      <c r="BC1238" s="146"/>
      <c r="BD1238" s="151"/>
      <c r="BE1238" s="146"/>
      <c r="BF1238" s="146"/>
      <c r="BH1238" s="152" t="e">
        <f aca="false">_xlfn.xlookup(BG1238,A:A,E:E)</f>
        <v>#NAME?</v>
      </c>
      <c r="BI1238" s="153" t="e">
        <f aca="false">_xlfn.xlookup(BG1238,A:A,J:J)</f>
        <v>#NAME?</v>
      </c>
      <c r="BJ1238" s="153" t="e">
        <f aca="false">_xlfn.xlookup(BG1238,A:A,N:N)+_xlfn.xlookup(BG1238,A:A,O:O)</f>
        <v>#NAME?</v>
      </c>
    </row>
    <row r="1239" s="153" customFormat="true" ht="15" hidden="false" customHeight="false" outlineLevel="0" collapsed="false">
      <c r="AN1239" s="153" t="e">
        <v>#NAME?</v>
      </c>
      <c r="AO1239" s="153" t="e">
        <f aca="false">_xlfn.xlookup(AN1239,A:A,F:F)</f>
        <v>#NAME?</v>
      </c>
      <c r="AP1239" s="153" t="e">
        <f aca="false">_xlfn.xlookup(AN1239,A:A,J:J)</f>
        <v>#NAME?</v>
      </c>
      <c r="AQ1239" s="153" t="e">
        <f aca="false">_xlfn.xlookup(AN1239,A:A,N:N)+_xlfn.xlookup(AN1239,A:A,O:O)</f>
        <v>#NAME?</v>
      </c>
      <c r="AR1239" s="150" t="e">
        <f aca="false">_xlfn.xlookup(AN1239,A:A,AH:AH)</f>
        <v>#NAME?</v>
      </c>
      <c r="AS1239" s="150" t="e">
        <f aca="false">_xlfn.xlookup(AN1239,A:A,S:S)</f>
        <v>#NAME?</v>
      </c>
      <c r="AT1239" s="150" t="e">
        <f aca="false">_xlfn.xlookup(AN1239,A:A,AE:AE)</f>
        <v>#NAME?</v>
      </c>
      <c r="AU1239" s="150" t="e">
        <f aca="false">_xlfn.xlookup(AN1239,A:A,AF:AF)</f>
        <v>#NAME?</v>
      </c>
      <c r="AX1239" s="146"/>
      <c r="AY1239" s="150"/>
      <c r="AZ1239" s="150"/>
      <c r="BA1239" s="150"/>
      <c r="BB1239" s="146"/>
      <c r="BC1239" s="146"/>
      <c r="BD1239" s="151"/>
      <c r="BE1239" s="146"/>
      <c r="BF1239" s="146"/>
      <c r="BH1239" s="152" t="e">
        <f aca="false">_xlfn.xlookup(BG1239,A:A,E:E)</f>
        <v>#NAME?</v>
      </c>
      <c r="BI1239" s="153" t="e">
        <f aca="false">_xlfn.xlookup(BG1239,A:A,J:J)</f>
        <v>#NAME?</v>
      </c>
      <c r="BJ1239" s="153" t="e">
        <f aca="false">_xlfn.xlookup(BG1239,A:A,N:N)+_xlfn.xlookup(BG1239,A:A,O:O)</f>
        <v>#NAME?</v>
      </c>
    </row>
    <row r="1240" s="153" customFormat="true" ht="15" hidden="false" customHeight="false" outlineLevel="0" collapsed="false">
      <c r="AN1240" s="153" t="e">
        <v>#NAME?</v>
      </c>
      <c r="AO1240" s="153" t="e">
        <f aca="false">_xlfn.xlookup(AN1240,A:A,F:F)</f>
        <v>#NAME?</v>
      </c>
      <c r="AP1240" s="153" t="e">
        <f aca="false">_xlfn.xlookup(AN1240,A:A,J:J)</f>
        <v>#NAME?</v>
      </c>
      <c r="AQ1240" s="153" t="e">
        <f aca="false">_xlfn.xlookup(AN1240,A:A,N:N)+_xlfn.xlookup(AN1240,A:A,O:O)</f>
        <v>#NAME?</v>
      </c>
      <c r="AR1240" s="150" t="e">
        <f aca="false">_xlfn.xlookup(AN1240,A:A,AH:AH)</f>
        <v>#NAME?</v>
      </c>
      <c r="AS1240" s="150" t="e">
        <f aca="false">_xlfn.xlookup(AN1240,A:A,S:S)</f>
        <v>#NAME?</v>
      </c>
      <c r="AT1240" s="150" t="e">
        <f aca="false">_xlfn.xlookup(AN1240,A:A,AE:AE)</f>
        <v>#NAME?</v>
      </c>
      <c r="AU1240" s="150" t="e">
        <f aca="false">_xlfn.xlookup(AN1240,A:A,AF:AF)</f>
        <v>#NAME?</v>
      </c>
      <c r="AX1240" s="146"/>
      <c r="AY1240" s="150"/>
      <c r="AZ1240" s="150"/>
      <c r="BA1240" s="150"/>
      <c r="BB1240" s="146"/>
      <c r="BC1240" s="146"/>
      <c r="BD1240" s="151"/>
      <c r="BE1240" s="146"/>
      <c r="BF1240" s="146"/>
      <c r="BH1240" s="152" t="e">
        <f aca="false">_xlfn.xlookup(BG1240,A:A,E:E)</f>
        <v>#NAME?</v>
      </c>
      <c r="BI1240" s="153" t="e">
        <f aca="false">_xlfn.xlookup(BG1240,A:A,J:J)</f>
        <v>#NAME?</v>
      </c>
      <c r="BJ1240" s="153" t="e">
        <f aca="false">_xlfn.xlookup(BG1240,A:A,N:N)+_xlfn.xlookup(BG1240,A:A,O:O)</f>
        <v>#NAME?</v>
      </c>
    </row>
    <row r="1241" s="153" customFormat="true" ht="15" hidden="false" customHeight="false" outlineLevel="0" collapsed="false">
      <c r="AN1241" s="153" t="e">
        <v>#NAME?</v>
      </c>
      <c r="AO1241" s="153" t="e">
        <f aca="false">_xlfn.xlookup(AN1241,A:A,F:F)</f>
        <v>#NAME?</v>
      </c>
      <c r="AP1241" s="153" t="e">
        <f aca="false">_xlfn.xlookup(AN1241,A:A,J:J)</f>
        <v>#NAME?</v>
      </c>
      <c r="AQ1241" s="153" t="e">
        <f aca="false">_xlfn.xlookup(AN1241,A:A,N:N)+_xlfn.xlookup(AN1241,A:A,O:O)</f>
        <v>#NAME?</v>
      </c>
      <c r="AR1241" s="150" t="e">
        <f aca="false">_xlfn.xlookup(AN1241,A:A,AH:AH)</f>
        <v>#NAME?</v>
      </c>
      <c r="AS1241" s="150" t="e">
        <f aca="false">_xlfn.xlookup(AN1241,A:A,S:S)</f>
        <v>#NAME?</v>
      </c>
      <c r="AT1241" s="150" t="e">
        <f aca="false">_xlfn.xlookup(AN1241,A:A,AE:AE)</f>
        <v>#NAME?</v>
      </c>
      <c r="AU1241" s="150" t="e">
        <f aca="false">_xlfn.xlookup(AN1241,A:A,AF:AF)</f>
        <v>#NAME?</v>
      </c>
      <c r="AX1241" s="146"/>
      <c r="AY1241" s="150"/>
      <c r="AZ1241" s="150"/>
      <c r="BA1241" s="150"/>
      <c r="BB1241" s="146"/>
      <c r="BC1241" s="146"/>
      <c r="BD1241" s="151"/>
      <c r="BE1241" s="146"/>
      <c r="BF1241" s="146"/>
      <c r="BH1241" s="152" t="e">
        <f aca="false">_xlfn.xlookup(BG1241,A:A,E:E)</f>
        <v>#NAME?</v>
      </c>
      <c r="BI1241" s="153" t="e">
        <f aca="false">_xlfn.xlookup(BG1241,A:A,J:J)</f>
        <v>#NAME?</v>
      </c>
      <c r="BJ1241" s="153" t="e">
        <f aca="false">_xlfn.xlookup(BG1241,A:A,N:N)+_xlfn.xlookup(BG1241,A:A,O:O)</f>
        <v>#NAME?</v>
      </c>
    </row>
    <row r="1242" s="153" customFormat="true" ht="15" hidden="false" customHeight="false" outlineLevel="0" collapsed="false">
      <c r="AN1242" s="153" t="e">
        <v>#NAME?</v>
      </c>
      <c r="AO1242" s="153" t="e">
        <f aca="false">_xlfn.xlookup(AN1242,A:A,F:F)</f>
        <v>#NAME?</v>
      </c>
      <c r="AP1242" s="153" t="e">
        <f aca="false">_xlfn.xlookup(AN1242,A:A,J:J)</f>
        <v>#NAME?</v>
      </c>
      <c r="AQ1242" s="153" t="e">
        <f aca="false">_xlfn.xlookup(AN1242,A:A,N:N)+_xlfn.xlookup(AN1242,A:A,O:O)</f>
        <v>#NAME?</v>
      </c>
      <c r="AR1242" s="150" t="e">
        <f aca="false">_xlfn.xlookup(AN1242,A:A,AH:AH)</f>
        <v>#NAME?</v>
      </c>
      <c r="AS1242" s="150" t="e">
        <f aca="false">_xlfn.xlookup(AN1242,A:A,S:S)</f>
        <v>#NAME?</v>
      </c>
      <c r="AT1242" s="150" t="e">
        <f aca="false">_xlfn.xlookup(AN1242,A:A,AE:AE)</f>
        <v>#NAME?</v>
      </c>
      <c r="AU1242" s="150" t="e">
        <f aca="false">_xlfn.xlookup(AN1242,A:A,AF:AF)</f>
        <v>#NAME?</v>
      </c>
      <c r="AX1242" s="146"/>
      <c r="AY1242" s="150"/>
      <c r="AZ1242" s="150"/>
      <c r="BA1242" s="150"/>
      <c r="BB1242" s="146"/>
      <c r="BC1242" s="146"/>
      <c r="BD1242" s="151"/>
      <c r="BE1242" s="146"/>
      <c r="BF1242" s="146"/>
      <c r="BH1242" s="152" t="e">
        <f aca="false">_xlfn.xlookup(BG1242,A:A,E:E)</f>
        <v>#NAME?</v>
      </c>
      <c r="BI1242" s="153" t="e">
        <f aca="false">_xlfn.xlookup(BG1242,A:A,J:J)</f>
        <v>#NAME?</v>
      </c>
      <c r="BJ1242" s="153" t="e">
        <f aca="false">_xlfn.xlookup(BG1242,A:A,N:N)+_xlfn.xlookup(BG1242,A:A,O:O)</f>
        <v>#NAME?</v>
      </c>
    </row>
    <row r="1243" s="153" customFormat="true" ht="15" hidden="false" customHeight="false" outlineLevel="0" collapsed="false">
      <c r="AN1243" s="153" t="e">
        <v>#NAME?</v>
      </c>
      <c r="AO1243" s="153" t="e">
        <f aca="false">_xlfn.xlookup(AN1243,A:A,F:F)</f>
        <v>#NAME?</v>
      </c>
      <c r="AP1243" s="153" t="e">
        <f aca="false">_xlfn.xlookup(AN1243,A:A,J:J)</f>
        <v>#NAME?</v>
      </c>
      <c r="AQ1243" s="153" t="e">
        <f aca="false">_xlfn.xlookup(AN1243,A:A,N:N)+_xlfn.xlookup(AN1243,A:A,O:O)</f>
        <v>#NAME?</v>
      </c>
      <c r="AR1243" s="150" t="e">
        <f aca="false">_xlfn.xlookup(AN1243,A:A,AH:AH)</f>
        <v>#NAME?</v>
      </c>
      <c r="AS1243" s="150" t="e">
        <f aca="false">_xlfn.xlookup(AN1243,A:A,S:S)</f>
        <v>#NAME?</v>
      </c>
      <c r="AT1243" s="150" t="e">
        <f aca="false">_xlfn.xlookup(AN1243,A:A,AE:AE)</f>
        <v>#NAME?</v>
      </c>
      <c r="AU1243" s="150" t="e">
        <f aca="false">_xlfn.xlookup(AN1243,A:A,AF:AF)</f>
        <v>#NAME?</v>
      </c>
      <c r="AX1243" s="146"/>
      <c r="AY1243" s="150"/>
      <c r="AZ1243" s="150"/>
      <c r="BA1243" s="150"/>
      <c r="BB1243" s="146"/>
      <c r="BC1243" s="146"/>
      <c r="BD1243" s="151"/>
      <c r="BE1243" s="146"/>
      <c r="BF1243" s="146"/>
      <c r="BH1243" s="152" t="e">
        <f aca="false">_xlfn.xlookup(BG1243,A:A,E:E)</f>
        <v>#NAME?</v>
      </c>
      <c r="BI1243" s="153" t="e">
        <f aca="false">_xlfn.xlookup(BG1243,A:A,J:J)</f>
        <v>#NAME?</v>
      </c>
      <c r="BJ1243" s="153" t="e">
        <f aca="false">_xlfn.xlookup(BG1243,A:A,N:N)+_xlfn.xlookup(BG1243,A:A,O:O)</f>
        <v>#NAME?</v>
      </c>
    </row>
    <row r="1244" s="153" customFormat="true" ht="15" hidden="false" customHeight="false" outlineLevel="0" collapsed="false">
      <c r="AN1244" s="153" t="e">
        <v>#NAME?</v>
      </c>
      <c r="AO1244" s="153" t="e">
        <f aca="false">_xlfn.xlookup(AN1244,A:A,F:F)</f>
        <v>#NAME?</v>
      </c>
      <c r="AP1244" s="153" t="e">
        <f aca="false">_xlfn.xlookup(AN1244,A:A,J:J)</f>
        <v>#NAME?</v>
      </c>
      <c r="AQ1244" s="153" t="e">
        <f aca="false">_xlfn.xlookup(AN1244,A:A,N:N)+_xlfn.xlookup(AN1244,A:A,O:O)</f>
        <v>#NAME?</v>
      </c>
      <c r="AR1244" s="150" t="e">
        <f aca="false">_xlfn.xlookup(AN1244,A:A,AH:AH)</f>
        <v>#NAME?</v>
      </c>
      <c r="AS1244" s="150" t="e">
        <f aca="false">_xlfn.xlookup(AN1244,A:A,S:S)</f>
        <v>#NAME?</v>
      </c>
      <c r="AT1244" s="150" t="e">
        <f aca="false">_xlfn.xlookup(AN1244,A:A,AE:AE)</f>
        <v>#NAME?</v>
      </c>
      <c r="AU1244" s="150" t="e">
        <f aca="false">_xlfn.xlookup(AN1244,A:A,AF:AF)</f>
        <v>#NAME?</v>
      </c>
      <c r="AX1244" s="146"/>
      <c r="AY1244" s="150"/>
      <c r="AZ1244" s="150"/>
      <c r="BA1244" s="150"/>
      <c r="BB1244" s="146"/>
      <c r="BC1244" s="146"/>
      <c r="BD1244" s="151"/>
      <c r="BE1244" s="146"/>
      <c r="BF1244" s="146"/>
      <c r="BH1244" s="152" t="e">
        <f aca="false">_xlfn.xlookup(BG1244,A:A,E:E)</f>
        <v>#NAME?</v>
      </c>
      <c r="BI1244" s="153" t="e">
        <f aca="false">_xlfn.xlookup(BG1244,A:A,J:J)</f>
        <v>#NAME?</v>
      </c>
      <c r="BJ1244" s="153" t="e">
        <f aca="false">_xlfn.xlookup(BG1244,A:A,N:N)+_xlfn.xlookup(BG1244,A:A,O:O)</f>
        <v>#NAME?</v>
      </c>
    </row>
    <row r="1245" s="153" customFormat="true" ht="15" hidden="false" customHeight="false" outlineLevel="0" collapsed="false">
      <c r="AN1245" s="153" t="e">
        <v>#NAME?</v>
      </c>
      <c r="AO1245" s="153" t="e">
        <f aca="false">_xlfn.xlookup(AN1245,A:A,F:F)</f>
        <v>#NAME?</v>
      </c>
      <c r="AP1245" s="153" t="e">
        <f aca="false">_xlfn.xlookup(AN1245,A:A,J:J)</f>
        <v>#NAME?</v>
      </c>
      <c r="AQ1245" s="153" t="e">
        <f aca="false">_xlfn.xlookup(AN1245,A:A,N:N)+_xlfn.xlookup(AN1245,A:A,O:O)</f>
        <v>#NAME?</v>
      </c>
      <c r="AR1245" s="150" t="e">
        <f aca="false">_xlfn.xlookup(AN1245,A:A,AH:AH)</f>
        <v>#NAME?</v>
      </c>
      <c r="AS1245" s="150" t="e">
        <f aca="false">_xlfn.xlookup(AN1245,A:A,S:S)</f>
        <v>#NAME?</v>
      </c>
      <c r="AT1245" s="150" t="e">
        <f aca="false">_xlfn.xlookup(AN1245,A:A,AE:AE)</f>
        <v>#NAME?</v>
      </c>
      <c r="AU1245" s="150" t="e">
        <f aca="false">_xlfn.xlookup(AN1245,A:A,AF:AF)</f>
        <v>#NAME?</v>
      </c>
      <c r="AX1245" s="146"/>
      <c r="AY1245" s="150"/>
      <c r="AZ1245" s="150"/>
      <c r="BA1245" s="150"/>
      <c r="BB1245" s="146"/>
      <c r="BC1245" s="146"/>
      <c r="BD1245" s="151"/>
      <c r="BE1245" s="146"/>
      <c r="BF1245" s="146"/>
      <c r="BH1245" s="152" t="e">
        <f aca="false">_xlfn.xlookup(BG1245,A:A,E:E)</f>
        <v>#NAME?</v>
      </c>
      <c r="BI1245" s="153" t="e">
        <f aca="false">_xlfn.xlookup(BG1245,A:A,J:J)</f>
        <v>#NAME?</v>
      </c>
      <c r="BJ1245" s="153" t="e">
        <f aca="false">_xlfn.xlookup(BG1245,A:A,N:N)+_xlfn.xlookup(BG1245,A:A,O:O)</f>
        <v>#NAME?</v>
      </c>
    </row>
    <row r="1246" s="153" customFormat="true" ht="15" hidden="false" customHeight="false" outlineLevel="0" collapsed="false">
      <c r="AN1246" s="153" t="e">
        <v>#NAME?</v>
      </c>
      <c r="AO1246" s="153" t="e">
        <f aca="false">_xlfn.xlookup(AN1246,A:A,F:F)</f>
        <v>#NAME?</v>
      </c>
      <c r="AP1246" s="153" t="e">
        <f aca="false">_xlfn.xlookup(AN1246,A:A,J:J)</f>
        <v>#NAME?</v>
      </c>
      <c r="AQ1246" s="153" t="e">
        <f aca="false">_xlfn.xlookup(AN1246,A:A,N:N)+_xlfn.xlookup(AN1246,A:A,O:O)</f>
        <v>#NAME?</v>
      </c>
      <c r="AR1246" s="150" t="e">
        <f aca="false">_xlfn.xlookup(AN1246,A:A,AH:AH)</f>
        <v>#NAME?</v>
      </c>
      <c r="AS1246" s="150" t="e">
        <f aca="false">_xlfn.xlookup(AN1246,A:A,S:S)</f>
        <v>#NAME?</v>
      </c>
      <c r="AT1246" s="150" t="e">
        <f aca="false">_xlfn.xlookup(AN1246,A:A,AE:AE)</f>
        <v>#NAME?</v>
      </c>
      <c r="AU1246" s="150" t="e">
        <f aca="false">_xlfn.xlookup(AN1246,A:A,AF:AF)</f>
        <v>#NAME?</v>
      </c>
      <c r="AX1246" s="146"/>
      <c r="AY1246" s="150"/>
      <c r="AZ1246" s="150"/>
      <c r="BA1246" s="150"/>
      <c r="BB1246" s="146"/>
      <c r="BC1246" s="146"/>
      <c r="BD1246" s="151"/>
      <c r="BE1246" s="146"/>
      <c r="BF1246" s="146"/>
      <c r="BH1246" s="152" t="e">
        <f aca="false">_xlfn.xlookup(BG1246,A:A,E:E)</f>
        <v>#NAME?</v>
      </c>
      <c r="BI1246" s="153" t="e">
        <f aca="false">_xlfn.xlookup(BG1246,A:A,J:J)</f>
        <v>#NAME?</v>
      </c>
      <c r="BJ1246" s="153" t="e">
        <f aca="false">_xlfn.xlookup(BG1246,A:A,N:N)+_xlfn.xlookup(BG1246,A:A,O:O)</f>
        <v>#NAME?</v>
      </c>
    </row>
    <row r="1247" s="153" customFormat="true" ht="15" hidden="false" customHeight="false" outlineLevel="0" collapsed="false">
      <c r="AN1247" s="153" t="e">
        <v>#NAME?</v>
      </c>
      <c r="AO1247" s="153" t="e">
        <f aca="false">_xlfn.xlookup(AN1247,A:A,F:F)</f>
        <v>#NAME?</v>
      </c>
      <c r="AP1247" s="153" t="e">
        <f aca="false">_xlfn.xlookup(AN1247,A:A,J:J)</f>
        <v>#NAME?</v>
      </c>
      <c r="AQ1247" s="153" t="e">
        <f aca="false">_xlfn.xlookup(AN1247,A:A,N:N)+_xlfn.xlookup(AN1247,A:A,O:O)</f>
        <v>#NAME?</v>
      </c>
      <c r="AR1247" s="150" t="e">
        <f aca="false">_xlfn.xlookup(AN1247,A:A,AH:AH)</f>
        <v>#NAME?</v>
      </c>
      <c r="AS1247" s="150" t="e">
        <f aca="false">_xlfn.xlookup(AN1247,A:A,S:S)</f>
        <v>#NAME?</v>
      </c>
      <c r="AT1247" s="150" t="e">
        <f aca="false">_xlfn.xlookup(AN1247,A:A,AE:AE)</f>
        <v>#NAME?</v>
      </c>
      <c r="AU1247" s="150" t="e">
        <f aca="false">_xlfn.xlookup(AN1247,A:A,AF:AF)</f>
        <v>#NAME?</v>
      </c>
      <c r="AX1247" s="146"/>
      <c r="AY1247" s="150"/>
      <c r="AZ1247" s="150"/>
      <c r="BA1247" s="150"/>
      <c r="BB1247" s="146"/>
      <c r="BC1247" s="146"/>
      <c r="BD1247" s="151"/>
      <c r="BE1247" s="146"/>
      <c r="BF1247" s="146"/>
      <c r="BH1247" s="152" t="e">
        <f aca="false">_xlfn.xlookup(BG1247,A:A,E:E)</f>
        <v>#NAME?</v>
      </c>
      <c r="BI1247" s="153" t="e">
        <f aca="false">_xlfn.xlookup(BG1247,A:A,J:J)</f>
        <v>#NAME?</v>
      </c>
      <c r="BJ1247" s="153" t="e">
        <f aca="false">_xlfn.xlookup(BG1247,A:A,N:N)+_xlfn.xlookup(BG1247,A:A,O:O)</f>
        <v>#NAME?</v>
      </c>
    </row>
    <row r="1248" s="153" customFormat="true" ht="15" hidden="false" customHeight="false" outlineLevel="0" collapsed="false">
      <c r="AN1248" s="153" t="e">
        <v>#NAME?</v>
      </c>
      <c r="AO1248" s="153" t="e">
        <f aca="false">_xlfn.xlookup(AN1248,A:A,F:F)</f>
        <v>#NAME?</v>
      </c>
      <c r="AP1248" s="153" t="e">
        <f aca="false">_xlfn.xlookup(AN1248,A:A,J:J)</f>
        <v>#NAME?</v>
      </c>
      <c r="AQ1248" s="153" t="e">
        <f aca="false">_xlfn.xlookup(AN1248,A:A,N:N)+_xlfn.xlookup(AN1248,A:A,O:O)</f>
        <v>#NAME?</v>
      </c>
      <c r="AR1248" s="150" t="e">
        <f aca="false">_xlfn.xlookup(AN1248,A:A,AH:AH)</f>
        <v>#NAME?</v>
      </c>
      <c r="AS1248" s="150" t="e">
        <f aca="false">_xlfn.xlookup(AN1248,A:A,S:S)</f>
        <v>#NAME?</v>
      </c>
      <c r="AT1248" s="150" t="e">
        <f aca="false">_xlfn.xlookup(AN1248,A:A,AE:AE)</f>
        <v>#NAME?</v>
      </c>
      <c r="AU1248" s="150" t="e">
        <f aca="false">_xlfn.xlookup(AN1248,A:A,AF:AF)</f>
        <v>#NAME?</v>
      </c>
      <c r="AX1248" s="146"/>
      <c r="AY1248" s="150"/>
      <c r="AZ1248" s="150"/>
      <c r="BA1248" s="150"/>
      <c r="BB1248" s="146"/>
      <c r="BC1248" s="146"/>
      <c r="BD1248" s="151"/>
      <c r="BE1248" s="146"/>
      <c r="BF1248" s="146"/>
      <c r="BH1248" s="152" t="e">
        <f aca="false">_xlfn.xlookup(BG1248,A:A,E:E)</f>
        <v>#NAME?</v>
      </c>
      <c r="BI1248" s="153" t="e">
        <f aca="false">_xlfn.xlookup(BG1248,A:A,J:J)</f>
        <v>#NAME?</v>
      </c>
      <c r="BJ1248" s="153" t="e">
        <f aca="false">_xlfn.xlookup(BG1248,A:A,N:N)+_xlfn.xlookup(BG1248,A:A,O:O)</f>
        <v>#NAME?</v>
      </c>
    </row>
    <row r="1249" s="153" customFormat="true" ht="15" hidden="false" customHeight="false" outlineLevel="0" collapsed="false">
      <c r="AN1249" s="153" t="e">
        <v>#NAME?</v>
      </c>
      <c r="AO1249" s="153" t="e">
        <f aca="false">_xlfn.xlookup(AN1249,A:A,F:F)</f>
        <v>#NAME?</v>
      </c>
      <c r="AP1249" s="153" t="e">
        <f aca="false">_xlfn.xlookup(AN1249,A:A,J:J)</f>
        <v>#NAME?</v>
      </c>
      <c r="AQ1249" s="153" t="e">
        <f aca="false">_xlfn.xlookup(AN1249,A:A,N:N)+_xlfn.xlookup(AN1249,A:A,O:O)</f>
        <v>#NAME?</v>
      </c>
      <c r="AR1249" s="150" t="e">
        <f aca="false">_xlfn.xlookup(AN1249,A:A,AH:AH)</f>
        <v>#NAME?</v>
      </c>
      <c r="AS1249" s="150" t="e">
        <f aca="false">_xlfn.xlookup(AN1249,A:A,S:S)</f>
        <v>#NAME?</v>
      </c>
      <c r="AT1249" s="150" t="e">
        <f aca="false">_xlfn.xlookup(AN1249,A:A,AE:AE)</f>
        <v>#NAME?</v>
      </c>
      <c r="AU1249" s="150" t="e">
        <f aca="false">_xlfn.xlookup(AN1249,A:A,AF:AF)</f>
        <v>#NAME?</v>
      </c>
      <c r="AX1249" s="146"/>
      <c r="AY1249" s="150"/>
      <c r="AZ1249" s="150"/>
      <c r="BA1249" s="150"/>
      <c r="BB1249" s="146"/>
      <c r="BC1249" s="146"/>
      <c r="BD1249" s="151"/>
      <c r="BE1249" s="146"/>
      <c r="BF1249" s="146"/>
      <c r="BH1249" s="152" t="e">
        <f aca="false">_xlfn.xlookup(BG1249,A:A,E:E)</f>
        <v>#NAME?</v>
      </c>
      <c r="BI1249" s="153" t="e">
        <f aca="false">_xlfn.xlookup(BG1249,A:A,J:J)</f>
        <v>#NAME?</v>
      </c>
      <c r="BJ1249" s="153" t="e">
        <f aca="false">_xlfn.xlookup(BG1249,A:A,N:N)+_xlfn.xlookup(BG1249,A:A,O:O)</f>
        <v>#NAME?</v>
      </c>
    </row>
    <row r="1250" s="153" customFormat="true" ht="15" hidden="false" customHeight="false" outlineLevel="0" collapsed="false">
      <c r="AN1250" s="153" t="e">
        <v>#NAME?</v>
      </c>
      <c r="AO1250" s="153" t="e">
        <f aca="false">_xlfn.xlookup(AN1250,A:A,F:F)</f>
        <v>#NAME?</v>
      </c>
      <c r="AP1250" s="153" t="e">
        <f aca="false">_xlfn.xlookup(AN1250,A:A,J:J)</f>
        <v>#NAME?</v>
      </c>
      <c r="AQ1250" s="153" t="e">
        <f aca="false">_xlfn.xlookup(AN1250,A:A,N:N)+_xlfn.xlookup(AN1250,A:A,O:O)</f>
        <v>#NAME?</v>
      </c>
      <c r="AR1250" s="150" t="e">
        <f aca="false">_xlfn.xlookup(AN1250,A:A,AH:AH)</f>
        <v>#NAME?</v>
      </c>
      <c r="AS1250" s="150" t="e">
        <f aca="false">_xlfn.xlookup(AN1250,A:A,S:S)</f>
        <v>#NAME?</v>
      </c>
      <c r="AT1250" s="150" t="e">
        <f aca="false">_xlfn.xlookup(AN1250,A:A,AE:AE)</f>
        <v>#NAME?</v>
      </c>
      <c r="AU1250" s="150" t="e">
        <f aca="false">_xlfn.xlookup(AN1250,A:A,AF:AF)</f>
        <v>#NAME?</v>
      </c>
      <c r="AX1250" s="146"/>
      <c r="AY1250" s="150"/>
      <c r="AZ1250" s="150"/>
      <c r="BA1250" s="150"/>
      <c r="BB1250" s="146"/>
      <c r="BC1250" s="146"/>
      <c r="BD1250" s="151"/>
      <c r="BE1250" s="146"/>
      <c r="BF1250" s="146"/>
      <c r="BH1250" s="152" t="e">
        <f aca="false">_xlfn.xlookup(BG1250,A:A,E:E)</f>
        <v>#NAME?</v>
      </c>
      <c r="BI1250" s="153" t="e">
        <f aca="false">_xlfn.xlookup(BG1250,A:A,J:J)</f>
        <v>#NAME?</v>
      </c>
      <c r="BJ1250" s="153" t="e">
        <f aca="false">_xlfn.xlookup(BG1250,A:A,N:N)+_xlfn.xlookup(BG1250,A:A,O:O)</f>
        <v>#NAME?</v>
      </c>
    </row>
    <row r="1251" s="153" customFormat="true" ht="15" hidden="false" customHeight="false" outlineLevel="0" collapsed="false">
      <c r="AN1251" s="153" t="e">
        <v>#NAME?</v>
      </c>
      <c r="AO1251" s="153" t="e">
        <f aca="false">_xlfn.xlookup(AN1251,A:A,F:F)</f>
        <v>#NAME?</v>
      </c>
      <c r="AP1251" s="153" t="e">
        <f aca="false">_xlfn.xlookup(AN1251,A:A,J:J)</f>
        <v>#NAME?</v>
      </c>
      <c r="AQ1251" s="153" t="e">
        <f aca="false">_xlfn.xlookup(AN1251,A:A,N:N)+_xlfn.xlookup(AN1251,A:A,O:O)</f>
        <v>#NAME?</v>
      </c>
      <c r="AR1251" s="150" t="e">
        <f aca="false">_xlfn.xlookup(AN1251,A:A,AH:AH)</f>
        <v>#NAME?</v>
      </c>
      <c r="AS1251" s="150" t="e">
        <f aca="false">_xlfn.xlookup(AN1251,A:A,S:S)</f>
        <v>#NAME?</v>
      </c>
      <c r="AT1251" s="150" t="e">
        <f aca="false">_xlfn.xlookup(AN1251,A:A,AE:AE)</f>
        <v>#NAME?</v>
      </c>
      <c r="AU1251" s="150" t="e">
        <f aca="false">_xlfn.xlookup(AN1251,A:A,AF:AF)</f>
        <v>#NAME?</v>
      </c>
      <c r="AX1251" s="146"/>
      <c r="AY1251" s="150"/>
      <c r="AZ1251" s="150"/>
      <c r="BA1251" s="150"/>
      <c r="BB1251" s="146"/>
      <c r="BC1251" s="146"/>
      <c r="BD1251" s="151"/>
      <c r="BE1251" s="146"/>
      <c r="BF1251" s="146"/>
      <c r="BH1251" s="152" t="e">
        <f aca="false">_xlfn.xlookup(BG1251,A:A,E:E)</f>
        <v>#NAME?</v>
      </c>
      <c r="BI1251" s="153" t="e">
        <f aca="false">_xlfn.xlookup(BG1251,A:A,J:J)</f>
        <v>#NAME?</v>
      </c>
      <c r="BJ1251" s="153" t="e">
        <f aca="false">_xlfn.xlookup(BG1251,A:A,N:N)+_xlfn.xlookup(BG1251,A:A,O:O)</f>
        <v>#NAME?</v>
      </c>
    </row>
    <row r="1252" s="153" customFormat="true" ht="15" hidden="false" customHeight="false" outlineLevel="0" collapsed="false">
      <c r="AN1252" s="153" t="e">
        <v>#NAME?</v>
      </c>
      <c r="AO1252" s="153" t="e">
        <f aca="false">_xlfn.xlookup(AN1252,A:A,F:F)</f>
        <v>#NAME?</v>
      </c>
      <c r="AP1252" s="153" t="e">
        <f aca="false">_xlfn.xlookup(AN1252,A:A,J:J)</f>
        <v>#NAME?</v>
      </c>
      <c r="AQ1252" s="153" t="e">
        <f aca="false">_xlfn.xlookup(AN1252,A:A,N:N)+_xlfn.xlookup(AN1252,A:A,O:O)</f>
        <v>#NAME?</v>
      </c>
      <c r="AR1252" s="150" t="e">
        <f aca="false">_xlfn.xlookup(AN1252,A:A,AH:AH)</f>
        <v>#NAME?</v>
      </c>
      <c r="AS1252" s="150" t="e">
        <f aca="false">_xlfn.xlookup(AN1252,A:A,S:S)</f>
        <v>#NAME?</v>
      </c>
      <c r="AT1252" s="150" t="e">
        <f aca="false">_xlfn.xlookup(AN1252,A:A,AE:AE)</f>
        <v>#NAME?</v>
      </c>
      <c r="AU1252" s="150" t="e">
        <f aca="false">_xlfn.xlookup(AN1252,A:A,AF:AF)</f>
        <v>#NAME?</v>
      </c>
      <c r="AX1252" s="146"/>
      <c r="AY1252" s="150"/>
      <c r="AZ1252" s="150"/>
      <c r="BA1252" s="150"/>
      <c r="BB1252" s="146"/>
      <c r="BC1252" s="146"/>
      <c r="BD1252" s="151"/>
      <c r="BE1252" s="146"/>
      <c r="BF1252" s="146"/>
      <c r="BH1252" s="152" t="e">
        <f aca="false">_xlfn.xlookup(BG1252,A:A,E:E)</f>
        <v>#NAME?</v>
      </c>
      <c r="BI1252" s="153" t="e">
        <f aca="false">_xlfn.xlookup(BG1252,A:A,J:J)</f>
        <v>#NAME?</v>
      </c>
      <c r="BJ1252" s="153" t="e">
        <f aca="false">_xlfn.xlookup(BG1252,A:A,N:N)+_xlfn.xlookup(BG1252,A:A,O:O)</f>
        <v>#NAME?</v>
      </c>
    </row>
    <row r="1253" s="153" customFormat="true" ht="15" hidden="false" customHeight="false" outlineLevel="0" collapsed="false">
      <c r="AN1253" s="153" t="e">
        <v>#NAME?</v>
      </c>
      <c r="AO1253" s="153" t="e">
        <f aca="false">_xlfn.xlookup(AN1253,A:A,F:F)</f>
        <v>#NAME?</v>
      </c>
      <c r="AP1253" s="153" t="e">
        <f aca="false">_xlfn.xlookup(AN1253,A:A,J:J)</f>
        <v>#NAME?</v>
      </c>
      <c r="AQ1253" s="153" t="e">
        <f aca="false">_xlfn.xlookup(AN1253,A:A,N:N)+_xlfn.xlookup(AN1253,A:A,O:O)</f>
        <v>#NAME?</v>
      </c>
      <c r="AR1253" s="150" t="e">
        <f aca="false">_xlfn.xlookup(AN1253,A:A,AH:AH)</f>
        <v>#NAME?</v>
      </c>
      <c r="AS1253" s="150" t="e">
        <f aca="false">_xlfn.xlookup(AN1253,A:A,S:S)</f>
        <v>#NAME?</v>
      </c>
      <c r="AT1253" s="150" t="e">
        <f aca="false">_xlfn.xlookup(AN1253,A:A,AE:AE)</f>
        <v>#NAME?</v>
      </c>
      <c r="AU1253" s="150" t="e">
        <f aca="false">_xlfn.xlookup(AN1253,A:A,AF:AF)</f>
        <v>#NAME?</v>
      </c>
      <c r="AX1253" s="146"/>
      <c r="AY1253" s="150"/>
      <c r="AZ1253" s="150"/>
      <c r="BA1253" s="150"/>
      <c r="BB1253" s="146"/>
      <c r="BC1253" s="146"/>
      <c r="BD1253" s="151"/>
      <c r="BE1253" s="146"/>
      <c r="BF1253" s="146"/>
      <c r="BH1253" s="152" t="e">
        <f aca="false">_xlfn.xlookup(BG1253,A:A,E:E)</f>
        <v>#NAME?</v>
      </c>
      <c r="BI1253" s="153" t="e">
        <f aca="false">_xlfn.xlookup(BG1253,A:A,J:J)</f>
        <v>#NAME?</v>
      </c>
      <c r="BJ1253" s="153" t="e">
        <f aca="false">_xlfn.xlookup(BG1253,A:A,N:N)+_xlfn.xlookup(BG1253,A:A,O:O)</f>
        <v>#NAME?</v>
      </c>
    </row>
    <row r="1254" s="153" customFormat="true" ht="15" hidden="false" customHeight="false" outlineLevel="0" collapsed="false">
      <c r="AN1254" s="153" t="e">
        <v>#NAME?</v>
      </c>
      <c r="AO1254" s="153" t="e">
        <f aca="false">_xlfn.xlookup(AN1254,A:A,F:F)</f>
        <v>#NAME?</v>
      </c>
      <c r="AP1254" s="153" t="e">
        <f aca="false">_xlfn.xlookup(AN1254,A:A,J:J)</f>
        <v>#NAME?</v>
      </c>
      <c r="AQ1254" s="153" t="e">
        <f aca="false">_xlfn.xlookup(AN1254,A:A,N:N)+_xlfn.xlookup(AN1254,A:A,O:O)</f>
        <v>#NAME?</v>
      </c>
      <c r="AR1254" s="150" t="e">
        <f aca="false">_xlfn.xlookup(AN1254,A:A,AH:AH)</f>
        <v>#NAME?</v>
      </c>
      <c r="AS1254" s="150" t="e">
        <f aca="false">_xlfn.xlookup(AN1254,A:A,S:S)</f>
        <v>#NAME?</v>
      </c>
      <c r="AT1254" s="150" t="e">
        <f aca="false">_xlfn.xlookup(AN1254,A:A,AE:AE)</f>
        <v>#NAME?</v>
      </c>
      <c r="AU1254" s="150" t="e">
        <f aca="false">_xlfn.xlookup(AN1254,A:A,AF:AF)</f>
        <v>#NAME?</v>
      </c>
      <c r="AX1254" s="146"/>
      <c r="AY1254" s="150"/>
      <c r="AZ1254" s="150"/>
      <c r="BA1254" s="150"/>
      <c r="BB1254" s="146"/>
      <c r="BC1254" s="146"/>
      <c r="BD1254" s="151"/>
      <c r="BE1254" s="146"/>
      <c r="BF1254" s="146"/>
      <c r="BH1254" s="152" t="e">
        <f aca="false">_xlfn.xlookup(BG1254,A:A,E:E)</f>
        <v>#NAME?</v>
      </c>
      <c r="BI1254" s="153" t="e">
        <f aca="false">_xlfn.xlookup(BG1254,A:A,J:J)</f>
        <v>#NAME?</v>
      </c>
      <c r="BJ1254" s="153" t="e">
        <f aca="false">_xlfn.xlookup(BG1254,A:A,N:N)+_xlfn.xlookup(BG1254,A:A,O:O)</f>
        <v>#NAME?</v>
      </c>
    </row>
    <row r="1255" s="153" customFormat="true" ht="15" hidden="false" customHeight="false" outlineLevel="0" collapsed="false">
      <c r="AN1255" s="153" t="e">
        <v>#NAME?</v>
      </c>
      <c r="AO1255" s="153" t="e">
        <f aca="false">_xlfn.xlookup(AN1255,A:A,F:F)</f>
        <v>#NAME?</v>
      </c>
      <c r="AP1255" s="153" t="e">
        <f aca="false">_xlfn.xlookup(AN1255,A:A,J:J)</f>
        <v>#NAME?</v>
      </c>
      <c r="AQ1255" s="153" t="e">
        <f aca="false">_xlfn.xlookup(AN1255,A:A,N:N)+_xlfn.xlookup(AN1255,A:A,O:O)</f>
        <v>#NAME?</v>
      </c>
      <c r="AR1255" s="150" t="e">
        <f aca="false">_xlfn.xlookup(AN1255,A:A,AH:AH)</f>
        <v>#NAME?</v>
      </c>
      <c r="AS1255" s="150" t="e">
        <f aca="false">_xlfn.xlookup(AN1255,A:A,S:S)</f>
        <v>#NAME?</v>
      </c>
      <c r="AT1255" s="150" t="e">
        <f aca="false">_xlfn.xlookup(AN1255,A:A,AE:AE)</f>
        <v>#NAME?</v>
      </c>
      <c r="AU1255" s="150" t="e">
        <f aca="false">_xlfn.xlookup(AN1255,A:A,AF:AF)</f>
        <v>#NAME?</v>
      </c>
      <c r="AX1255" s="146"/>
      <c r="AY1255" s="150"/>
      <c r="AZ1255" s="150"/>
      <c r="BA1255" s="150"/>
      <c r="BB1255" s="146"/>
      <c r="BC1255" s="146"/>
      <c r="BD1255" s="151"/>
      <c r="BE1255" s="146"/>
      <c r="BF1255" s="146"/>
      <c r="BH1255" s="152" t="e">
        <f aca="false">_xlfn.xlookup(BG1255,A:A,E:E)</f>
        <v>#NAME?</v>
      </c>
      <c r="BI1255" s="153" t="e">
        <f aca="false">_xlfn.xlookup(BG1255,A:A,J:J)</f>
        <v>#NAME?</v>
      </c>
      <c r="BJ1255" s="153" t="e">
        <f aca="false">_xlfn.xlookup(BG1255,A:A,N:N)+_xlfn.xlookup(BG1255,A:A,O:O)</f>
        <v>#NAME?</v>
      </c>
    </row>
    <row r="1256" s="153" customFormat="true" ht="15" hidden="false" customHeight="false" outlineLevel="0" collapsed="false">
      <c r="AN1256" s="153" t="e">
        <v>#NAME?</v>
      </c>
      <c r="AO1256" s="153" t="e">
        <f aca="false">_xlfn.xlookup(AN1256,A:A,F:F)</f>
        <v>#NAME?</v>
      </c>
      <c r="AP1256" s="153" t="e">
        <f aca="false">_xlfn.xlookup(AN1256,A:A,J:J)</f>
        <v>#NAME?</v>
      </c>
      <c r="AQ1256" s="153" t="e">
        <f aca="false">_xlfn.xlookup(AN1256,A:A,N:N)+_xlfn.xlookup(AN1256,A:A,O:O)</f>
        <v>#NAME?</v>
      </c>
      <c r="AR1256" s="150" t="e">
        <f aca="false">_xlfn.xlookup(AN1256,A:A,AH:AH)</f>
        <v>#NAME?</v>
      </c>
      <c r="AS1256" s="150" t="e">
        <f aca="false">_xlfn.xlookup(AN1256,A:A,S:S)</f>
        <v>#NAME?</v>
      </c>
      <c r="AT1256" s="150" t="e">
        <f aca="false">_xlfn.xlookup(AN1256,A:A,AE:AE)</f>
        <v>#NAME?</v>
      </c>
      <c r="AU1256" s="150" t="e">
        <f aca="false">_xlfn.xlookup(AN1256,A:A,AF:AF)</f>
        <v>#NAME?</v>
      </c>
      <c r="AX1256" s="146"/>
      <c r="AY1256" s="150"/>
      <c r="AZ1256" s="150"/>
      <c r="BA1256" s="150"/>
      <c r="BB1256" s="146"/>
      <c r="BC1256" s="146"/>
      <c r="BD1256" s="151"/>
      <c r="BE1256" s="146"/>
      <c r="BF1256" s="146"/>
      <c r="BH1256" s="152" t="e">
        <f aca="false">_xlfn.xlookup(BG1256,A:A,E:E)</f>
        <v>#NAME?</v>
      </c>
      <c r="BI1256" s="153" t="e">
        <f aca="false">_xlfn.xlookup(BG1256,A:A,J:J)</f>
        <v>#NAME?</v>
      </c>
      <c r="BJ1256" s="153" t="e">
        <f aca="false">_xlfn.xlookup(BG1256,A:A,N:N)+_xlfn.xlookup(BG1256,A:A,O:O)</f>
        <v>#NAME?</v>
      </c>
    </row>
    <row r="1257" s="153" customFormat="true" ht="15" hidden="false" customHeight="false" outlineLevel="0" collapsed="false">
      <c r="AN1257" s="153" t="e">
        <v>#NAME?</v>
      </c>
      <c r="AO1257" s="153" t="e">
        <f aca="false">_xlfn.xlookup(AN1257,A:A,F:F)</f>
        <v>#NAME?</v>
      </c>
      <c r="AP1257" s="153" t="e">
        <f aca="false">_xlfn.xlookup(AN1257,A:A,J:J)</f>
        <v>#NAME?</v>
      </c>
      <c r="AQ1257" s="153" t="e">
        <f aca="false">_xlfn.xlookup(AN1257,A:A,N:N)+_xlfn.xlookup(AN1257,A:A,O:O)</f>
        <v>#NAME?</v>
      </c>
      <c r="AR1257" s="150" t="e">
        <f aca="false">_xlfn.xlookup(AN1257,A:A,AH:AH)</f>
        <v>#NAME?</v>
      </c>
      <c r="AS1257" s="150" t="e">
        <f aca="false">_xlfn.xlookup(AN1257,A:A,S:S)</f>
        <v>#NAME?</v>
      </c>
      <c r="AT1257" s="150" t="e">
        <f aca="false">_xlfn.xlookup(AN1257,A:A,AE:AE)</f>
        <v>#NAME?</v>
      </c>
      <c r="AU1257" s="150" t="e">
        <f aca="false">_xlfn.xlookup(AN1257,A:A,AF:AF)</f>
        <v>#NAME?</v>
      </c>
      <c r="AX1257" s="146"/>
      <c r="AY1257" s="150"/>
      <c r="AZ1257" s="150"/>
      <c r="BA1257" s="150"/>
      <c r="BB1257" s="146"/>
      <c r="BC1257" s="146"/>
      <c r="BD1257" s="151"/>
      <c r="BE1257" s="146"/>
      <c r="BF1257" s="146"/>
      <c r="BH1257" s="152" t="e">
        <f aca="false">_xlfn.xlookup(BG1257,A:A,E:E)</f>
        <v>#NAME?</v>
      </c>
      <c r="BI1257" s="153" t="e">
        <f aca="false">_xlfn.xlookup(BG1257,A:A,J:J)</f>
        <v>#NAME?</v>
      </c>
      <c r="BJ1257" s="153" t="e">
        <f aca="false">_xlfn.xlookup(BG1257,A:A,N:N)+_xlfn.xlookup(BG1257,A:A,O:O)</f>
        <v>#NAME?</v>
      </c>
    </row>
    <row r="1258" s="153" customFormat="true" ht="15" hidden="false" customHeight="false" outlineLevel="0" collapsed="false">
      <c r="AN1258" s="153" t="e">
        <v>#NAME?</v>
      </c>
      <c r="AO1258" s="153" t="e">
        <f aca="false">_xlfn.xlookup(AN1258,A:A,F:F)</f>
        <v>#NAME?</v>
      </c>
      <c r="AP1258" s="153" t="e">
        <f aca="false">_xlfn.xlookup(AN1258,A:A,J:J)</f>
        <v>#NAME?</v>
      </c>
      <c r="AQ1258" s="153" t="e">
        <f aca="false">_xlfn.xlookup(AN1258,A:A,N:N)+_xlfn.xlookup(AN1258,A:A,O:O)</f>
        <v>#NAME?</v>
      </c>
      <c r="AR1258" s="150" t="e">
        <f aca="false">_xlfn.xlookup(AN1258,A:A,AH:AH)</f>
        <v>#NAME?</v>
      </c>
      <c r="AS1258" s="150" t="e">
        <f aca="false">_xlfn.xlookup(AN1258,A:A,S:S)</f>
        <v>#NAME?</v>
      </c>
      <c r="AT1258" s="150" t="e">
        <f aca="false">_xlfn.xlookup(AN1258,A:A,AE:AE)</f>
        <v>#NAME?</v>
      </c>
      <c r="AU1258" s="150" t="e">
        <f aca="false">_xlfn.xlookup(AN1258,A:A,AF:AF)</f>
        <v>#NAME?</v>
      </c>
      <c r="AX1258" s="146"/>
      <c r="AY1258" s="150"/>
      <c r="AZ1258" s="150"/>
      <c r="BA1258" s="150"/>
      <c r="BB1258" s="146"/>
      <c r="BC1258" s="146"/>
      <c r="BD1258" s="151"/>
      <c r="BE1258" s="146"/>
      <c r="BF1258" s="146"/>
      <c r="BH1258" s="152" t="e">
        <f aca="false">_xlfn.xlookup(BG1258,A:A,E:E)</f>
        <v>#NAME?</v>
      </c>
      <c r="BI1258" s="153" t="e">
        <f aca="false">_xlfn.xlookup(BG1258,A:A,J:J)</f>
        <v>#NAME?</v>
      </c>
      <c r="BJ1258" s="153" t="e">
        <f aca="false">_xlfn.xlookup(BG1258,A:A,N:N)+_xlfn.xlookup(BG1258,A:A,O:O)</f>
        <v>#NAME?</v>
      </c>
    </row>
    <row r="1259" s="153" customFormat="true" ht="15" hidden="false" customHeight="false" outlineLevel="0" collapsed="false">
      <c r="AN1259" s="153" t="e">
        <v>#NAME?</v>
      </c>
      <c r="AO1259" s="153" t="e">
        <f aca="false">_xlfn.xlookup(AN1259,A:A,F:F)</f>
        <v>#NAME?</v>
      </c>
      <c r="AP1259" s="153" t="e">
        <f aca="false">_xlfn.xlookup(AN1259,A:A,J:J)</f>
        <v>#NAME?</v>
      </c>
      <c r="AQ1259" s="153" t="e">
        <f aca="false">_xlfn.xlookup(AN1259,A:A,N:N)+_xlfn.xlookup(AN1259,A:A,O:O)</f>
        <v>#NAME?</v>
      </c>
      <c r="AR1259" s="150" t="e">
        <f aca="false">_xlfn.xlookup(AN1259,A:A,AH:AH)</f>
        <v>#NAME?</v>
      </c>
      <c r="AS1259" s="150" t="e">
        <f aca="false">_xlfn.xlookup(AN1259,A:A,S:S)</f>
        <v>#NAME?</v>
      </c>
      <c r="AT1259" s="150" t="e">
        <f aca="false">_xlfn.xlookup(AN1259,A:A,AE:AE)</f>
        <v>#NAME?</v>
      </c>
      <c r="AU1259" s="150" t="e">
        <f aca="false">_xlfn.xlookup(AN1259,A:A,AF:AF)</f>
        <v>#NAME?</v>
      </c>
      <c r="AX1259" s="146"/>
      <c r="AY1259" s="150"/>
      <c r="AZ1259" s="150"/>
      <c r="BA1259" s="150"/>
      <c r="BB1259" s="146"/>
      <c r="BC1259" s="146"/>
      <c r="BD1259" s="151"/>
      <c r="BE1259" s="146"/>
      <c r="BF1259" s="146"/>
      <c r="BH1259" s="152" t="e">
        <f aca="false">_xlfn.xlookup(BG1259,A:A,E:E)</f>
        <v>#NAME?</v>
      </c>
      <c r="BI1259" s="153" t="e">
        <f aca="false">_xlfn.xlookup(BG1259,A:A,J:J)</f>
        <v>#NAME?</v>
      </c>
      <c r="BJ1259" s="153" t="e">
        <f aca="false">_xlfn.xlookup(BG1259,A:A,N:N)+_xlfn.xlookup(BG1259,A:A,O:O)</f>
        <v>#NAME?</v>
      </c>
    </row>
    <row r="1260" s="153" customFormat="true" ht="15" hidden="false" customHeight="false" outlineLevel="0" collapsed="false">
      <c r="AN1260" s="153" t="e">
        <v>#NAME?</v>
      </c>
      <c r="AO1260" s="153" t="e">
        <f aca="false">_xlfn.xlookup(AN1260,A:A,F:F)</f>
        <v>#NAME?</v>
      </c>
      <c r="AP1260" s="153" t="e">
        <f aca="false">_xlfn.xlookup(AN1260,A:A,J:J)</f>
        <v>#NAME?</v>
      </c>
      <c r="AQ1260" s="153" t="e">
        <f aca="false">_xlfn.xlookup(AN1260,A:A,N:N)+_xlfn.xlookup(AN1260,A:A,O:O)</f>
        <v>#NAME?</v>
      </c>
      <c r="AR1260" s="150" t="e">
        <f aca="false">_xlfn.xlookup(AN1260,A:A,AH:AH)</f>
        <v>#NAME?</v>
      </c>
      <c r="AS1260" s="150" t="e">
        <f aca="false">_xlfn.xlookup(AN1260,A:A,S:S)</f>
        <v>#NAME?</v>
      </c>
      <c r="AT1260" s="150" t="e">
        <f aca="false">_xlfn.xlookup(AN1260,A:A,AE:AE)</f>
        <v>#NAME?</v>
      </c>
      <c r="AU1260" s="150" t="e">
        <f aca="false">_xlfn.xlookup(AN1260,A:A,AF:AF)</f>
        <v>#NAME?</v>
      </c>
      <c r="AX1260" s="146"/>
      <c r="AY1260" s="150"/>
      <c r="AZ1260" s="150"/>
      <c r="BA1260" s="150"/>
      <c r="BB1260" s="146"/>
      <c r="BC1260" s="146"/>
      <c r="BD1260" s="151"/>
      <c r="BE1260" s="146"/>
      <c r="BF1260" s="146"/>
      <c r="BH1260" s="152" t="e">
        <f aca="false">_xlfn.xlookup(BG1260,A:A,E:E)</f>
        <v>#NAME?</v>
      </c>
      <c r="BI1260" s="153" t="e">
        <f aca="false">_xlfn.xlookup(BG1260,A:A,J:J)</f>
        <v>#NAME?</v>
      </c>
      <c r="BJ1260" s="153" t="e">
        <f aca="false">_xlfn.xlookup(BG1260,A:A,N:N)+_xlfn.xlookup(BG1260,A:A,O:O)</f>
        <v>#NAME?</v>
      </c>
    </row>
    <row r="1261" s="153" customFormat="true" ht="15" hidden="false" customHeight="false" outlineLevel="0" collapsed="false">
      <c r="AN1261" s="153" t="e">
        <v>#NAME?</v>
      </c>
      <c r="AO1261" s="153" t="e">
        <f aca="false">_xlfn.xlookup(AN1261,A:A,F:F)</f>
        <v>#NAME?</v>
      </c>
      <c r="AP1261" s="153" t="e">
        <f aca="false">_xlfn.xlookup(AN1261,A:A,J:J)</f>
        <v>#NAME?</v>
      </c>
      <c r="AQ1261" s="153" t="e">
        <f aca="false">_xlfn.xlookup(AN1261,A:A,N:N)+_xlfn.xlookup(AN1261,A:A,O:O)</f>
        <v>#NAME?</v>
      </c>
      <c r="AR1261" s="150" t="e">
        <f aca="false">_xlfn.xlookup(AN1261,A:A,AH:AH)</f>
        <v>#NAME?</v>
      </c>
      <c r="AS1261" s="150" t="e">
        <f aca="false">_xlfn.xlookup(AN1261,A:A,S:S)</f>
        <v>#NAME?</v>
      </c>
      <c r="AT1261" s="150" t="e">
        <f aca="false">_xlfn.xlookup(AN1261,A:A,AE:AE)</f>
        <v>#NAME?</v>
      </c>
      <c r="AU1261" s="150" t="e">
        <f aca="false">_xlfn.xlookup(AN1261,A:A,AF:AF)</f>
        <v>#NAME?</v>
      </c>
      <c r="AX1261" s="146"/>
      <c r="AY1261" s="150"/>
      <c r="AZ1261" s="150"/>
      <c r="BA1261" s="150"/>
      <c r="BB1261" s="146"/>
      <c r="BC1261" s="146"/>
      <c r="BD1261" s="151"/>
      <c r="BE1261" s="146"/>
      <c r="BF1261" s="146"/>
      <c r="BH1261" s="152" t="e">
        <f aca="false">_xlfn.xlookup(BG1261,A:A,E:E)</f>
        <v>#NAME?</v>
      </c>
      <c r="BI1261" s="153" t="e">
        <f aca="false">_xlfn.xlookup(BG1261,A:A,J:J)</f>
        <v>#NAME?</v>
      </c>
      <c r="BJ1261" s="153" t="e">
        <f aca="false">_xlfn.xlookup(BG1261,A:A,N:N)+_xlfn.xlookup(BG1261,A:A,O:O)</f>
        <v>#NAME?</v>
      </c>
    </row>
    <row r="1262" s="153" customFormat="true" ht="15" hidden="false" customHeight="false" outlineLevel="0" collapsed="false">
      <c r="AN1262" s="153" t="e">
        <v>#NAME?</v>
      </c>
      <c r="AO1262" s="153" t="e">
        <f aca="false">_xlfn.xlookup(AN1262,A:A,F:F)</f>
        <v>#NAME?</v>
      </c>
      <c r="AP1262" s="153" t="e">
        <f aca="false">_xlfn.xlookup(AN1262,A:A,J:J)</f>
        <v>#NAME?</v>
      </c>
      <c r="AQ1262" s="153" t="e">
        <f aca="false">_xlfn.xlookup(AN1262,A:A,N:N)+_xlfn.xlookup(AN1262,A:A,O:O)</f>
        <v>#NAME?</v>
      </c>
      <c r="AR1262" s="150" t="e">
        <f aca="false">_xlfn.xlookup(AN1262,A:A,AH:AH)</f>
        <v>#NAME?</v>
      </c>
      <c r="AS1262" s="150" t="e">
        <f aca="false">_xlfn.xlookup(AN1262,A:A,S:S)</f>
        <v>#NAME?</v>
      </c>
      <c r="AT1262" s="150" t="e">
        <f aca="false">_xlfn.xlookup(AN1262,A:A,AE:AE)</f>
        <v>#NAME?</v>
      </c>
      <c r="AU1262" s="150" t="e">
        <f aca="false">_xlfn.xlookup(AN1262,A:A,AF:AF)</f>
        <v>#NAME?</v>
      </c>
      <c r="AX1262" s="146"/>
      <c r="AY1262" s="150"/>
      <c r="AZ1262" s="150"/>
      <c r="BA1262" s="150"/>
      <c r="BB1262" s="146"/>
      <c r="BC1262" s="146"/>
      <c r="BD1262" s="151"/>
      <c r="BE1262" s="146"/>
      <c r="BF1262" s="146"/>
      <c r="BH1262" s="152" t="e">
        <f aca="false">_xlfn.xlookup(BG1262,A:A,E:E)</f>
        <v>#NAME?</v>
      </c>
      <c r="BI1262" s="153" t="e">
        <f aca="false">_xlfn.xlookup(BG1262,A:A,J:J)</f>
        <v>#NAME?</v>
      </c>
      <c r="BJ1262" s="153" t="e">
        <f aca="false">_xlfn.xlookup(BG1262,A:A,N:N)+_xlfn.xlookup(BG1262,A:A,O:O)</f>
        <v>#NAME?</v>
      </c>
    </row>
    <row r="1263" s="153" customFormat="true" ht="15" hidden="false" customHeight="false" outlineLevel="0" collapsed="false">
      <c r="AN1263" s="153" t="e">
        <v>#NAME?</v>
      </c>
      <c r="AO1263" s="153" t="e">
        <f aca="false">_xlfn.xlookup(AN1263,A:A,F:F)</f>
        <v>#NAME?</v>
      </c>
      <c r="AP1263" s="153" t="e">
        <f aca="false">_xlfn.xlookup(AN1263,A:A,J:J)</f>
        <v>#NAME?</v>
      </c>
      <c r="AQ1263" s="153" t="e">
        <f aca="false">_xlfn.xlookup(AN1263,A:A,N:N)+_xlfn.xlookup(AN1263,A:A,O:O)</f>
        <v>#NAME?</v>
      </c>
      <c r="AR1263" s="150" t="e">
        <f aca="false">_xlfn.xlookup(AN1263,A:A,AH:AH)</f>
        <v>#NAME?</v>
      </c>
      <c r="AS1263" s="150" t="e">
        <f aca="false">_xlfn.xlookup(AN1263,A:A,S:S)</f>
        <v>#NAME?</v>
      </c>
      <c r="AT1263" s="150" t="e">
        <f aca="false">_xlfn.xlookup(AN1263,A:A,AE:AE)</f>
        <v>#NAME?</v>
      </c>
      <c r="AU1263" s="150" t="e">
        <f aca="false">_xlfn.xlookup(AN1263,A:A,AF:AF)</f>
        <v>#NAME?</v>
      </c>
      <c r="AX1263" s="146"/>
      <c r="AY1263" s="150"/>
      <c r="AZ1263" s="150"/>
      <c r="BA1263" s="150"/>
      <c r="BB1263" s="146"/>
      <c r="BC1263" s="146"/>
      <c r="BD1263" s="151"/>
      <c r="BE1263" s="146"/>
      <c r="BF1263" s="146"/>
      <c r="BH1263" s="152" t="e">
        <f aca="false">_xlfn.xlookup(BG1263,A:A,E:E)</f>
        <v>#NAME?</v>
      </c>
      <c r="BI1263" s="153" t="e">
        <f aca="false">_xlfn.xlookup(BG1263,A:A,J:J)</f>
        <v>#NAME?</v>
      </c>
      <c r="BJ1263" s="153" t="e">
        <f aca="false">_xlfn.xlookup(BG1263,A:A,N:N)+_xlfn.xlookup(BG1263,A:A,O:O)</f>
        <v>#NAME?</v>
      </c>
    </row>
    <row r="1264" s="153" customFormat="true" ht="15" hidden="false" customHeight="false" outlineLevel="0" collapsed="false">
      <c r="AN1264" s="153" t="e">
        <v>#NAME?</v>
      </c>
      <c r="AO1264" s="153" t="e">
        <f aca="false">_xlfn.xlookup(AN1264,A:A,F:F)</f>
        <v>#NAME?</v>
      </c>
      <c r="AP1264" s="153" t="e">
        <f aca="false">_xlfn.xlookup(AN1264,A:A,J:J)</f>
        <v>#NAME?</v>
      </c>
      <c r="AQ1264" s="153" t="e">
        <f aca="false">_xlfn.xlookup(AN1264,A:A,N:N)+_xlfn.xlookup(AN1264,A:A,O:O)</f>
        <v>#NAME?</v>
      </c>
      <c r="AR1264" s="150" t="e">
        <f aca="false">_xlfn.xlookup(AN1264,A:A,AH:AH)</f>
        <v>#NAME?</v>
      </c>
      <c r="AS1264" s="150" t="e">
        <f aca="false">_xlfn.xlookup(AN1264,A:A,S:S)</f>
        <v>#NAME?</v>
      </c>
      <c r="AT1264" s="150" t="e">
        <f aca="false">_xlfn.xlookup(AN1264,A:A,AE:AE)</f>
        <v>#NAME?</v>
      </c>
      <c r="AU1264" s="150" t="e">
        <f aca="false">_xlfn.xlookup(AN1264,A:A,AF:AF)</f>
        <v>#NAME?</v>
      </c>
      <c r="AX1264" s="146"/>
      <c r="AY1264" s="150"/>
      <c r="AZ1264" s="150"/>
      <c r="BA1264" s="150"/>
      <c r="BB1264" s="146"/>
      <c r="BC1264" s="146"/>
      <c r="BD1264" s="151"/>
      <c r="BE1264" s="146"/>
      <c r="BF1264" s="146"/>
      <c r="BH1264" s="152" t="e">
        <f aca="false">_xlfn.xlookup(BG1264,A:A,E:E)</f>
        <v>#NAME?</v>
      </c>
      <c r="BI1264" s="153" t="e">
        <f aca="false">_xlfn.xlookup(BG1264,A:A,J:J)</f>
        <v>#NAME?</v>
      </c>
      <c r="BJ1264" s="153" t="e">
        <f aca="false">_xlfn.xlookup(BG1264,A:A,N:N)+_xlfn.xlookup(BG1264,A:A,O:O)</f>
        <v>#NAME?</v>
      </c>
    </row>
    <row r="1265" s="153" customFormat="true" ht="15" hidden="false" customHeight="false" outlineLevel="0" collapsed="false">
      <c r="AN1265" s="153" t="e">
        <v>#NAME?</v>
      </c>
      <c r="AO1265" s="153" t="e">
        <f aca="false">_xlfn.xlookup(AN1265,A:A,F:F)</f>
        <v>#NAME?</v>
      </c>
      <c r="AP1265" s="153" t="e">
        <f aca="false">_xlfn.xlookup(AN1265,A:A,J:J)</f>
        <v>#NAME?</v>
      </c>
      <c r="AQ1265" s="153" t="e">
        <f aca="false">_xlfn.xlookup(AN1265,A:A,N:N)+_xlfn.xlookup(AN1265,A:A,O:O)</f>
        <v>#NAME?</v>
      </c>
      <c r="AR1265" s="150" t="e">
        <f aca="false">_xlfn.xlookup(AN1265,A:A,AH:AH)</f>
        <v>#NAME?</v>
      </c>
      <c r="AS1265" s="150" t="e">
        <f aca="false">_xlfn.xlookup(AN1265,A:A,S:S)</f>
        <v>#NAME?</v>
      </c>
      <c r="AT1265" s="150" t="e">
        <f aca="false">_xlfn.xlookup(AN1265,A:A,AE:AE)</f>
        <v>#NAME?</v>
      </c>
      <c r="AU1265" s="150" t="e">
        <f aca="false">_xlfn.xlookup(AN1265,A:A,AF:AF)</f>
        <v>#NAME?</v>
      </c>
      <c r="AX1265" s="146"/>
      <c r="AY1265" s="150"/>
      <c r="AZ1265" s="150"/>
      <c r="BA1265" s="150"/>
      <c r="BB1265" s="146"/>
      <c r="BC1265" s="146"/>
      <c r="BD1265" s="151"/>
      <c r="BE1265" s="146"/>
      <c r="BF1265" s="146"/>
      <c r="BH1265" s="152" t="e">
        <f aca="false">_xlfn.xlookup(BG1265,A:A,E:E)</f>
        <v>#NAME?</v>
      </c>
      <c r="BI1265" s="153" t="e">
        <f aca="false">_xlfn.xlookup(BG1265,A:A,J:J)</f>
        <v>#NAME?</v>
      </c>
      <c r="BJ1265" s="153" t="e">
        <f aca="false">_xlfn.xlookup(BG1265,A:A,N:N)+_xlfn.xlookup(BG1265,A:A,O:O)</f>
        <v>#NAME?</v>
      </c>
    </row>
    <row r="1266" s="153" customFormat="true" ht="15" hidden="false" customHeight="false" outlineLevel="0" collapsed="false">
      <c r="AN1266" s="153" t="e">
        <v>#NAME?</v>
      </c>
      <c r="AO1266" s="153" t="e">
        <f aca="false">_xlfn.xlookup(AN1266,A:A,F:F)</f>
        <v>#NAME?</v>
      </c>
      <c r="AP1266" s="153" t="e">
        <f aca="false">_xlfn.xlookup(AN1266,A:A,J:J)</f>
        <v>#NAME?</v>
      </c>
      <c r="AQ1266" s="153" t="e">
        <f aca="false">_xlfn.xlookup(AN1266,A:A,N:N)+_xlfn.xlookup(AN1266,A:A,O:O)</f>
        <v>#NAME?</v>
      </c>
      <c r="AR1266" s="150" t="e">
        <f aca="false">_xlfn.xlookup(AN1266,A:A,AH:AH)</f>
        <v>#NAME?</v>
      </c>
      <c r="AS1266" s="150" t="e">
        <f aca="false">_xlfn.xlookup(AN1266,A:A,S:S)</f>
        <v>#NAME?</v>
      </c>
      <c r="AT1266" s="150" t="e">
        <f aca="false">_xlfn.xlookup(AN1266,A:A,AE:AE)</f>
        <v>#NAME?</v>
      </c>
      <c r="AU1266" s="150" t="e">
        <f aca="false">_xlfn.xlookup(AN1266,A:A,AF:AF)</f>
        <v>#NAME?</v>
      </c>
      <c r="AX1266" s="146"/>
      <c r="AY1266" s="150"/>
      <c r="AZ1266" s="150"/>
      <c r="BA1266" s="150"/>
      <c r="BB1266" s="146"/>
      <c r="BC1266" s="146"/>
      <c r="BD1266" s="151"/>
      <c r="BE1266" s="146"/>
      <c r="BF1266" s="146"/>
      <c r="BH1266" s="152" t="e">
        <f aca="false">_xlfn.xlookup(BG1266,A:A,E:E)</f>
        <v>#NAME?</v>
      </c>
      <c r="BI1266" s="153" t="e">
        <f aca="false">_xlfn.xlookup(BG1266,A:A,J:J)</f>
        <v>#NAME?</v>
      </c>
      <c r="BJ1266" s="153" t="e">
        <f aca="false">_xlfn.xlookup(BG1266,A:A,N:N)+_xlfn.xlookup(BG1266,A:A,O:O)</f>
        <v>#NAME?</v>
      </c>
    </row>
    <row r="1267" s="153" customFormat="true" ht="15" hidden="false" customHeight="false" outlineLevel="0" collapsed="false">
      <c r="AN1267" s="153" t="e">
        <v>#NAME?</v>
      </c>
      <c r="AO1267" s="153" t="e">
        <f aca="false">_xlfn.xlookup(AN1267,A:A,F:F)</f>
        <v>#NAME?</v>
      </c>
      <c r="AP1267" s="153" t="e">
        <f aca="false">_xlfn.xlookup(AN1267,A:A,J:J)</f>
        <v>#NAME?</v>
      </c>
      <c r="AQ1267" s="153" t="e">
        <f aca="false">_xlfn.xlookup(AN1267,A:A,N:N)+_xlfn.xlookup(AN1267,A:A,O:O)</f>
        <v>#NAME?</v>
      </c>
      <c r="AR1267" s="150" t="e">
        <f aca="false">_xlfn.xlookup(AN1267,A:A,AH:AH)</f>
        <v>#NAME?</v>
      </c>
      <c r="AS1267" s="150" t="e">
        <f aca="false">_xlfn.xlookup(AN1267,A:A,S:S)</f>
        <v>#NAME?</v>
      </c>
      <c r="AT1267" s="150" t="e">
        <f aca="false">_xlfn.xlookup(AN1267,A:A,AE:AE)</f>
        <v>#NAME?</v>
      </c>
      <c r="AU1267" s="150" t="e">
        <f aca="false">_xlfn.xlookup(AN1267,A:A,AF:AF)</f>
        <v>#NAME?</v>
      </c>
      <c r="AX1267" s="146"/>
      <c r="AY1267" s="150"/>
      <c r="AZ1267" s="150"/>
      <c r="BA1267" s="150"/>
      <c r="BB1267" s="146"/>
      <c r="BC1267" s="146"/>
      <c r="BD1267" s="151"/>
      <c r="BE1267" s="146"/>
      <c r="BF1267" s="146"/>
      <c r="BH1267" s="152" t="e">
        <f aca="false">_xlfn.xlookup(BG1267,A:A,E:E)</f>
        <v>#NAME?</v>
      </c>
      <c r="BI1267" s="153" t="e">
        <f aca="false">_xlfn.xlookup(BG1267,A:A,J:J)</f>
        <v>#NAME?</v>
      </c>
      <c r="BJ1267" s="153" t="e">
        <f aca="false">_xlfn.xlookup(BG1267,A:A,N:N)+_xlfn.xlookup(BG1267,A:A,O:O)</f>
        <v>#NAME?</v>
      </c>
    </row>
    <row r="1268" s="153" customFormat="true" ht="15" hidden="false" customHeight="false" outlineLevel="0" collapsed="false">
      <c r="AN1268" s="153" t="e">
        <v>#NAME?</v>
      </c>
      <c r="AO1268" s="153" t="e">
        <f aca="false">_xlfn.xlookup(AN1268,A:A,F:F)</f>
        <v>#NAME?</v>
      </c>
      <c r="AP1268" s="153" t="e">
        <f aca="false">_xlfn.xlookup(AN1268,A:A,J:J)</f>
        <v>#NAME?</v>
      </c>
      <c r="AQ1268" s="153" t="e">
        <f aca="false">_xlfn.xlookup(AN1268,A:A,N:N)+_xlfn.xlookup(AN1268,A:A,O:O)</f>
        <v>#NAME?</v>
      </c>
      <c r="AR1268" s="150" t="e">
        <f aca="false">_xlfn.xlookup(AN1268,A:A,AH:AH)</f>
        <v>#NAME?</v>
      </c>
      <c r="AS1268" s="150" t="e">
        <f aca="false">_xlfn.xlookup(AN1268,A:A,S:S)</f>
        <v>#NAME?</v>
      </c>
      <c r="AT1268" s="150" t="e">
        <f aca="false">_xlfn.xlookup(AN1268,A:A,AE:AE)</f>
        <v>#NAME?</v>
      </c>
      <c r="AU1268" s="150" t="e">
        <f aca="false">_xlfn.xlookup(AN1268,A:A,AF:AF)</f>
        <v>#NAME?</v>
      </c>
      <c r="AX1268" s="146"/>
      <c r="AY1268" s="150"/>
      <c r="AZ1268" s="150"/>
      <c r="BA1268" s="150"/>
      <c r="BB1268" s="146"/>
      <c r="BC1268" s="146"/>
      <c r="BD1268" s="151"/>
      <c r="BE1268" s="146"/>
      <c r="BF1268" s="146"/>
      <c r="BH1268" s="152" t="e">
        <f aca="false">_xlfn.xlookup(BG1268,A:A,E:E)</f>
        <v>#NAME?</v>
      </c>
      <c r="BI1268" s="153" t="e">
        <f aca="false">_xlfn.xlookup(BG1268,A:A,J:J)</f>
        <v>#NAME?</v>
      </c>
      <c r="BJ1268" s="153" t="e">
        <f aca="false">_xlfn.xlookup(BG1268,A:A,N:N)+_xlfn.xlookup(BG1268,A:A,O:O)</f>
        <v>#NAME?</v>
      </c>
    </row>
    <row r="1269" s="153" customFormat="true" ht="15" hidden="false" customHeight="false" outlineLevel="0" collapsed="false">
      <c r="AN1269" s="153" t="e">
        <v>#NAME?</v>
      </c>
      <c r="AO1269" s="153" t="e">
        <f aca="false">_xlfn.xlookup(AN1269,A:A,F:F)</f>
        <v>#NAME?</v>
      </c>
      <c r="AP1269" s="153" t="e">
        <f aca="false">_xlfn.xlookup(AN1269,A:A,J:J)</f>
        <v>#NAME?</v>
      </c>
      <c r="AQ1269" s="153" t="e">
        <f aca="false">_xlfn.xlookup(AN1269,A:A,N:N)+_xlfn.xlookup(AN1269,A:A,O:O)</f>
        <v>#NAME?</v>
      </c>
      <c r="AR1269" s="150" t="e">
        <f aca="false">_xlfn.xlookup(AN1269,A:A,AH:AH)</f>
        <v>#NAME?</v>
      </c>
      <c r="AS1269" s="150" t="e">
        <f aca="false">_xlfn.xlookup(AN1269,A:A,S:S)</f>
        <v>#NAME?</v>
      </c>
      <c r="AT1269" s="150" t="e">
        <f aca="false">_xlfn.xlookup(AN1269,A:A,AE:AE)</f>
        <v>#NAME?</v>
      </c>
      <c r="AU1269" s="150" t="e">
        <f aca="false">_xlfn.xlookup(AN1269,A:A,AF:AF)</f>
        <v>#NAME?</v>
      </c>
      <c r="AX1269" s="146"/>
      <c r="AY1269" s="150"/>
      <c r="AZ1269" s="150"/>
      <c r="BA1269" s="150"/>
      <c r="BB1269" s="146"/>
      <c r="BC1269" s="146"/>
      <c r="BD1269" s="151"/>
      <c r="BE1269" s="146"/>
      <c r="BF1269" s="146"/>
      <c r="BH1269" s="152" t="e">
        <f aca="false">_xlfn.xlookup(BG1269,A:A,E:E)</f>
        <v>#NAME?</v>
      </c>
      <c r="BI1269" s="153" t="e">
        <f aca="false">_xlfn.xlookup(BG1269,A:A,J:J)</f>
        <v>#NAME?</v>
      </c>
      <c r="BJ1269" s="153" t="e">
        <f aca="false">_xlfn.xlookup(BG1269,A:A,N:N)+_xlfn.xlookup(BG1269,A:A,O:O)</f>
        <v>#NAME?</v>
      </c>
    </row>
    <row r="1270" s="153" customFormat="true" ht="15" hidden="false" customHeight="false" outlineLevel="0" collapsed="false">
      <c r="AN1270" s="153" t="e">
        <v>#NAME?</v>
      </c>
      <c r="AO1270" s="153" t="e">
        <f aca="false">_xlfn.xlookup(AN1270,A:A,F:F)</f>
        <v>#NAME?</v>
      </c>
      <c r="AP1270" s="153" t="e">
        <f aca="false">_xlfn.xlookup(AN1270,A:A,J:J)</f>
        <v>#NAME?</v>
      </c>
      <c r="AQ1270" s="153" t="e">
        <f aca="false">_xlfn.xlookup(AN1270,A:A,N:N)+_xlfn.xlookup(AN1270,A:A,O:O)</f>
        <v>#NAME?</v>
      </c>
      <c r="AR1270" s="150" t="e">
        <f aca="false">_xlfn.xlookup(AN1270,A:A,AH:AH)</f>
        <v>#NAME?</v>
      </c>
      <c r="AS1270" s="150" t="e">
        <f aca="false">_xlfn.xlookup(AN1270,A:A,S:S)</f>
        <v>#NAME?</v>
      </c>
      <c r="AT1270" s="150" t="e">
        <f aca="false">_xlfn.xlookup(AN1270,A:A,AE:AE)</f>
        <v>#NAME?</v>
      </c>
      <c r="AU1270" s="150" t="e">
        <f aca="false">_xlfn.xlookup(AN1270,A:A,AF:AF)</f>
        <v>#NAME?</v>
      </c>
      <c r="AX1270" s="146"/>
      <c r="AY1270" s="150"/>
      <c r="AZ1270" s="150"/>
      <c r="BA1270" s="150"/>
      <c r="BB1270" s="146"/>
      <c r="BC1270" s="146"/>
      <c r="BD1270" s="151"/>
      <c r="BE1270" s="146"/>
      <c r="BF1270" s="146"/>
      <c r="BH1270" s="152" t="e">
        <f aca="false">_xlfn.xlookup(BG1270,A:A,E:E)</f>
        <v>#NAME?</v>
      </c>
      <c r="BI1270" s="153" t="e">
        <f aca="false">_xlfn.xlookup(BG1270,A:A,J:J)</f>
        <v>#NAME?</v>
      </c>
      <c r="BJ1270" s="153" t="e">
        <f aca="false">_xlfn.xlookup(BG1270,A:A,N:N)+_xlfn.xlookup(BG1270,A:A,O:O)</f>
        <v>#NAME?</v>
      </c>
    </row>
    <row r="1271" s="153" customFormat="true" ht="15" hidden="false" customHeight="false" outlineLevel="0" collapsed="false">
      <c r="AN1271" s="153" t="e">
        <v>#NAME?</v>
      </c>
      <c r="AO1271" s="153" t="e">
        <f aca="false">_xlfn.xlookup(AN1271,A:A,F:F)</f>
        <v>#NAME?</v>
      </c>
      <c r="AP1271" s="153" t="e">
        <f aca="false">_xlfn.xlookup(AN1271,A:A,J:J)</f>
        <v>#NAME?</v>
      </c>
      <c r="AQ1271" s="153" t="e">
        <f aca="false">_xlfn.xlookup(AN1271,A:A,N:N)+_xlfn.xlookup(AN1271,A:A,O:O)</f>
        <v>#NAME?</v>
      </c>
      <c r="AR1271" s="150" t="e">
        <f aca="false">_xlfn.xlookup(AN1271,A:A,AH:AH)</f>
        <v>#NAME?</v>
      </c>
      <c r="AS1271" s="150" t="e">
        <f aca="false">_xlfn.xlookup(AN1271,A:A,S:S)</f>
        <v>#NAME?</v>
      </c>
      <c r="AT1271" s="150" t="e">
        <f aca="false">_xlfn.xlookup(AN1271,A:A,AE:AE)</f>
        <v>#NAME?</v>
      </c>
      <c r="AU1271" s="150" t="e">
        <f aca="false">_xlfn.xlookup(AN1271,A:A,AF:AF)</f>
        <v>#NAME?</v>
      </c>
      <c r="AX1271" s="146"/>
      <c r="AY1271" s="150"/>
      <c r="AZ1271" s="150"/>
      <c r="BA1271" s="150"/>
      <c r="BB1271" s="146"/>
      <c r="BC1271" s="146"/>
      <c r="BD1271" s="151"/>
      <c r="BE1271" s="146"/>
      <c r="BF1271" s="146"/>
      <c r="BH1271" s="152" t="e">
        <f aca="false">_xlfn.xlookup(BG1271,A:A,E:E)</f>
        <v>#NAME?</v>
      </c>
      <c r="BI1271" s="153" t="e">
        <f aca="false">_xlfn.xlookup(BG1271,A:A,J:J)</f>
        <v>#NAME?</v>
      </c>
      <c r="BJ1271" s="153" t="e">
        <f aca="false">_xlfn.xlookup(BG1271,A:A,N:N)+_xlfn.xlookup(BG1271,A:A,O:O)</f>
        <v>#NAME?</v>
      </c>
    </row>
    <row r="1272" s="153" customFormat="true" ht="15" hidden="false" customHeight="false" outlineLevel="0" collapsed="false">
      <c r="AN1272" s="153" t="e">
        <v>#NAME?</v>
      </c>
      <c r="AO1272" s="153" t="e">
        <f aca="false">_xlfn.xlookup(AN1272,A:A,F:F)</f>
        <v>#NAME?</v>
      </c>
      <c r="AP1272" s="153" t="e">
        <f aca="false">_xlfn.xlookup(AN1272,A:A,J:J)</f>
        <v>#NAME?</v>
      </c>
      <c r="AQ1272" s="153" t="e">
        <f aca="false">_xlfn.xlookup(AN1272,A:A,N:N)+_xlfn.xlookup(AN1272,A:A,O:O)</f>
        <v>#NAME?</v>
      </c>
      <c r="AR1272" s="150" t="e">
        <f aca="false">_xlfn.xlookup(AN1272,A:A,AH:AH)</f>
        <v>#NAME?</v>
      </c>
      <c r="AS1272" s="150" t="e">
        <f aca="false">_xlfn.xlookup(AN1272,A:A,S:S)</f>
        <v>#NAME?</v>
      </c>
      <c r="AT1272" s="150" t="e">
        <f aca="false">_xlfn.xlookup(AN1272,A:A,AE:AE)</f>
        <v>#NAME?</v>
      </c>
      <c r="AU1272" s="150" t="e">
        <f aca="false">_xlfn.xlookup(AN1272,A:A,AF:AF)</f>
        <v>#NAME?</v>
      </c>
      <c r="AX1272" s="146"/>
      <c r="AY1272" s="150"/>
      <c r="AZ1272" s="150"/>
      <c r="BA1272" s="150"/>
      <c r="BB1272" s="146"/>
      <c r="BC1272" s="146"/>
      <c r="BD1272" s="151"/>
      <c r="BE1272" s="146"/>
      <c r="BF1272" s="146"/>
      <c r="BH1272" s="152" t="e">
        <f aca="false">_xlfn.xlookup(BG1272,A:A,E:E)</f>
        <v>#NAME?</v>
      </c>
      <c r="BI1272" s="153" t="e">
        <f aca="false">_xlfn.xlookup(BG1272,A:A,J:J)</f>
        <v>#NAME?</v>
      </c>
      <c r="BJ1272" s="153" t="e">
        <f aca="false">_xlfn.xlookup(BG1272,A:A,N:N)+_xlfn.xlookup(BG1272,A:A,O:O)</f>
        <v>#NAME?</v>
      </c>
    </row>
    <row r="1273" s="153" customFormat="true" ht="15" hidden="false" customHeight="false" outlineLevel="0" collapsed="false">
      <c r="AN1273" s="153" t="e">
        <v>#NAME?</v>
      </c>
      <c r="AO1273" s="153" t="e">
        <f aca="false">_xlfn.xlookup(AN1273,A:A,F:F)</f>
        <v>#NAME?</v>
      </c>
      <c r="AP1273" s="153" t="e">
        <f aca="false">_xlfn.xlookup(AN1273,A:A,J:J)</f>
        <v>#NAME?</v>
      </c>
      <c r="AQ1273" s="153" t="e">
        <f aca="false">_xlfn.xlookup(AN1273,A:A,N:N)+_xlfn.xlookup(AN1273,A:A,O:O)</f>
        <v>#NAME?</v>
      </c>
      <c r="AR1273" s="150" t="e">
        <f aca="false">_xlfn.xlookup(AN1273,A:A,AH:AH)</f>
        <v>#NAME?</v>
      </c>
      <c r="AS1273" s="150" t="e">
        <f aca="false">_xlfn.xlookup(AN1273,A:A,S:S)</f>
        <v>#NAME?</v>
      </c>
      <c r="AT1273" s="150" t="e">
        <f aca="false">_xlfn.xlookup(AN1273,A:A,AE:AE)</f>
        <v>#NAME?</v>
      </c>
      <c r="AU1273" s="150" t="e">
        <f aca="false">_xlfn.xlookup(AN1273,A:A,AF:AF)</f>
        <v>#NAME?</v>
      </c>
      <c r="AX1273" s="146"/>
      <c r="AY1273" s="150"/>
      <c r="AZ1273" s="150"/>
      <c r="BA1273" s="150"/>
      <c r="BB1273" s="146"/>
      <c r="BC1273" s="146"/>
      <c r="BD1273" s="151"/>
      <c r="BE1273" s="146"/>
      <c r="BF1273" s="146"/>
      <c r="BH1273" s="152" t="e">
        <f aca="false">_xlfn.xlookup(BG1273,A:A,E:E)</f>
        <v>#NAME?</v>
      </c>
      <c r="BI1273" s="153" t="e">
        <f aca="false">_xlfn.xlookup(BG1273,A:A,J:J)</f>
        <v>#NAME?</v>
      </c>
      <c r="BJ1273" s="153" t="e">
        <f aca="false">_xlfn.xlookup(BG1273,A:A,N:N)+_xlfn.xlookup(BG1273,A:A,O:O)</f>
        <v>#NAME?</v>
      </c>
    </row>
    <row r="1274" s="153" customFormat="true" ht="15" hidden="false" customHeight="false" outlineLevel="0" collapsed="false">
      <c r="AN1274" s="153" t="e">
        <v>#NAME?</v>
      </c>
      <c r="AO1274" s="153" t="e">
        <f aca="false">_xlfn.xlookup(AN1274,A:A,F:F)</f>
        <v>#NAME?</v>
      </c>
      <c r="AP1274" s="153" t="e">
        <f aca="false">_xlfn.xlookup(AN1274,A:A,J:J)</f>
        <v>#NAME?</v>
      </c>
      <c r="AQ1274" s="153" t="e">
        <f aca="false">_xlfn.xlookup(AN1274,A:A,N:N)+_xlfn.xlookup(AN1274,A:A,O:O)</f>
        <v>#NAME?</v>
      </c>
      <c r="AR1274" s="150" t="e">
        <f aca="false">_xlfn.xlookup(AN1274,A:A,AH:AH)</f>
        <v>#NAME?</v>
      </c>
      <c r="AS1274" s="150" t="e">
        <f aca="false">_xlfn.xlookup(AN1274,A:A,S:S)</f>
        <v>#NAME?</v>
      </c>
      <c r="AT1274" s="150" t="e">
        <f aca="false">_xlfn.xlookup(AN1274,A:A,AE:AE)</f>
        <v>#NAME?</v>
      </c>
      <c r="AU1274" s="150" t="e">
        <f aca="false">_xlfn.xlookup(AN1274,A:A,AF:AF)</f>
        <v>#NAME?</v>
      </c>
      <c r="AX1274" s="146"/>
      <c r="AY1274" s="150"/>
      <c r="AZ1274" s="150"/>
      <c r="BA1274" s="150"/>
      <c r="BB1274" s="146"/>
      <c r="BC1274" s="146"/>
      <c r="BD1274" s="151"/>
      <c r="BE1274" s="146"/>
      <c r="BF1274" s="146"/>
      <c r="BH1274" s="152" t="e">
        <f aca="false">_xlfn.xlookup(BG1274,A:A,E:E)</f>
        <v>#NAME?</v>
      </c>
      <c r="BI1274" s="153" t="e">
        <f aca="false">_xlfn.xlookup(BG1274,A:A,J:J)</f>
        <v>#NAME?</v>
      </c>
      <c r="BJ1274" s="153" t="e">
        <f aca="false">_xlfn.xlookup(BG1274,A:A,N:N)+_xlfn.xlookup(BG1274,A:A,O:O)</f>
        <v>#NAME?</v>
      </c>
    </row>
    <row r="1275" s="153" customFormat="true" ht="15" hidden="false" customHeight="false" outlineLevel="0" collapsed="false">
      <c r="AN1275" s="153" t="e">
        <v>#NAME?</v>
      </c>
      <c r="AO1275" s="153" t="e">
        <f aca="false">_xlfn.xlookup(AN1275,A:A,F:F)</f>
        <v>#NAME?</v>
      </c>
      <c r="AP1275" s="153" t="e">
        <f aca="false">_xlfn.xlookup(AN1275,A:A,J:J)</f>
        <v>#NAME?</v>
      </c>
      <c r="AQ1275" s="153" t="e">
        <f aca="false">_xlfn.xlookup(AN1275,A:A,N:N)+_xlfn.xlookup(AN1275,A:A,O:O)</f>
        <v>#NAME?</v>
      </c>
      <c r="AR1275" s="150" t="e">
        <f aca="false">_xlfn.xlookup(AN1275,A:A,AH:AH)</f>
        <v>#NAME?</v>
      </c>
      <c r="AS1275" s="150" t="e">
        <f aca="false">_xlfn.xlookup(AN1275,A:A,S:S)</f>
        <v>#NAME?</v>
      </c>
      <c r="AT1275" s="150" t="e">
        <f aca="false">_xlfn.xlookup(AN1275,A:A,AE:AE)</f>
        <v>#NAME?</v>
      </c>
      <c r="AU1275" s="150" t="e">
        <f aca="false">_xlfn.xlookup(AN1275,A:A,AF:AF)</f>
        <v>#NAME?</v>
      </c>
      <c r="AX1275" s="146"/>
      <c r="AY1275" s="150"/>
      <c r="AZ1275" s="150"/>
      <c r="BA1275" s="150"/>
      <c r="BB1275" s="146"/>
      <c r="BC1275" s="146"/>
      <c r="BD1275" s="151"/>
      <c r="BE1275" s="146"/>
      <c r="BF1275" s="146"/>
      <c r="BH1275" s="152" t="e">
        <f aca="false">_xlfn.xlookup(BG1275,A:A,E:E)</f>
        <v>#NAME?</v>
      </c>
      <c r="BI1275" s="153" t="e">
        <f aca="false">_xlfn.xlookup(BG1275,A:A,J:J)</f>
        <v>#NAME?</v>
      </c>
      <c r="BJ1275" s="153" t="e">
        <f aca="false">_xlfn.xlookup(BG1275,A:A,N:N)+_xlfn.xlookup(BG1275,A:A,O:O)</f>
        <v>#NAME?</v>
      </c>
    </row>
    <row r="1276" s="153" customFormat="true" ht="15" hidden="false" customHeight="false" outlineLevel="0" collapsed="false">
      <c r="AN1276" s="153" t="e">
        <v>#NAME?</v>
      </c>
      <c r="AO1276" s="153" t="e">
        <f aca="false">_xlfn.xlookup(AN1276,A:A,F:F)</f>
        <v>#NAME?</v>
      </c>
      <c r="AP1276" s="153" t="e">
        <f aca="false">_xlfn.xlookup(AN1276,A:A,J:J)</f>
        <v>#NAME?</v>
      </c>
      <c r="AQ1276" s="153" t="e">
        <f aca="false">_xlfn.xlookup(AN1276,A:A,N:N)+_xlfn.xlookup(AN1276,A:A,O:O)</f>
        <v>#NAME?</v>
      </c>
      <c r="AR1276" s="150" t="e">
        <f aca="false">_xlfn.xlookup(AN1276,A:A,AH:AH)</f>
        <v>#NAME?</v>
      </c>
      <c r="AS1276" s="150" t="e">
        <f aca="false">_xlfn.xlookup(AN1276,A:A,S:S)</f>
        <v>#NAME?</v>
      </c>
      <c r="AT1276" s="150" t="e">
        <f aca="false">_xlfn.xlookup(AN1276,A:A,AE:AE)</f>
        <v>#NAME?</v>
      </c>
      <c r="AU1276" s="150" t="e">
        <f aca="false">_xlfn.xlookup(AN1276,A:A,AF:AF)</f>
        <v>#NAME?</v>
      </c>
      <c r="AX1276" s="146"/>
      <c r="AY1276" s="150"/>
      <c r="AZ1276" s="150"/>
      <c r="BA1276" s="150"/>
      <c r="BB1276" s="146"/>
      <c r="BC1276" s="146"/>
      <c r="BD1276" s="151"/>
      <c r="BE1276" s="146"/>
      <c r="BF1276" s="146"/>
      <c r="BH1276" s="152" t="e">
        <f aca="false">_xlfn.xlookup(BG1276,A:A,E:E)</f>
        <v>#NAME?</v>
      </c>
      <c r="BI1276" s="153" t="e">
        <f aca="false">_xlfn.xlookup(BG1276,A:A,J:J)</f>
        <v>#NAME?</v>
      </c>
      <c r="BJ1276" s="153" t="e">
        <f aca="false">_xlfn.xlookup(BG1276,A:A,N:N)+_xlfn.xlookup(BG1276,A:A,O:O)</f>
        <v>#NAME?</v>
      </c>
    </row>
    <row r="1277" s="153" customFormat="true" ht="15" hidden="false" customHeight="false" outlineLevel="0" collapsed="false">
      <c r="AN1277" s="153" t="e">
        <v>#NAME?</v>
      </c>
      <c r="AO1277" s="153" t="e">
        <f aca="false">_xlfn.xlookup(AN1277,A:A,F:F)</f>
        <v>#NAME?</v>
      </c>
      <c r="AP1277" s="153" t="e">
        <f aca="false">_xlfn.xlookup(AN1277,A:A,J:J)</f>
        <v>#NAME?</v>
      </c>
      <c r="AQ1277" s="153" t="e">
        <f aca="false">_xlfn.xlookup(AN1277,A:A,N:N)+_xlfn.xlookup(AN1277,A:A,O:O)</f>
        <v>#NAME?</v>
      </c>
      <c r="AR1277" s="150" t="e">
        <f aca="false">_xlfn.xlookup(AN1277,A:A,AH:AH)</f>
        <v>#NAME?</v>
      </c>
      <c r="AS1277" s="150" t="e">
        <f aca="false">_xlfn.xlookup(AN1277,A:A,S:S)</f>
        <v>#NAME?</v>
      </c>
      <c r="AT1277" s="150" t="e">
        <f aca="false">_xlfn.xlookup(AN1277,A:A,AE:AE)</f>
        <v>#NAME?</v>
      </c>
      <c r="AU1277" s="150" t="e">
        <f aca="false">_xlfn.xlookup(AN1277,A:A,AF:AF)</f>
        <v>#NAME?</v>
      </c>
      <c r="AX1277" s="146"/>
      <c r="AY1277" s="150"/>
      <c r="AZ1277" s="150"/>
      <c r="BA1277" s="150"/>
      <c r="BB1277" s="146"/>
      <c r="BC1277" s="146"/>
      <c r="BD1277" s="151"/>
      <c r="BE1277" s="146"/>
      <c r="BF1277" s="146"/>
      <c r="BH1277" s="152" t="e">
        <f aca="false">_xlfn.xlookup(BG1277,A:A,E:E)</f>
        <v>#NAME?</v>
      </c>
      <c r="BI1277" s="153" t="e">
        <f aca="false">_xlfn.xlookup(BG1277,A:A,J:J)</f>
        <v>#NAME?</v>
      </c>
      <c r="BJ1277" s="153" t="e">
        <f aca="false">_xlfn.xlookup(BG1277,A:A,N:N)+_xlfn.xlookup(BG1277,A:A,O:O)</f>
        <v>#NAME?</v>
      </c>
    </row>
    <row r="1278" s="153" customFormat="true" ht="15" hidden="false" customHeight="false" outlineLevel="0" collapsed="false">
      <c r="AN1278" s="153" t="e">
        <v>#NAME?</v>
      </c>
      <c r="AO1278" s="153" t="e">
        <f aca="false">_xlfn.xlookup(AN1278,A:A,F:F)</f>
        <v>#NAME?</v>
      </c>
      <c r="AP1278" s="153" t="e">
        <f aca="false">_xlfn.xlookup(AN1278,A:A,J:J)</f>
        <v>#NAME?</v>
      </c>
      <c r="AQ1278" s="153" t="e">
        <f aca="false">_xlfn.xlookup(AN1278,A:A,N:N)+_xlfn.xlookup(AN1278,A:A,O:O)</f>
        <v>#NAME?</v>
      </c>
      <c r="AR1278" s="150" t="e">
        <f aca="false">_xlfn.xlookup(AN1278,A:A,AH:AH)</f>
        <v>#NAME?</v>
      </c>
      <c r="AS1278" s="150" t="e">
        <f aca="false">_xlfn.xlookup(AN1278,A:A,S:S)</f>
        <v>#NAME?</v>
      </c>
      <c r="AT1278" s="150" t="e">
        <f aca="false">_xlfn.xlookup(AN1278,A:A,AE:AE)</f>
        <v>#NAME?</v>
      </c>
      <c r="AU1278" s="150" t="e">
        <f aca="false">_xlfn.xlookup(AN1278,A:A,AF:AF)</f>
        <v>#NAME?</v>
      </c>
      <c r="AX1278" s="146"/>
      <c r="AY1278" s="150"/>
      <c r="AZ1278" s="150"/>
      <c r="BA1278" s="150"/>
      <c r="BB1278" s="146"/>
      <c r="BC1278" s="146"/>
      <c r="BD1278" s="151"/>
      <c r="BE1278" s="146"/>
      <c r="BF1278" s="146"/>
      <c r="BH1278" s="152" t="e">
        <f aca="false">_xlfn.xlookup(BG1278,A:A,E:E)</f>
        <v>#NAME?</v>
      </c>
      <c r="BI1278" s="153" t="e">
        <f aca="false">_xlfn.xlookup(BG1278,A:A,J:J)</f>
        <v>#NAME?</v>
      </c>
      <c r="BJ1278" s="153" t="e">
        <f aca="false">_xlfn.xlookup(BG1278,A:A,N:N)+_xlfn.xlookup(BG1278,A:A,O:O)</f>
        <v>#NAME?</v>
      </c>
    </row>
    <row r="1279" s="153" customFormat="true" ht="15" hidden="false" customHeight="false" outlineLevel="0" collapsed="false">
      <c r="AN1279" s="153" t="e">
        <v>#NAME?</v>
      </c>
      <c r="AO1279" s="153" t="e">
        <f aca="false">_xlfn.xlookup(AN1279,A:A,F:F)</f>
        <v>#NAME?</v>
      </c>
      <c r="AP1279" s="153" t="e">
        <f aca="false">_xlfn.xlookup(AN1279,A:A,J:J)</f>
        <v>#NAME?</v>
      </c>
      <c r="AQ1279" s="153" t="e">
        <f aca="false">_xlfn.xlookup(AN1279,A:A,N:N)+_xlfn.xlookup(AN1279,A:A,O:O)</f>
        <v>#NAME?</v>
      </c>
      <c r="AR1279" s="150" t="e">
        <f aca="false">_xlfn.xlookup(AN1279,A:A,AH:AH)</f>
        <v>#NAME?</v>
      </c>
      <c r="AS1279" s="150" t="e">
        <f aca="false">_xlfn.xlookup(AN1279,A:A,S:S)</f>
        <v>#NAME?</v>
      </c>
      <c r="AT1279" s="150" t="e">
        <f aca="false">_xlfn.xlookup(AN1279,A:A,AE:AE)</f>
        <v>#NAME?</v>
      </c>
      <c r="AU1279" s="150" t="e">
        <f aca="false">_xlfn.xlookup(AN1279,A:A,AF:AF)</f>
        <v>#NAME?</v>
      </c>
      <c r="AX1279" s="146"/>
      <c r="AY1279" s="150"/>
      <c r="AZ1279" s="150"/>
      <c r="BA1279" s="150"/>
      <c r="BB1279" s="146"/>
      <c r="BC1279" s="146"/>
      <c r="BD1279" s="151"/>
      <c r="BE1279" s="146"/>
      <c r="BF1279" s="146"/>
      <c r="BH1279" s="152" t="e">
        <f aca="false">_xlfn.xlookup(BG1279,A:A,E:E)</f>
        <v>#NAME?</v>
      </c>
      <c r="BI1279" s="153" t="e">
        <f aca="false">_xlfn.xlookup(BG1279,A:A,J:J)</f>
        <v>#NAME?</v>
      </c>
      <c r="BJ1279" s="153" t="e">
        <f aca="false">_xlfn.xlookup(BG1279,A:A,N:N)+_xlfn.xlookup(BG1279,A:A,O:O)</f>
        <v>#NAME?</v>
      </c>
    </row>
    <row r="1280" s="153" customFormat="true" ht="15" hidden="false" customHeight="false" outlineLevel="0" collapsed="false">
      <c r="AN1280" s="153" t="e">
        <v>#NAME?</v>
      </c>
      <c r="AO1280" s="153" t="e">
        <f aca="false">_xlfn.xlookup(AN1280,A:A,F:F)</f>
        <v>#NAME?</v>
      </c>
      <c r="AP1280" s="153" t="e">
        <f aca="false">_xlfn.xlookup(AN1280,A:A,J:J)</f>
        <v>#NAME?</v>
      </c>
      <c r="AQ1280" s="153" t="e">
        <f aca="false">_xlfn.xlookup(AN1280,A:A,N:N)+_xlfn.xlookup(AN1280,A:A,O:O)</f>
        <v>#NAME?</v>
      </c>
      <c r="AR1280" s="150" t="e">
        <f aca="false">_xlfn.xlookup(AN1280,A:A,AH:AH)</f>
        <v>#NAME?</v>
      </c>
      <c r="AS1280" s="150" t="e">
        <f aca="false">_xlfn.xlookup(AN1280,A:A,S:S)</f>
        <v>#NAME?</v>
      </c>
      <c r="AT1280" s="150" t="e">
        <f aca="false">_xlfn.xlookup(AN1280,A:A,AE:AE)</f>
        <v>#NAME?</v>
      </c>
      <c r="AU1280" s="150" t="e">
        <f aca="false">_xlfn.xlookup(AN1280,A:A,AF:AF)</f>
        <v>#NAME?</v>
      </c>
      <c r="AX1280" s="146"/>
      <c r="AY1280" s="150"/>
      <c r="AZ1280" s="150"/>
      <c r="BA1280" s="150"/>
      <c r="BB1280" s="146"/>
      <c r="BC1280" s="146"/>
      <c r="BD1280" s="151"/>
      <c r="BE1280" s="146"/>
      <c r="BF1280" s="146"/>
      <c r="BH1280" s="152" t="e">
        <f aca="false">_xlfn.xlookup(BG1280,A:A,E:E)</f>
        <v>#NAME?</v>
      </c>
      <c r="BI1280" s="153" t="e">
        <f aca="false">_xlfn.xlookup(BG1280,A:A,J:J)</f>
        <v>#NAME?</v>
      </c>
      <c r="BJ1280" s="153" t="e">
        <f aca="false">_xlfn.xlookup(BG1280,A:A,N:N)+_xlfn.xlookup(BG1280,A:A,O:O)</f>
        <v>#NAME?</v>
      </c>
    </row>
    <row r="1281" s="153" customFormat="true" ht="15" hidden="false" customHeight="false" outlineLevel="0" collapsed="false">
      <c r="AN1281" s="153" t="e">
        <v>#NAME?</v>
      </c>
      <c r="AO1281" s="153" t="e">
        <f aca="false">_xlfn.xlookup(AN1281,A:A,F:F)</f>
        <v>#NAME?</v>
      </c>
      <c r="AP1281" s="153" t="e">
        <f aca="false">_xlfn.xlookup(AN1281,A:A,J:J)</f>
        <v>#NAME?</v>
      </c>
      <c r="AQ1281" s="153" t="e">
        <f aca="false">_xlfn.xlookup(AN1281,A:A,N:N)+_xlfn.xlookup(AN1281,A:A,O:O)</f>
        <v>#NAME?</v>
      </c>
      <c r="AR1281" s="150" t="e">
        <f aca="false">_xlfn.xlookup(AN1281,A:A,AH:AH)</f>
        <v>#NAME?</v>
      </c>
      <c r="AS1281" s="150" t="e">
        <f aca="false">_xlfn.xlookup(AN1281,A:A,S:S)</f>
        <v>#NAME?</v>
      </c>
      <c r="AT1281" s="150" t="e">
        <f aca="false">_xlfn.xlookup(AN1281,A:A,AE:AE)</f>
        <v>#NAME?</v>
      </c>
      <c r="AU1281" s="150" t="e">
        <f aca="false">_xlfn.xlookup(AN1281,A:A,AF:AF)</f>
        <v>#NAME?</v>
      </c>
      <c r="AX1281" s="146"/>
      <c r="AY1281" s="150"/>
      <c r="AZ1281" s="150"/>
      <c r="BA1281" s="150"/>
      <c r="BB1281" s="146"/>
      <c r="BC1281" s="146"/>
      <c r="BD1281" s="151"/>
      <c r="BE1281" s="146"/>
      <c r="BF1281" s="146"/>
      <c r="BH1281" s="152" t="e">
        <f aca="false">_xlfn.xlookup(BG1281,A:A,E:E)</f>
        <v>#NAME?</v>
      </c>
      <c r="BI1281" s="153" t="e">
        <f aca="false">_xlfn.xlookup(BG1281,A:A,J:J)</f>
        <v>#NAME?</v>
      </c>
      <c r="BJ1281" s="153" t="e">
        <f aca="false">_xlfn.xlookup(BG1281,A:A,N:N)+_xlfn.xlookup(BG1281,A:A,O:O)</f>
        <v>#NAME?</v>
      </c>
    </row>
    <row r="1282" s="153" customFormat="true" ht="15" hidden="false" customHeight="false" outlineLevel="0" collapsed="false">
      <c r="AN1282" s="153" t="e">
        <v>#NAME?</v>
      </c>
      <c r="AO1282" s="153" t="e">
        <f aca="false">_xlfn.xlookup(AN1282,A:A,F:F)</f>
        <v>#NAME?</v>
      </c>
      <c r="AP1282" s="153" t="e">
        <f aca="false">_xlfn.xlookup(AN1282,A:A,J:J)</f>
        <v>#NAME?</v>
      </c>
      <c r="AQ1282" s="153" t="e">
        <f aca="false">_xlfn.xlookup(AN1282,A:A,N:N)+_xlfn.xlookup(AN1282,A:A,O:O)</f>
        <v>#NAME?</v>
      </c>
      <c r="AR1282" s="150" t="e">
        <f aca="false">_xlfn.xlookup(AN1282,A:A,AH:AH)</f>
        <v>#NAME?</v>
      </c>
      <c r="AS1282" s="150" t="e">
        <f aca="false">_xlfn.xlookup(AN1282,A:A,S:S)</f>
        <v>#NAME?</v>
      </c>
      <c r="AT1282" s="150" t="e">
        <f aca="false">_xlfn.xlookup(AN1282,A:A,AE:AE)</f>
        <v>#NAME?</v>
      </c>
      <c r="AU1282" s="150" t="e">
        <f aca="false">_xlfn.xlookup(AN1282,A:A,AF:AF)</f>
        <v>#NAME?</v>
      </c>
      <c r="AX1282" s="146"/>
      <c r="AY1282" s="150"/>
      <c r="AZ1282" s="150"/>
      <c r="BA1282" s="150"/>
      <c r="BB1282" s="146"/>
      <c r="BC1282" s="146"/>
      <c r="BD1282" s="151"/>
      <c r="BE1282" s="146"/>
      <c r="BF1282" s="146"/>
      <c r="BH1282" s="152" t="e">
        <f aca="false">_xlfn.xlookup(BG1282,A:A,E:E)</f>
        <v>#NAME?</v>
      </c>
      <c r="BI1282" s="153" t="e">
        <f aca="false">_xlfn.xlookup(BG1282,A:A,J:J)</f>
        <v>#NAME?</v>
      </c>
      <c r="BJ1282" s="153" t="e">
        <f aca="false">_xlfn.xlookup(BG1282,A:A,N:N)+_xlfn.xlookup(BG1282,A:A,O:O)</f>
        <v>#NAME?</v>
      </c>
    </row>
    <row r="1283" s="153" customFormat="true" ht="15" hidden="false" customHeight="false" outlineLevel="0" collapsed="false">
      <c r="AN1283" s="153" t="e">
        <v>#NAME?</v>
      </c>
      <c r="AO1283" s="153" t="e">
        <f aca="false">_xlfn.xlookup(AN1283,A:A,F:F)</f>
        <v>#NAME?</v>
      </c>
      <c r="AP1283" s="153" t="e">
        <f aca="false">_xlfn.xlookup(AN1283,A:A,J:J)</f>
        <v>#NAME?</v>
      </c>
      <c r="AQ1283" s="153" t="e">
        <f aca="false">_xlfn.xlookup(AN1283,A:A,N:N)+_xlfn.xlookup(AN1283,A:A,O:O)</f>
        <v>#NAME?</v>
      </c>
      <c r="AR1283" s="150" t="e">
        <f aca="false">_xlfn.xlookup(AN1283,A:A,AH:AH)</f>
        <v>#NAME?</v>
      </c>
      <c r="AS1283" s="150" t="e">
        <f aca="false">_xlfn.xlookup(AN1283,A:A,S:S)</f>
        <v>#NAME?</v>
      </c>
      <c r="AT1283" s="150" t="e">
        <f aca="false">_xlfn.xlookup(AN1283,A:A,AE:AE)</f>
        <v>#NAME?</v>
      </c>
      <c r="AU1283" s="150" t="e">
        <f aca="false">_xlfn.xlookup(AN1283,A:A,AF:AF)</f>
        <v>#NAME?</v>
      </c>
      <c r="AX1283" s="146"/>
      <c r="AY1283" s="150"/>
      <c r="AZ1283" s="150"/>
      <c r="BA1283" s="150"/>
      <c r="BB1283" s="146"/>
      <c r="BC1283" s="146"/>
      <c r="BD1283" s="151"/>
      <c r="BE1283" s="146"/>
      <c r="BF1283" s="146"/>
      <c r="BH1283" s="152" t="e">
        <f aca="false">_xlfn.xlookup(BG1283,A:A,E:E)</f>
        <v>#NAME?</v>
      </c>
      <c r="BI1283" s="153" t="e">
        <f aca="false">_xlfn.xlookup(BG1283,A:A,J:J)</f>
        <v>#NAME?</v>
      </c>
      <c r="BJ1283" s="153" t="e">
        <f aca="false">_xlfn.xlookup(BG1283,A:A,N:N)+_xlfn.xlookup(BG1283,A:A,O:O)</f>
        <v>#NAME?</v>
      </c>
    </row>
    <row r="1284" s="153" customFormat="true" ht="15" hidden="false" customHeight="false" outlineLevel="0" collapsed="false">
      <c r="AN1284" s="153" t="e">
        <v>#NAME?</v>
      </c>
      <c r="AO1284" s="153" t="e">
        <f aca="false">_xlfn.xlookup(AN1284,A:A,F:F)</f>
        <v>#NAME?</v>
      </c>
      <c r="AP1284" s="153" t="e">
        <f aca="false">_xlfn.xlookup(AN1284,A:A,J:J)</f>
        <v>#NAME?</v>
      </c>
      <c r="AQ1284" s="153" t="e">
        <f aca="false">_xlfn.xlookup(AN1284,A:A,N:N)+_xlfn.xlookup(AN1284,A:A,O:O)</f>
        <v>#NAME?</v>
      </c>
      <c r="AR1284" s="150" t="e">
        <f aca="false">_xlfn.xlookup(AN1284,A:A,AH:AH)</f>
        <v>#NAME?</v>
      </c>
      <c r="AS1284" s="150" t="e">
        <f aca="false">_xlfn.xlookup(AN1284,A:A,S:S)</f>
        <v>#NAME?</v>
      </c>
      <c r="AT1284" s="150" t="e">
        <f aca="false">_xlfn.xlookup(AN1284,A:A,AE:AE)</f>
        <v>#NAME?</v>
      </c>
      <c r="AU1284" s="150" t="e">
        <f aca="false">_xlfn.xlookup(AN1284,A:A,AF:AF)</f>
        <v>#NAME?</v>
      </c>
      <c r="AX1284" s="146"/>
      <c r="AY1284" s="150"/>
      <c r="AZ1284" s="150"/>
      <c r="BA1284" s="150"/>
      <c r="BB1284" s="146"/>
      <c r="BC1284" s="146"/>
      <c r="BD1284" s="151"/>
      <c r="BE1284" s="146"/>
      <c r="BF1284" s="146"/>
      <c r="BH1284" s="152" t="e">
        <f aca="false">_xlfn.xlookup(BG1284,A:A,E:E)</f>
        <v>#NAME?</v>
      </c>
      <c r="BI1284" s="153" t="e">
        <f aca="false">_xlfn.xlookup(BG1284,A:A,J:J)</f>
        <v>#NAME?</v>
      </c>
      <c r="BJ1284" s="153" t="e">
        <f aca="false">_xlfn.xlookup(BG1284,A:A,N:N)+_xlfn.xlookup(BG1284,A:A,O:O)</f>
        <v>#NAME?</v>
      </c>
    </row>
    <row r="1285" s="153" customFormat="true" ht="15" hidden="false" customHeight="false" outlineLevel="0" collapsed="false">
      <c r="AN1285" s="153" t="e">
        <v>#NAME?</v>
      </c>
      <c r="AO1285" s="153" t="e">
        <f aca="false">_xlfn.xlookup(AN1285,A:A,F:F)</f>
        <v>#NAME?</v>
      </c>
      <c r="AP1285" s="153" t="e">
        <f aca="false">_xlfn.xlookup(AN1285,A:A,J:J)</f>
        <v>#NAME?</v>
      </c>
      <c r="AQ1285" s="153" t="e">
        <f aca="false">_xlfn.xlookup(AN1285,A:A,N:N)+_xlfn.xlookup(AN1285,A:A,O:O)</f>
        <v>#NAME?</v>
      </c>
      <c r="AR1285" s="150" t="e">
        <f aca="false">_xlfn.xlookup(AN1285,A:A,AH:AH)</f>
        <v>#NAME?</v>
      </c>
      <c r="AS1285" s="150" t="e">
        <f aca="false">_xlfn.xlookup(AN1285,A:A,S:S)</f>
        <v>#NAME?</v>
      </c>
      <c r="AT1285" s="150" t="e">
        <f aca="false">_xlfn.xlookup(AN1285,A:A,AE:AE)</f>
        <v>#NAME?</v>
      </c>
      <c r="AU1285" s="150" t="e">
        <f aca="false">_xlfn.xlookup(AN1285,A:A,AF:AF)</f>
        <v>#NAME?</v>
      </c>
      <c r="AX1285" s="146"/>
      <c r="AY1285" s="150"/>
      <c r="AZ1285" s="150"/>
      <c r="BA1285" s="150"/>
      <c r="BB1285" s="146"/>
      <c r="BC1285" s="146"/>
      <c r="BD1285" s="151"/>
      <c r="BE1285" s="146"/>
      <c r="BF1285" s="146"/>
      <c r="BH1285" s="152" t="e">
        <f aca="false">_xlfn.xlookup(BG1285,A:A,E:E)</f>
        <v>#NAME?</v>
      </c>
      <c r="BI1285" s="153" t="e">
        <f aca="false">_xlfn.xlookup(BG1285,A:A,J:J)</f>
        <v>#NAME?</v>
      </c>
      <c r="BJ1285" s="153" t="e">
        <f aca="false">_xlfn.xlookup(BG1285,A:A,N:N)+_xlfn.xlookup(BG1285,A:A,O:O)</f>
        <v>#NAME?</v>
      </c>
    </row>
    <row r="1286" s="153" customFormat="true" ht="15" hidden="false" customHeight="false" outlineLevel="0" collapsed="false">
      <c r="AN1286" s="153" t="e">
        <v>#NAME?</v>
      </c>
      <c r="AO1286" s="153" t="e">
        <f aca="false">_xlfn.xlookup(AN1286,A:A,F:F)</f>
        <v>#NAME?</v>
      </c>
      <c r="AP1286" s="153" t="e">
        <f aca="false">_xlfn.xlookup(AN1286,A:A,J:J)</f>
        <v>#NAME?</v>
      </c>
      <c r="AQ1286" s="153" t="e">
        <f aca="false">_xlfn.xlookup(AN1286,A:A,N:N)+_xlfn.xlookup(AN1286,A:A,O:O)</f>
        <v>#NAME?</v>
      </c>
      <c r="AR1286" s="150" t="e">
        <f aca="false">_xlfn.xlookup(AN1286,A:A,AH:AH)</f>
        <v>#NAME?</v>
      </c>
      <c r="AS1286" s="150" t="e">
        <f aca="false">_xlfn.xlookup(AN1286,A:A,S:S)</f>
        <v>#NAME?</v>
      </c>
      <c r="AT1286" s="150" t="e">
        <f aca="false">_xlfn.xlookup(AN1286,A:A,AE:AE)</f>
        <v>#NAME?</v>
      </c>
      <c r="AU1286" s="150" t="e">
        <f aca="false">_xlfn.xlookup(AN1286,A:A,AF:AF)</f>
        <v>#NAME?</v>
      </c>
      <c r="AX1286" s="146"/>
      <c r="AY1286" s="150"/>
      <c r="AZ1286" s="150"/>
      <c r="BA1286" s="150"/>
      <c r="BB1286" s="146"/>
      <c r="BC1286" s="146"/>
      <c r="BD1286" s="151"/>
      <c r="BE1286" s="146"/>
      <c r="BF1286" s="146"/>
      <c r="BH1286" s="152" t="e">
        <f aca="false">_xlfn.xlookup(BG1286,A:A,E:E)</f>
        <v>#NAME?</v>
      </c>
      <c r="BI1286" s="153" t="e">
        <f aca="false">_xlfn.xlookup(BG1286,A:A,J:J)</f>
        <v>#NAME?</v>
      </c>
      <c r="BJ1286" s="153" t="e">
        <f aca="false">_xlfn.xlookup(BG1286,A:A,N:N)+_xlfn.xlookup(BG1286,A:A,O:O)</f>
        <v>#NAME?</v>
      </c>
    </row>
    <row r="1287" s="153" customFormat="true" ht="15" hidden="false" customHeight="false" outlineLevel="0" collapsed="false">
      <c r="AN1287" s="153" t="e">
        <v>#NAME?</v>
      </c>
      <c r="AO1287" s="153" t="e">
        <f aca="false">_xlfn.xlookup(AN1287,A:A,F:F)</f>
        <v>#NAME?</v>
      </c>
      <c r="AP1287" s="153" t="e">
        <f aca="false">_xlfn.xlookup(AN1287,A:A,J:J)</f>
        <v>#NAME?</v>
      </c>
      <c r="AQ1287" s="153" t="e">
        <f aca="false">_xlfn.xlookup(AN1287,A:A,N:N)+_xlfn.xlookup(AN1287,A:A,O:O)</f>
        <v>#NAME?</v>
      </c>
      <c r="AR1287" s="150" t="e">
        <f aca="false">_xlfn.xlookup(AN1287,A:A,AH:AH)</f>
        <v>#NAME?</v>
      </c>
      <c r="AS1287" s="150" t="e">
        <f aca="false">_xlfn.xlookup(AN1287,A:A,S:S)</f>
        <v>#NAME?</v>
      </c>
      <c r="AT1287" s="150" t="e">
        <f aca="false">_xlfn.xlookup(AN1287,A:A,AE:AE)</f>
        <v>#NAME?</v>
      </c>
      <c r="AU1287" s="150" t="e">
        <f aca="false">_xlfn.xlookup(AN1287,A:A,AF:AF)</f>
        <v>#NAME?</v>
      </c>
      <c r="AX1287" s="146"/>
      <c r="AY1287" s="150"/>
      <c r="AZ1287" s="150"/>
      <c r="BA1287" s="150"/>
      <c r="BB1287" s="146"/>
      <c r="BC1287" s="146"/>
      <c r="BD1287" s="151"/>
      <c r="BE1287" s="146"/>
      <c r="BF1287" s="146"/>
      <c r="BH1287" s="152" t="e">
        <f aca="false">_xlfn.xlookup(BG1287,A:A,E:E)</f>
        <v>#NAME?</v>
      </c>
      <c r="BI1287" s="153" t="e">
        <f aca="false">_xlfn.xlookup(BG1287,A:A,J:J)</f>
        <v>#NAME?</v>
      </c>
      <c r="BJ1287" s="153" t="e">
        <f aca="false">_xlfn.xlookup(BG1287,A:A,N:N)+_xlfn.xlookup(BG1287,A:A,O:O)</f>
        <v>#NAME?</v>
      </c>
    </row>
    <row r="1288" s="153" customFormat="true" ht="15" hidden="false" customHeight="false" outlineLevel="0" collapsed="false">
      <c r="AN1288" s="153" t="e">
        <v>#NAME?</v>
      </c>
      <c r="AO1288" s="153" t="e">
        <f aca="false">_xlfn.xlookup(AN1288,A:A,F:F)</f>
        <v>#NAME?</v>
      </c>
      <c r="AP1288" s="153" t="e">
        <f aca="false">_xlfn.xlookup(AN1288,A:A,J:J)</f>
        <v>#NAME?</v>
      </c>
      <c r="AQ1288" s="153" t="e">
        <f aca="false">_xlfn.xlookup(AN1288,A:A,N:N)+_xlfn.xlookup(AN1288,A:A,O:O)</f>
        <v>#NAME?</v>
      </c>
      <c r="AR1288" s="150" t="e">
        <f aca="false">_xlfn.xlookup(AN1288,A:A,AH:AH)</f>
        <v>#NAME?</v>
      </c>
      <c r="AS1288" s="150" t="e">
        <f aca="false">_xlfn.xlookup(AN1288,A:A,S:S)</f>
        <v>#NAME?</v>
      </c>
      <c r="AT1288" s="150" t="e">
        <f aca="false">_xlfn.xlookup(AN1288,A:A,AE:AE)</f>
        <v>#NAME?</v>
      </c>
      <c r="AU1288" s="150" t="e">
        <f aca="false">_xlfn.xlookup(AN1288,A:A,AF:AF)</f>
        <v>#NAME?</v>
      </c>
      <c r="AX1288" s="146"/>
      <c r="AY1288" s="150"/>
      <c r="AZ1288" s="150"/>
      <c r="BA1288" s="150"/>
      <c r="BB1288" s="146"/>
      <c r="BC1288" s="146"/>
      <c r="BD1288" s="151"/>
      <c r="BE1288" s="146"/>
      <c r="BF1288" s="146"/>
      <c r="BH1288" s="152" t="e">
        <f aca="false">_xlfn.xlookup(BG1288,A:A,E:E)</f>
        <v>#NAME?</v>
      </c>
      <c r="BI1288" s="153" t="e">
        <f aca="false">_xlfn.xlookup(BG1288,A:A,J:J)</f>
        <v>#NAME?</v>
      </c>
      <c r="BJ1288" s="153" t="e">
        <f aca="false">_xlfn.xlookup(BG1288,A:A,N:N)+_xlfn.xlookup(BG1288,A:A,O:O)</f>
        <v>#NAME?</v>
      </c>
    </row>
    <row r="1289" s="153" customFormat="true" ht="15" hidden="false" customHeight="false" outlineLevel="0" collapsed="false">
      <c r="AN1289" s="153" t="e">
        <v>#NAME?</v>
      </c>
      <c r="AO1289" s="153" t="e">
        <f aca="false">_xlfn.xlookup(AN1289,A:A,F:F)</f>
        <v>#NAME?</v>
      </c>
      <c r="AP1289" s="153" t="e">
        <f aca="false">_xlfn.xlookup(AN1289,A:A,J:J)</f>
        <v>#NAME?</v>
      </c>
      <c r="AQ1289" s="153" t="e">
        <f aca="false">_xlfn.xlookup(AN1289,A:A,N:N)+_xlfn.xlookup(AN1289,A:A,O:O)</f>
        <v>#NAME?</v>
      </c>
      <c r="AR1289" s="150" t="e">
        <f aca="false">_xlfn.xlookup(AN1289,A:A,AH:AH)</f>
        <v>#NAME?</v>
      </c>
      <c r="AS1289" s="150" t="e">
        <f aca="false">_xlfn.xlookup(AN1289,A:A,S:S)</f>
        <v>#NAME?</v>
      </c>
      <c r="AT1289" s="150" t="e">
        <f aca="false">_xlfn.xlookup(AN1289,A:A,AE:AE)</f>
        <v>#NAME?</v>
      </c>
      <c r="AU1289" s="150" t="e">
        <f aca="false">_xlfn.xlookup(AN1289,A:A,AF:AF)</f>
        <v>#NAME?</v>
      </c>
      <c r="AX1289" s="146"/>
      <c r="AY1289" s="150"/>
      <c r="AZ1289" s="150"/>
      <c r="BA1289" s="150"/>
      <c r="BB1289" s="146"/>
      <c r="BC1289" s="146"/>
      <c r="BD1289" s="151"/>
      <c r="BE1289" s="146"/>
      <c r="BF1289" s="146"/>
      <c r="BH1289" s="152" t="e">
        <f aca="false">_xlfn.xlookup(BG1289,A:A,E:E)</f>
        <v>#NAME?</v>
      </c>
      <c r="BI1289" s="153" t="e">
        <f aca="false">_xlfn.xlookup(BG1289,A:A,J:J)</f>
        <v>#NAME?</v>
      </c>
      <c r="BJ1289" s="153" t="e">
        <f aca="false">_xlfn.xlookup(BG1289,A:A,N:N)+_xlfn.xlookup(BG1289,A:A,O:O)</f>
        <v>#NAME?</v>
      </c>
    </row>
    <row r="1290" s="153" customFormat="true" ht="15" hidden="false" customHeight="false" outlineLevel="0" collapsed="false">
      <c r="AN1290" s="153" t="e">
        <v>#NAME?</v>
      </c>
      <c r="AO1290" s="153" t="e">
        <f aca="false">_xlfn.xlookup(AN1290,A:A,F:F)</f>
        <v>#NAME?</v>
      </c>
      <c r="AP1290" s="153" t="e">
        <f aca="false">_xlfn.xlookup(AN1290,A:A,J:J)</f>
        <v>#NAME?</v>
      </c>
      <c r="AQ1290" s="153" t="e">
        <f aca="false">_xlfn.xlookup(AN1290,A:A,N:N)+_xlfn.xlookup(AN1290,A:A,O:O)</f>
        <v>#NAME?</v>
      </c>
      <c r="AR1290" s="150" t="e">
        <f aca="false">_xlfn.xlookup(AN1290,A:A,AH:AH)</f>
        <v>#NAME?</v>
      </c>
      <c r="AS1290" s="150" t="e">
        <f aca="false">_xlfn.xlookup(AN1290,A:A,S:S)</f>
        <v>#NAME?</v>
      </c>
      <c r="AT1290" s="150" t="e">
        <f aca="false">_xlfn.xlookup(AN1290,A:A,AE:AE)</f>
        <v>#NAME?</v>
      </c>
      <c r="AU1290" s="150" t="e">
        <f aca="false">_xlfn.xlookup(AN1290,A:A,AF:AF)</f>
        <v>#NAME?</v>
      </c>
      <c r="AX1290" s="146"/>
      <c r="AY1290" s="150"/>
      <c r="AZ1290" s="150"/>
      <c r="BA1290" s="150"/>
      <c r="BB1290" s="146"/>
      <c r="BC1290" s="146"/>
      <c r="BD1290" s="151"/>
      <c r="BE1290" s="146"/>
      <c r="BF1290" s="146"/>
      <c r="BH1290" s="152" t="e">
        <f aca="false">_xlfn.xlookup(BG1290,A:A,E:E)</f>
        <v>#NAME?</v>
      </c>
      <c r="BI1290" s="153" t="e">
        <f aca="false">_xlfn.xlookup(BG1290,A:A,J:J)</f>
        <v>#NAME?</v>
      </c>
      <c r="BJ1290" s="153" t="e">
        <f aca="false">_xlfn.xlookup(BG1290,A:A,N:N)+_xlfn.xlookup(BG1290,A:A,O:O)</f>
        <v>#NAME?</v>
      </c>
    </row>
    <row r="1291" s="153" customFormat="true" ht="15" hidden="false" customHeight="false" outlineLevel="0" collapsed="false">
      <c r="AN1291" s="153" t="e">
        <v>#NAME?</v>
      </c>
      <c r="AO1291" s="153" t="e">
        <f aca="false">_xlfn.xlookup(AN1291,A:A,F:F)</f>
        <v>#NAME?</v>
      </c>
      <c r="AP1291" s="153" t="e">
        <f aca="false">_xlfn.xlookup(AN1291,A:A,J:J)</f>
        <v>#NAME?</v>
      </c>
      <c r="AQ1291" s="153" t="e">
        <f aca="false">_xlfn.xlookup(AN1291,A:A,N:N)+_xlfn.xlookup(AN1291,A:A,O:O)</f>
        <v>#NAME?</v>
      </c>
      <c r="AR1291" s="150" t="e">
        <f aca="false">_xlfn.xlookup(AN1291,A:A,AH:AH)</f>
        <v>#NAME?</v>
      </c>
      <c r="AS1291" s="150" t="e">
        <f aca="false">_xlfn.xlookup(AN1291,A:A,S:S)</f>
        <v>#NAME?</v>
      </c>
      <c r="AT1291" s="150" t="e">
        <f aca="false">_xlfn.xlookup(AN1291,A:A,AE:AE)</f>
        <v>#NAME?</v>
      </c>
      <c r="AU1291" s="150" t="e">
        <f aca="false">_xlfn.xlookup(AN1291,A:A,AF:AF)</f>
        <v>#NAME?</v>
      </c>
      <c r="AX1291" s="146"/>
      <c r="AY1291" s="150"/>
      <c r="AZ1291" s="150"/>
      <c r="BA1291" s="150"/>
      <c r="BB1291" s="146"/>
      <c r="BC1291" s="146"/>
      <c r="BD1291" s="151"/>
      <c r="BE1291" s="146"/>
      <c r="BF1291" s="146"/>
      <c r="BH1291" s="152" t="e">
        <f aca="false">_xlfn.xlookup(BG1291,A:A,E:E)</f>
        <v>#NAME?</v>
      </c>
      <c r="BI1291" s="153" t="e">
        <f aca="false">_xlfn.xlookup(BG1291,A:A,J:J)</f>
        <v>#NAME?</v>
      </c>
      <c r="BJ1291" s="153" t="e">
        <f aca="false">_xlfn.xlookup(BG1291,A:A,N:N)+_xlfn.xlookup(BG1291,A:A,O:O)</f>
        <v>#NAME?</v>
      </c>
    </row>
    <row r="1292" s="153" customFormat="true" ht="15" hidden="false" customHeight="false" outlineLevel="0" collapsed="false">
      <c r="AN1292" s="153" t="e">
        <v>#NAME?</v>
      </c>
      <c r="AO1292" s="153" t="e">
        <f aca="false">_xlfn.xlookup(AN1292,A:A,F:F)</f>
        <v>#NAME?</v>
      </c>
      <c r="AP1292" s="153" t="e">
        <f aca="false">_xlfn.xlookup(AN1292,A:A,J:J)</f>
        <v>#NAME?</v>
      </c>
      <c r="AQ1292" s="153" t="e">
        <f aca="false">_xlfn.xlookup(AN1292,A:A,N:N)+_xlfn.xlookup(AN1292,A:A,O:O)</f>
        <v>#NAME?</v>
      </c>
      <c r="AR1292" s="150" t="e">
        <f aca="false">_xlfn.xlookup(AN1292,A:A,AH:AH)</f>
        <v>#NAME?</v>
      </c>
      <c r="AS1292" s="150" t="e">
        <f aca="false">_xlfn.xlookup(AN1292,A:A,S:S)</f>
        <v>#NAME?</v>
      </c>
      <c r="AT1292" s="150" t="e">
        <f aca="false">_xlfn.xlookup(AN1292,A:A,AE:AE)</f>
        <v>#NAME?</v>
      </c>
      <c r="AU1292" s="150" t="e">
        <f aca="false">_xlfn.xlookup(AN1292,A:A,AF:AF)</f>
        <v>#NAME?</v>
      </c>
      <c r="AX1292" s="146"/>
      <c r="AY1292" s="150"/>
      <c r="AZ1292" s="150"/>
      <c r="BA1292" s="150"/>
      <c r="BB1292" s="146"/>
      <c r="BC1292" s="146"/>
      <c r="BD1292" s="151"/>
      <c r="BE1292" s="146"/>
      <c r="BF1292" s="146"/>
      <c r="BH1292" s="152" t="e">
        <f aca="false">_xlfn.xlookup(BG1292,A:A,E:E)</f>
        <v>#NAME?</v>
      </c>
      <c r="BI1292" s="153" t="e">
        <f aca="false">_xlfn.xlookup(BG1292,A:A,J:J)</f>
        <v>#NAME?</v>
      </c>
      <c r="BJ1292" s="153" t="e">
        <f aca="false">_xlfn.xlookup(BG1292,A:A,N:N)+_xlfn.xlookup(BG1292,A:A,O:O)</f>
        <v>#NAME?</v>
      </c>
    </row>
    <row r="1293" s="153" customFormat="true" ht="15" hidden="false" customHeight="false" outlineLevel="0" collapsed="false">
      <c r="AN1293" s="153" t="e">
        <v>#NAME?</v>
      </c>
      <c r="AO1293" s="153" t="e">
        <f aca="false">_xlfn.xlookup(AN1293,A:A,F:F)</f>
        <v>#NAME?</v>
      </c>
      <c r="AP1293" s="153" t="e">
        <f aca="false">_xlfn.xlookup(AN1293,A:A,J:J)</f>
        <v>#NAME?</v>
      </c>
      <c r="AQ1293" s="153" t="e">
        <f aca="false">_xlfn.xlookup(AN1293,A:A,N:N)+_xlfn.xlookup(AN1293,A:A,O:O)</f>
        <v>#NAME?</v>
      </c>
      <c r="AR1293" s="150" t="e">
        <f aca="false">_xlfn.xlookup(AN1293,A:A,AH:AH)</f>
        <v>#NAME?</v>
      </c>
      <c r="AS1293" s="150" t="e">
        <f aca="false">_xlfn.xlookup(AN1293,A:A,S:S)</f>
        <v>#NAME?</v>
      </c>
      <c r="AT1293" s="150" t="e">
        <f aca="false">_xlfn.xlookup(AN1293,A:A,AE:AE)</f>
        <v>#NAME?</v>
      </c>
      <c r="AU1293" s="150" t="e">
        <f aca="false">_xlfn.xlookup(AN1293,A:A,AF:AF)</f>
        <v>#NAME?</v>
      </c>
      <c r="AX1293" s="146"/>
      <c r="AY1293" s="150"/>
      <c r="AZ1293" s="150"/>
      <c r="BA1293" s="150"/>
      <c r="BB1293" s="146"/>
      <c r="BC1293" s="146"/>
      <c r="BD1293" s="151"/>
      <c r="BE1293" s="146"/>
      <c r="BF1293" s="146"/>
      <c r="BH1293" s="152" t="e">
        <f aca="false">_xlfn.xlookup(BG1293,A:A,E:E)</f>
        <v>#NAME?</v>
      </c>
      <c r="BI1293" s="153" t="e">
        <f aca="false">_xlfn.xlookup(BG1293,A:A,J:J)</f>
        <v>#NAME?</v>
      </c>
      <c r="BJ1293" s="153" t="e">
        <f aca="false">_xlfn.xlookup(BG1293,A:A,N:N)+_xlfn.xlookup(BG1293,A:A,O:O)</f>
        <v>#NAME?</v>
      </c>
    </row>
    <row r="1294" s="153" customFormat="true" ht="15" hidden="false" customHeight="false" outlineLevel="0" collapsed="false">
      <c r="AN1294" s="153" t="e">
        <v>#NAME?</v>
      </c>
      <c r="AO1294" s="153" t="e">
        <f aca="false">_xlfn.xlookup(AN1294,A:A,F:F)</f>
        <v>#NAME?</v>
      </c>
      <c r="AP1294" s="153" t="e">
        <f aca="false">_xlfn.xlookup(AN1294,A:A,J:J)</f>
        <v>#NAME?</v>
      </c>
      <c r="AQ1294" s="153" t="e">
        <f aca="false">_xlfn.xlookup(AN1294,A:A,N:N)+_xlfn.xlookup(AN1294,A:A,O:O)</f>
        <v>#NAME?</v>
      </c>
      <c r="AR1294" s="150" t="e">
        <f aca="false">_xlfn.xlookup(AN1294,A:A,AH:AH)</f>
        <v>#NAME?</v>
      </c>
      <c r="AS1294" s="150" t="e">
        <f aca="false">_xlfn.xlookup(AN1294,A:A,S:S)</f>
        <v>#NAME?</v>
      </c>
      <c r="AT1294" s="150" t="e">
        <f aca="false">_xlfn.xlookup(AN1294,A:A,AE:AE)</f>
        <v>#NAME?</v>
      </c>
      <c r="AU1294" s="150" t="e">
        <f aca="false">_xlfn.xlookup(AN1294,A:A,AF:AF)</f>
        <v>#NAME?</v>
      </c>
      <c r="AX1294" s="146"/>
      <c r="AY1294" s="150"/>
      <c r="AZ1294" s="150"/>
      <c r="BA1294" s="150"/>
      <c r="BB1294" s="146"/>
      <c r="BC1294" s="146"/>
      <c r="BD1294" s="151"/>
      <c r="BE1294" s="146"/>
      <c r="BF1294" s="146"/>
      <c r="BH1294" s="152" t="e">
        <f aca="false">_xlfn.xlookup(BG1294,A:A,E:E)</f>
        <v>#NAME?</v>
      </c>
      <c r="BI1294" s="153" t="e">
        <f aca="false">_xlfn.xlookup(BG1294,A:A,J:J)</f>
        <v>#NAME?</v>
      </c>
      <c r="BJ1294" s="153" t="e">
        <f aca="false">_xlfn.xlookup(BG1294,A:A,N:N)+_xlfn.xlookup(BG1294,A:A,O:O)</f>
        <v>#NAME?</v>
      </c>
    </row>
    <row r="1295" s="153" customFormat="true" ht="15" hidden="false" customHeight="false" outlineLevel="0" collapsed="false">
      <c r="AN1295" s="153" t="e">
        <v>#NAME?</v>
      </c>
      <c r="AO1295" s="153" t="e">
        <f aca="false">_xlfn.xlookup(AN1295,A:A,F:F)</f>
        <v>#NAME?</v>
      </c>
      <c r="AP1295" s="153" t="e">
        <f aca="false">_xlfn.xlookup(AN1295,A:A,J:J)</f>
        <v>#NAME?</v>
      </c>
      <c r="AQ1295" s="153" t="e">
        <f aca="false">_xlfn.xlookup(AN1295,A:A,N:N)+_xlfn.xlookup(AN1295,A:A,O:O)</f>
        <v>#NAME?</v>
      </c>
      <c r="AR1295" s="150" t="e">
        <f aca="false">_xlfn.xlookup(AN1295,A:A,AH:AH)</f>
        <v>#NAME?</v>
      </c>
      <c r="AS1295" s="150" t="e">
        <f aca="false">_xlfn.xlookup(AN1295,A:A,S:S)</f>
        <v>#NAME?</v>
      </c>
      <c r="AT1295" s="150" t="e">
        <f aca="false">_xlfn.xlookup(AN1295,A:A,AE:AE)</f>
        <v>#NAME?</v>
      </c>
      <c r="AU1295" s="150" t="e">
        <f aca="false">_xlfn.xlookup(AN1295,A:A,AF:AF)</f>
        <v>#NAME?</v>
      </c>
      <c r="AX1295" s="146"/>
      <c r="AY1295" s="150"/>
      <c r="AZ1295" s="150"/>
      <c r="BA1295" s="150"/>
      <c r="BB1295" s="146"/>
      <c r="BC1295" s="146"/>
      <c r="BD1295" s="151"/>
      <c r="BE1295" s="146"/>
      <c r="BF1295" s="146"/>
      <c r="BH1295" s="152" t="e">
        <f aca="false">_xlfn.xlookup(BG1295,A:A,E:E)</f>
        <v>#NAME?</v>
      </c>
      <c r="BI1295" s="153" t="e">
        <f aca="false">_xlfn.xlookup(BG1295,A:A,J:J)</f>
        <v>#NAME?</v>
      </c>
      <c r="BJ1295" s="153" t="e">
        <f aca="false">_xlfn.xlookup(BG1295,A:A,N:N)+_xlfn.xlookup(BG1295,A:A,O:O)</f>
        <v>#NAME?</v>
      </c>
    </row>
    <row r="1296" s="153" customFormat="true" ht="15" hidden="false" customHeight="false" outlineLevel="0" collapsed="false">
      <c r="AN1296" s="153" t="e">
        <v>#NAME?</v>
      </c>
      <c r="AO1296" s="153" t="e">
        <f aca="false">_xlfn.xlookup(AN1296,A:A,F:F)</f>
        <v>#NAME?</v>
      </c>
      <c r="AP1296" s="153" t="e">
        <f aca="false">_xlfn.xlookup(AN1296,A:A,J:J)</f>
        <v>#NAME?</v>
      </c>
      <c r="AQ1296" s="153" t="e">
        <f aca="false">_xlfn.xlookup(AN1296,A:A,N:N)+_xlfn.xlookup(AN1296,A:A,O:O)</f>
        <v>#NAME?</v>
      </c>
      <c r="AR1296" s="150" t="e">
        <f aca="false">_xlfn.xlookup(AN1296,A:A,AH:AH)</f>
        <v>#NAME?</v>
      </c>
      <c r="AS1296" s="150" t="e">
        <f aca="false">_xlfn.xlookup(AN1296,A:A,S:S)</f>
        <v>#NAME?</v>
      </c>
      <c r="AT1296" s="150" t="e">
        <f aca="false">_xlfn.xlookup(AN1296,A:A,AE:AE)</f>
        <v>#NAME?</v>
      </c>
      <c r="AU1296" s="150" t="e">
        <f aca="false">_xlfn.xlookup(AN1296,A:A,AF:AF)</f>
        <v>#NAME?</v>
      </c>
      <c r="AX1296" s="146"/>
      <c r="AY1296" s="150"/>
      <c r="AZ1296" s="150"/>
      <c r="BA1296" s="150"/>
      <c r="BB1296" s="146"/>
      <c r="BC1296" s="146"/>
      <c r="BD1296" s="151"/>
      <c r="BE1296" s="146"/>
      <c r="BF1296" s="146"/>
      <c r="BH1296" s="152" t="e">
        <f aca="false">_xlfn.xlookup(BG1296,A:A,E:E)</f>
        <v>#NAME?</v>
      </c>
      <c r="BI1296" s="153" t="e">
        <f aca="false">_xlfn.xlookup(BG1296,A:A,J:J)</f>
        <v>#NAME?</v>
      </c>
      <c r="BJ1296" s="153" t="e">
        <f aca="false">_xlfn.xlookup(BG1296,A:A,N:N)+_xlfn.xlookup(BG1296,A:A,O:O)</f>
        <v>#NAME?</v>
      </c>
    </row>
    <row r="1297" s="153" customFormat="true" ht="15" hidden="false" customHeight="false" outlineLevel="0" collapsed="false">
      <c r="AN1297" s="153" t="e">
        <v>#NAME?</v>
      </c>
      <c r="AO1297" s="153" t="e">
        <f aca="false">_xlfn.xlookup(AN1297,A:A,F:F)</f>
        <v>#NAME?</v>
      </c>
      <c r="AP1297" s="153" t="e">
        <f aca="false">_xlfn.xlookup(AN1297,A:A,J:J)</f>
        <v>#NAME?</v>
      </c>
      <c r="AQ1297" s="153" t="e">
        <f aca="false">_xlfn.xlookup(AN1297,A:A,N:N)+_xlfn.xlookup(AN1297,A:A,O:O)</f>
        <v>#NAME?</v>
      </c>
      <c r="AR1297" s="150" t="e">
        <f aca="false">_xlfn.xlookup(AN1297,A:A,AH:AH)</f>
        <v>#NAME?</v>
      </c>
      <c r="AS1297" s="150" t="e">
        <f aca="false">_xlfn.xlookup(AN1297,A:A,S:S)</f>
        <v>#NAME?</v>
      </c>
      <c r="AT1297" s="150" t="e">
        <f aca="false">_xlfn.xlookup(AN1297,A:A,AE:AE)</f>
        <v>#NAME?</v>
      </c>
      <c r="AU1297" s="150" t="e">
        <f aca="false">_xlfn.xlookup(AN1297,A:A,AF:AF)</f>
        <v>#NAME?</v>
      </c>
      <c r="AX1297" s="146"/>
      <c r="AY1297" s="150"/>
      <c r="AZ1297" s="150"/>
      <c r="BA1297" s="150"/>
      <c r="BB1297" s="146"/>
      <c r="BC1297" s="146"/>
      <c r="BD1297" s="151"/>
      <c r="BE1297" s="146"/>
      <c r="BF1297" s="146"/>
      <c r="BH1297" s="152" t="e">
        <f aca="false">_xlfn.xlookup(BG1297,A:A,E:E)</f>
        <v>#NAME?</v>
      </c>
      <c r="BI1297" s="153" t="e">
        <f aca="false">_xlfn.xlookup(BG1297,A:A,J:J)</f>
        <v>#NAME?</v>
      </c>
      <c r="BJ1297" s="153" t="e">
        <f aca="false">_xlfn.xlookup(BG1297,A:A,N:N)+_xlfn.xlookup(BG1297,A:A,O:O)</f>
        <v>#NAME?</v>
      </c>
    </row>
    <row r="1298" s="153" customFormat="true" ht="15" hidden="false" customHeight="false" outlineLevel="0" collapsed="false">
      <c r="AN1298" s="153" t="e">
        <v>#NAME?</v>
      </c>
      <c r="AO1298" s="153" t="e">
        <f aca="false">_xlfn.xlookup(AN1298,A:A,F:F)</f>
        <v>#NAME?</v>
      </c>
      <c r="AP1298" s="153" t="e">
        <f aca="false">_xlfn.xlookup(AN1298,A:A,J:J)</f>
        <v>#NAME?</v>
      </c>
      <c r="AQ1298" s="153" t="e">
        <f aca="false">_xlfn.xlookup(AN1298,A:A,N:N)+_xlfn.xlookup(AN1298,A:A,O:O)</f>
        <v>#NAME?</v>
      </c>
      <c r="AR1298" s="150" t="e">
        <f aca="false">_xlfn.xlookup(AN1298,A:A,AH:AH)</f>
        <v>#NAME?</v>
      </c>
      <c r="AS1298" s="150" t="e">
        <f aca="false">_xlfn.xlookup(AN1298,A:A,S:S)</f>
        <v>#NAME?</v>
      </c>
      <c r="AT1298" s="150" t="e">
        <f aca="false">_xlfn.xlookup(AN1298,A:A,AE:AE)</f>
        <v>#NAME?</v>
      </c>
      <c r="AU1298" s="150" t="e">
        <f aca="false">_xlfn.xlookup(AN1298,A:A,AF:AF)</f>
        <v>#NAME?</v>
      </c>
      <c r="AX1298" s="146"/>
      <c r="AY1298" s="150"/>
      <c r="AZ1298" s="150"/>
      <c r="BA1298" s="150"/>
      <c r="BB1298" s="146"/>
      <c r="BC1298" s="146"/>
      <c r="BD1298" s="151"/>
      <c r="BE1298" s="146"/>
      <c r="BF1298" s="146"/>
      <c r="BH1298" s="152" t="e">
        <f aca="false">_xlfn.xlookup(BG1298,A:A,E:E)</f>
        <v>#NAME?</v>
      </c>
      <c r="BI1298" s="153" t="e">
        <f aca="false">_xlfn.xlookup(BG1298,A:A,J:J)</f>
        <v>#NAME?</v>
      </c>
      <c r="BJ1298" s="153" t="e">
        <f aca="false">_xlfn.xlookup(BG1298,A:A,N:N)+_xlfn.xlookup(BG1298,A:A,O:O)</f>
        <v>#NAME?</v>
      </c>
    </row>
    <row r="1299" s="153" customFormat="true" ht="15" hidden="false" customHeight="false" outlineLevel="0" collapsed="false">
      <c r="AN1299" s="153" t="e">
        <v>#NAME?</v>
      </c>
      <c r="AO1299" s="153" t="e">
        <f aca="false">_xlfn.xlookup(AN1299,A:A,F:F)</f>
        <v>#NAME?</v>
      </c>
      <c r="AP1299" s="153" t="e">
        <f aca="false">_xlfn.xlookup(AN1299,A:A,J:J)</f>
        <v>#NAME?</v>
      </c>
      <c r="AQ1299" s="153" t="e">
        <f aca="false">_xlfn.xlookup(AN1299,A:A,N:N)+_xlfn.xlookup(AN1299,A:A,O:O)</f>
        <v>#NAME?</v>
      </c>
      <c r="AR1299" s="150" t="e">
        <f aca="false">_xlfn.xlookup(AN1299,A:A,AH:AH)</f>
        <v>#NAME?</v>
      </c>
      <c r="AS1299" s="150" t="e">
        <f aca="false">_xlfn.xlookup(AN1299,A:A,S:S)</f>
        <v>#NAME?</v>
      </c>
      <c r="AT1299" s="150" t="e">
        <f aca="false">_xlfn.xlookup(AN1299,A:A,AE:AE)</f>
        <v>#NAME?</v>
      </c>
      <c r="AU1299" s="150" t="e">
        <f aca="false">_xlfn.xlookup(AN1299,A:A,AF:AF)</f>
        <v>#NAME?</v>
      </c>
      <c r="AX1299" s="146"/>
      <c r="AY1299" s="150"/>
      <c r="AZ1299" s="150"/>
      <c r="BA1299" s="150"/>
      <c r="BB1299" s="146"/>
      <c r="BC1299" s="146"/>
      <c r="BD1299" s="151"/>
      <c r="BE1299" s="146"/>
      <c r="BF1299" s="146"/>
      <c r="BH1299" s="152" t="e">
        <f aca="false">_xlfn.xlookup(BG1299,A:A,E:E)</f>
        <v>#NAME?</v>
      </c>
      <c r="BI1299" s="153" t="e">
        <f aca="false">_xlfn.xlookup(BG1299,A:A,J:J)</f>
        <v>#NAME?</v>
      </c>
      <c r="BJ1299" s="153" t="e">
        <f aca="false">_xlfn.xlookup(BG1299,A:A,N:N)+_xlfn.xlookup(BG1299,A:A,O:O)</f>
        <v>#NAME?</v>
      </c>
    </row>
    <row r="1300" s="153" customFormat="true" ht="15" hidden="false" customHeight="false" outlineLevel="0" collapsed="false">
      <c r="AN1300" s="153" t="e">
        <v>#NAME?</v>
      </c>
      <c r="AO1300" s="153" t="e">
        <f aca="false">_xlfn.xlookup(AN1300,A:A,F:F)</f>
        <v>#NAME?</v>
      </c>
      <c r="AP1300" s="153" t="e">
        <f aca="false">_xlfn.xlookup(AN1300,A:A,J:J)</f>
        <v>#NAME?</v>
      </c>
      <c r="AQ1300" s="153" t="e">
        <f aca="false">_xlfn.xlookup(AN1300,A:A,N:N)+_xlfn.xlookup(AN1300,A:A,O:O)</f>
        <v>#NAME?</v>
      </c>
      <c r="AR1300" s="150" t="e">
        <f aca="false">_xlfn.xlookup(AN1300,A:A,AH:AH)</f>
        <v>#NAME?</v>
      </c>
      <c r="AS1300" s="150" t="e">
        <f aca="false">_xlfn.xlookup(AN1300,A:A,S:S)</f>
        <v>#NAME?</v>
      </c>
      <c r="AT1300" s="150" t="e">
        <f aca="false">_xlfn.xlookup(AN1300,A:A,AE:AE)</f>
        <v>#NAME?</v>
      </c>
      <c r="AU1300" s="150" t="e">
        <f aca="false">_xlfn.xlookup(AN1300,A:A,AF:AF)</f>
        <v>#NAME?</v>
      </c>
      <c r="AX1300" s="146"/>
      <c r="AY1300" s="150"/>
      <c r="AZ1300" s="150"/>
      <c r="BA1300" s="150"/>
      <c r="BB1300" s="146"/>
      <c r="BC1300" s="146"/>
      <c r="BD1300" s="151"/>
      <c r="BE1300" s="146"/>
      <c r="BF1300" s="146"/>
      <c r="BH1300" s="152" t="e">
        <f aca="false">_xlfn.xlookup(BG1300,A:A,E:E)</f>
        <v>#NAME?</v>
      </c>
      <c r="BI1300" s="153" t="e">
        <f aca="false">_xlfn.xlookup(BG1300,A:A,J:J)</f>
        <v>#NAME?</v>
      </c>
      <c r="BJ1300" s="153" t="e">
        <f aca="false">_xlfn.xlookup(BG1300,A:A,N:N)+_xlfn.xlookup(BG1300,A:A,O:O)</f>
        <v>#NAME?</v>
      </c>
    </row>
    <row r="1301" s="153" customFormat="true" ht="15" hidden="false" customHeight="false" outlineLevel="0" collapsed="false">
      <c r="AN1301" s="153" t="e">
        <v>#NAME?</v>
      </c>
      <c r="AO1301" s="153" t="e">
        <f aca="false">_xlfn.xlookup(AN1301,A:A,F:F)</f>
        <v>#NAME?</v>
      </c>
      <c r="AP1301" s="153" t="e">
        <f aca="false">_xlfn.xlookup(AN1301,A:A,J:J)</f>
        <v>#NAME?</v>
      </c>
      <c r="AQ1301" s="153" t="e">
        <f aca="false">_xlfn.xlookup(AN1301,A:A,N:N)+_xlfn.xlookup(AN1301,A:A,O:O)</f>
        <v>#NAME?</v>
      </c>
      <c r="AR1301" s="150" t="e">
        <f aca="false">_xlfn.xlookup(AN1301,A:A,AH:AH)</f>
        <v>#NAME?</v>
      </c>
      <c r="AS1301" s="150" t="e">
        <f aca="false">_xlfn.xlookup(AN1301,A:A,S:S)</f>
        <v>#NAME?</v>
      </c>
      <c r="AT1301" s="150" t="e">
        <f aca="false">_xlfn.xlookup(AN1301,A:A,AE:AE)</f>
        <v>#NAME?</v>
      </c>
      <c r="AU1301" s="150" t="e">
        <f aca="false">_xlfn.xlookup(AN1301,A:A,AF:AF)</f>
        <v>#NAME?</v>
      </c>
      <c r="AX1301" s="146"/>
      <c r="AY1301" s="150"/>
      <c r="AZ1301" s="150"/>
      <c r="BA1301" s="150"/>
      <c r="BB1301" s="146"/>
      <c r="BC1301" s="146"/>
      <c r="BD1301" s="151"/>
      <c r="BE1301" s="146"/>
      <c r="BF1301" s="146"/>
      <c r="BH1301" s="152" t="e">
        <f aca="false">_xlfn.xlookup(BG1301,A:A,E:E)</f>
        <v>#NAME?</v>
      </c>
      <c r="BI1301" s="153" t="e">
        <f aca="false">_xlfn.xlookup(BG1301,A:A,J:J)</f>
        <v>#NAME?</v>
      </c>
      <c r="BJ1301" s="153" t="e">
        <f aca="false">_xlfn.xlookup(BG1301,A:A,N:N)+_xlfn.xlookup(BG1301,A:A,O:O)</f>
        <v>#NAME?</v>
      </c>
    </row>
    <row r="1302" s="153" customFormat="true" ht="15" hidden="false" customHeight="false" outlineLevel="0" collapsed="false">
      <c r="AN1302" s="153" t="e">
        <v>#NAME?</v>
      </c>
      <c r="AO1302" s="153" t="e">
        <f aca="false">_xlfn.xlookup(AN1302,A:A,F:F)</f>
        <v>#NAME?</v>
      </c>
      <c r="AP1302" s="153" t="e">
        <f aca="false">_xlfn.xlookup(AN1302,A:A,J:J)</f>
        <v>#NAME?</v>
      </c>
      <c r="AQ1302" s="153" t="e">
        <f aca="false">_xlfn.xlookup(AN1302,A:A,N:N)+_xlfn.xlookup(AN1302,A:A,O:O)</f>
        <v>#NAME?</v>
      </c>
      <c r="AR1302" s="150" t="e">
        <f aca="false">_xlfn.xlookup(AN1302,A:A,AH:AH)</f>
        <v>#NAME?</v>
      </c>
      <c r="AS1302" s="150" t="e">
        <f aca="false">_xlfn.xlookup(AN1302,A:A,S:S)</f>
        <v>#NAME?</v>
      </c>
      <c r="AT1302" s="150" t="e">
        <f aca="false">_xlfn.xlookup(AN1302,A:A,AE:AE)</f>
        <v>#NAME?</v>
      </c>
      <c r="AU1302" s="150" t="e">
        <f aca="false">_xlfn.xlookup(AN1302,A:A,AF:AF)</f>
        <v>#NAME?</v>
      </c>
      <c r="AX1302" s="146"/>
      <c r="AY1302" s="150"/>
      <c r="AZ1302" s="150"/>
      <c r="BA1302" s="150"/>
      <c r="BB1302" s="146"/>
      <c r="BC1302" s="146"/>
      <c r="BD1302" s="151"/>
      <c r="BE1302" s="146"/>
      <c r="BF1302" s="146"/>
      <c r="BH1302" s="152" t="e">
        <f aca="false">_xlfn.xlookup(BG1302,A:A,E:E)</f>
        <v>#NAME?</v>
      </c>
      <c r="BI1302" s="153" t="e">
        <f aca="false">_xlfn.xlookup(BG1302,A:A,J:J)</f>
        <v>#NAME?</v>
      </c>
      <c r="BJ1302" s="153" t="e">
        <f aca="false">_xlfn.xlookup(BG1302,A:A,N:N)+_xlfn.xlookup(BG1302,A:A,O:O)</f>
        <v>#NAME?</v>
      </c>
    </row>
    <row r="1303" s="153" customFormat="true" ht="15" hidden="false" customHeight="false" outlineLevel="0" collapsed="false">
      <c r="AN1303" s="153" t="e">
        <v>#NAME?</v>
      </c>
      <c r="AO1303" s="153" t="e">
        <f aca="false">_xlfn.xlookup(AN1303,A:A,F:F)</f>
        <v>#NAME?</v>
      </c>
      <c r="AP1303" s="153" t="e">
        <f aca="false">_xlfn.xlookup(AN1303,A:A,J:J)</f>
        <v>#NAME?</v>
      </c>
      <c r="AQ1303" s="153" t="e">
        <f aca="false">_xlfn.xlookup(AN1303,A:A,N:N)+_xlfn.xlookup(AN1303,A:A,O:O)</f>
        <v>#NAME?</v>
      </c>
      <c r="AR1303" s="150" t="e">
        <f aca="false">_xlfn.xlookup(AN1303,A:A,AH:AH)</f>
        <v>#NAME?</v>
      </c>
      <c r="AS1303" s="150" t="e">
        <f aca="false">_xlfn.xlookup(AN1303,A:A,S:S)</f>
        <v>#NAME?</v>
      </c>
      <c r="AT1303" s="150" t="e">
        <f aca="false">_xlfn.xlookup(AN1303,A:A,AE:AE)</f>
        <v>#NAME?</v>
      </c>
      <c r="AU1303" s="150" t="e">
        <f aca="false">_xlfn.xlookup(AN1303,A:A,AF:AF)</f>
        <v>#NAME?</v>
      </c>
      <c r="AX1303" s="146"/>
      <c r="AY1303" s="150"/>
      <c r="AZ1303" s="150"/>
      <c r="BA1303" s="150"/>
      <c r="BB1303" s="146"/>
      <c r="BC1303" s="146"/>
      <c r="BD1303" s="151"/>
      <c r="BE1303" s="146"/>
      <c r="BF1303" s="146"/>
      <c r="BH1303" s="152" t="e">
        <f aca="false">_xlfn.xlookup(BG1303,A:A,E:E)</f>
        <v>#NAME?</v>
      </c>
      <c r="BI1303" s="153" t="e">
        <f aca="false">_xlfn.xlookup(BG1303,A:A,J:J)</f>
        <v>#NAME?</v>
      </c>
      <c r="BJ1303" s="153" t="e">
        <f aca="false">_xlfn.xlookup(BG1303,A:A,N:N)+_xlfn.xlookup(BG1303,A:A,O:O)</f>
        <v>#NAME?</v>
      </c>
    </row>
    <row r="1304" s="153" customFormat="true" ht="15" hidden="false" customHeight="false" outlineLevel="0" collapsed="false">
      <c r="AN1304" s="153" t="e">
        <v>#NAME?</v>
      </c>
      <c r="AO1304" s="153" t="e">
        <f aca="false">_xlfn.xlookup(AN1304,A:A,F:F)</f>
        <v>#NAME?</v>
      </c>
      <c r="AP1304" s="153" t="e">
        <f aca="false">_xlfn.xlookup(AN1304,A:A,J:J)</f>
        <v>#NAME?</v>
      </c>
      <c r="AQ1304" s="153" t="e">
        <f aca="false">_xlfn.xlookup(AN1304,A:A,N:N)+_xlfn.xlookup(AN1304,A:A,O:O)</f>
        <v>#NAME?</v>
      </c>
      <c r="AR1304" s="150" t="e">
        <f aca="false">_xlfn.xlookup(AN1304,A:A,AH:AH)</f>
        <v>#NAME?</v>
      </c>
      <c r="AS1304" s="150" t="e">
        <f aca="false">_xlfn.xlookup(AN1304,A:A,S:S)</f>
        <v>#NAME?</v>
      </c>
      <c r="AT1304" s="150" t="e">
        <f aca="false">_xlfn.xlookup(AN1304,A:A,AE:AE)</f>
        <v>#NAME?</v>
      </c>
      <c r="AU1304" s="150" t="e">
        <f aca="false">_xlfn.xlookup(AN1304,A:A,AF:AF)</f>
        <v>#NAME?</v>
      </c>
      <c r="AX1304" s="146"/>
      <c r="AY1304" s="150"/>
      <c r="AZ1304" s="150"/>
      <c r="BA1304" s="150"/>
      <c r="BB1304" s="146"/>
      <c r="BC1304" s="146"/>
      <c r="BD1304" s="151"/>
      <c r="BE1304" s="146"/>
      <c r="BF1304" s="146"/>
      <c r="BH1304" s="152" t="e">
        <f aca="false">_xlfn.xlookup(BG1304,A:A,E:E)</f>
        <v>#NAME?</v>
      </c>
      <c r="BI1304" s="153" t="e">
        <f aca="false">_xlfn.xlookup(BG1304,A:A,J:J)</f>
        <v>#NAME?</v>
      </c>
      <c r="BJ1304" s="153" t="e">
        <f aca="false">_xlfn.xlookup(BG1304,A:A,N:N)+_xlfn.xlookup(BG1304,A:A,O:O)</f>
        <v>#NAME?</v>
      </c>
    </row>
    <row r="1305" s="153" customFormat="true" ht="15" hidden="false" customHeight="false" outlineLevel="0" collapsed="false">
      <c r="AN1305" s="153" t="e">
        <v>#NAME?</v>
      </c>
      <c r="AO1305" s="153" t="e">
        <f aca="false">_xlfn.xlookup(AN1305,A:A,F:F)</f>
        <v>#NAME?</v>
      </c>
      <c r="AP1305" s="153" t="e">
        <f aca="false">_xlfn.xlookup(AN1305,A:A,J:J)</f>
        <v>#NAME?</v>
      </c>
      <c r="AQ1305" s="153" t="e">
        <f aca="false">_xlfn.xlookup(AN1305,A:A,N:N)+_xlfn.xlookup(AN1305,A:A,O:O)</f>
        <v>#NAME?</v>
      </c>
      <c r="AR1305" s="150" t="e">
        <f aca="false">_xlfn.xlookup(AN1305,A:A,AH:AH)</f>
        <v>#NAME?</v>
      </c>
      <c r="AS1305" s="150" t="e">
        <f aca="false">_xlfn.xlookup(AN1305,A:A,S:S)</f>
        <v>#NAME?</v>
      </c>
      <c r="AT1305" s="150" t="e">
        <f aca="false">_xlfn.xlookup(AN1305,A:A,AE:AE)</f>
        <v>#NAME?</v>
      </c>
      <c r="AU1305" s="150" t="e">
        <f aca="false">_xlfn.xlookup(AN1305,A:A,AF:AF)</f>
        <v>#NAME?</v>
      </c>
      <c r="AX1305" s="146"/>
      <c r="AY1305" s="150"/>
      <c r="AZ1305" s="150"/>
      <c r="BA1305" s="150"/>
      <c r="BB1305" s="146"/>
      <c r="BC1305" s="146"/>
      <c r="BD1305" s="151"/>
      <c r="BE1305" s="146"/>
      <c r="BF1305" s="146"/>
      <c r="BH1305" s="152" t="e">
        <f aca="false">_xlfn.xlookup(BG1305,A:A,E:E)</f>
        <v>#NAME?</v>
      </c>
      <c r="BI1305" s="153" t="e">
        <f aca="false">_xlfn.xlookup(BG1305,A:A,J:J)</f>
        <v>#NAME?</v>
      </c>
      <c r="BJ1305" s="153" t="e">
        <f aca="false">_xlfn.xlookup(BG1305,A:A,N:N)+_xlfn.xlookup(BG1305,A:A,O:O)</f>
        <v>#NAME?</v>
      </c>
    </row>
    <row r="1306" s="153" customFormat="true" ht="15" hidden="false" customHeight="false" outlineLevel="0" collapsed="false">
      <c r="AN1306" s="153" t="e">
        <v>#NAME?</v>
      </c>
      <c r="AO1306" s="153" t="e">
        <f aca="false">_xlfn.xlookup(AN1306,A:A,F:F)</f>
        <v>#NAME?</v>
      </c>
      <c r="AP1306" s="153" t="e">
        <f aca="false">_xlfn.xlookup(AN1306,A:A,J:J)</f>
        <v>#NAME?</v>
      </c>
      <c r="AQ1306" s="153" t="e">
        <f aca="false">_xlfn.xlookup(AN1306,A:A,N:N)+_xlfn.xlookup(AN1306,A:A,O:O)</f>
        <v>#NAME?</v>
      </c>
      <c r="AR1306" s="150" t="e">
        <f aca="false">_xlfn.xlookup(AN1306,A:A,AH:AH)</f>
        <v>#NAME?</v>
      </c>
      <c r="AS1306" s="150" t="e">
        <f aca="false">_xlfn.xlookup(AN1306,A:A,S:S)</f>
        <v>#NAME?</v>
      </c>
      <c r="AT1306" s="150" t="e">
        <f aca="false">_xlfn.xlookup(AN1306,A:A,AE:AE)</f>
        <v>#NAME?</v>
      </c>
      <c r="AU1306" s="150" t="e">
        <f aca="false">_xlfn.xlookup(AN1306,A:A,AF:AF)</f>
        <v>#NAME?</v>
      </c>
      <c r="AX1306" s="146"/>
      <c r="AY1306" s="150"/>
      <c r="AZ1306" s="150"/>
      <c r="BA1306" s="150"/>
      <c r="BB1306" s="146"/>
      <c r="BC1306" s="146"/>
      <c r="BD1306" s="151"/>
      <c r="BE1306" s="146"/>
      <c r="BF1306" s="146"/>
      <c r="BH1306" s="152" t="e">
        <f aca="false">_xlfn.xlookup(BG1306,A:A,E:E)</f>
        <v>#NAME?</v>
      </c>
      <c r="BI1306" s="153" t="e">
        <f aca="false">_xlfn.xlookup(BG1306,A:A,J:J)</f>
        <v>#NAME?</v>
      </c>
      <c r="BJ1306" s="153" t="e">
        <f aca="false">_xlfn.xlookup(BG1306,A:A,N:N)+_xlfn.xlookup(BG1306,A:A,O:O)</f>
        <v>#NAME?</v>
      </c>
    </row>
    <row r="1307" s="153" customFormat="true" ht="15" hidden="false" customHeight="false" outlineLevel="0" collapsed="false">
      <c r="AN1307" s="153" t="e">
        <v>#NAME?</v>
      </c>
      <c r="AO1307" s="153" t="e">
        <f aca="false">_xlfn.xlookup(AN1307,A:A,F:F)</f>
        <v>#NAME?</v>
      </c>
      <c r="AP1307" s="153" t="e">
        <f aca="false">_xlfn.xlookup(AN1307,A:A,J:J)</f>
        <v>#NAME?</v>
      </c>
      <c r="AQ1307" s="153" t="e">
        <f aca="false">_xlfn.xlookup(AN1307,A:A,N:N)+_xlfn.xlookup(AN1307,A:A,O:O)</f>
        <v>#NAME?</v>
      </c>
      <c r="AR1307" s="150" t="e">
        <f aca="false">_xlfn.xlookup(AN1307,A:A,AH:AH)</f>
        <v>#NAME?</v>
      </c>
      <c r="AS1307" s="150" t="e">
        <f aca="false">_xlfn.xlookup(AN1307,A:A,S:S)</f>
        <v>#NAME?</v>
      </c>
      <c r="AT1307" s="150" t="e">
        <f aca="false">_xlfn.xlookup(AN1307,A:A,AE:AE)</f>
        <v>#NAME?</v>
      </c>
      <c r="AU1307" s="150" t="e">
        <f aca="false">_xlfn.xlookup(AN1307,A:A,AF:AF)</f>
        <v>#NAME?</v>
      </c>
      <c r="AX1307" s="146"/>
      <c r="AY1307" s="150"/>
      <c r="AZ1307" s="150"/>
      <c r="BA1307" s="150"/>
      <c r="BB1307" s="146"/>
      <c r="BC1307" s="146"/>
      <c r="BD1307" s="151"/>
      <c r="BE1307" s="146"/>
      <c r="BF1307" s="146"/>
      <c r="BH1307" s="152" t="e">
        <f aca="false">_xlfn.xlookup(BG1307,A:A,E:E)</f>
        <v>#NAME?</v>
      </c>
      <c r="BI1307" s="153" t="e">
        <f aca="false">_xlfn.xlookup(BG1307,A:A,J:J)</f>
        <v>#NAME?</v>
      </c>
      <c r="BJ1307" s="153" t="e">
        <f aca="false">_xlfn.xlookup(BG1307,A:A,N:N)+_xlfn.xlookup(BG1307,A:A,O:O)</f>
        <v>#NAME?</v>
      </c>
    </row>
    <row r="1308" s="153" customFormat="true" ht="15" hidden="false" customHeight="false" outlineLevel="0" collapsed="false">
      <c r="AN1308" s="153" t="e">
        <v>#NAME?</v>
      </c>
      <c r="AO1308" s="153" t="e">
        <f aca="false">_xlfn.xlookup(AN1308,A:A,F:F)</f>
        <v>#NAME?</v>
      </c>
      <c r="AP1308" s="153" t="e">
        <f aca="false">_xlfn.xlookup(AN1308,A:A,J:J)</f>
        <v>#NAME?</v>
      </c>
      <c r="AQ1308" s="153" t="e">
        <f aca="false">_xlfn.xlookup(AN1308,A:A,N:N)+_xlfn.xlookup(AN1308,A:A,O:O)</f>
        <v>#NAME?</v>
      </c>
      <c r="AR1308" s="150" t="e">
        <f aca="false">_xlfn.xlookup(AN1308,A:A,AH:AH)</f>
        <v>#NAME?</v>
      </c>
      <c r="AS1308" s="150" t="e">
        <f aca="false">_xlfn.xlookup(AN1308,A:A,S:S)</f>
        <v>#NAME?</v>
      </c>
      <c r="AT1308" s="150" t="e">
        <f aca="false">_xlfn.xlookup(AN1308,A:A,AE:AE)</f>
        <v>#NAME?</v>
      </c>
      <c r="AU1308" s="150" t="e">
        <f aca="false">_xlfn.xlookup(AN1308,A:A,AF:AF)</f>
        <v>#NAME?</v>
      </c>
      <c r="AX1308" s="146"/>
      <c r="AY1308" s="150"/>
      <c r="AZ1308" s="150"/>
      <c r="BA1308" s="150"/>
      <c r="BB1308" s="146"/>
      <c r="BC1308" s="146"/>
      <c r="BD1308" s="151"/>
      <c r="BE1308" s="146"/>
      <c r="BF1308" s="146"/>
      <c r="BH1308" s="152" t="e">
        <f aca="false">_xlfn.xlookup(BG1308,A:A,E:E)</f>
        <v>#NAME?</v>
      </c>
      <c r="BI1308" s="153" t="e">
        <f aca="false">_xlfn.xlookup(BG1308,A:A,J:J)</f>
        <v>#NAME?</v>
      </c>
      <c r="BJ1308" s="153" t="e">
        <f aca="false">_xlfn.xlookup(BG1308,A:A,N:N)+_xlfn.xlookup(BG1308,A:A,O:O)</f>
        <v>#NAME?</v>
      </c>
    </row>
    <row r="1309" s="153" customFormat="true" ht="15" hidden="false" customHeight="false" outlineLevel="0" collapsed="false">
      <c r="AN1309" s="153" t="e">
        <v>#NAME?</v>
      </c>
      <c r="AO1309" s="153" t="e">
        <f aca="false">_xlfn.xlookup(AN1309,A:A,F:F)</f>
        <v>#NAME?</v>
      </c>
      <c r="AP1309" s="153" t="e">
        <f aca="false">_xlfn.xlookup(AN1309,A:A,J:J)</f>
        <v>#NAME?</v>
      </c>
      <c r="AQ1309" s="153" t="e">
        <f aca="false">_xlfn.xlookup(AN1309,A:A,N:N)+_xlfn.xlookup(AN1309,A:A,O:O)</f>
        <v>#NAME?</v>
      </c>
      <c r="AR1309" s="150" t="e">
        <f aca="false">_xlfn.xlookup(AN1309,A:A,AH:AH)</f>
        <v>#NAME?</v>
      </c>
      <c r="AS1309" s="150" t="e">
        <f aca="false">_xlfn.xlookup(AN1309,A:A,S:S)</f>
        <v>#NAME?</v>
      </c>
      <c r="AT1309" s="150" t="e">
        <f aca="false">_xlfn.xlookup(AN1309,A:A,AE:AE)</f>
        <v>#NAME?</v>
      </c>
      <c r="AU1309" s="150" t="e">
        <f aca="false">_xlfn.xlookup(AN1309,A:A,AF:AF)</f>
        <v>#NAME?</v>
      </c>
      <c r="AX1309" s="146"/>
      <c r="AY1309" s="150"/>
      <c r="AZ1309" s="150"/>
      <c r="BA1309" s="150"/>
      <c r="BB1309" s="146"/>
      <c r="BC1309" s="146"/>
      <c r="BD1309" s="151"/>
      <c r="BE1309" s="146"/>
      <c r="BF1309" s="146"/>
      <c r="BH1309" s="152" t="e">
        <f aca="false">_xlfn.xlookup(BG1309,A:A,E:E)</f>
        <v>#NAME?</v>
      </c>
      <c r="BI1309" s="153" t="e">
        <f aca="false">_xlfn.xlookup(BG1309,A:A,J:J)</f>
        <v>#NAME?</v>
      </c>
      <c r="BJ1309" s="153" t="e">
        <f aca="false">_xlfn.xlookup(BG1309,A:A,N:N)+_xlfn.xlookup(BG1309,A:A,O:O)</f>
        <v>#NAME?</v>
      </c>
    </row>
    <row r="1310" s="153" customFormat="true" ht="15" hidden="false" customHeight="false" outlineLevel="0" collapsed="false">
      <c r="AN1310" s="153" t="e">
        <v>#NAME?</v>
      </c>
      <c r="AO1310" s="153" t="e">
        <f aca="false">_xlfn.xlookup(AN1310,A:A,F:F)</f>
        <v>#NAME?</v>
      </c>
      <c r="AP1310" s="153" t="e">
        <f aca="false">_xlfn.xlookup(AN1310,A:A,J:J)</f>
        <v>#NAME?</v>
      </c>
      <c r="AQ1310" s="153" t="e">
        <f aca="false">_xlfn.xlookup(AN1310,A:A,N:N)+_xlfn.xlookup(AN1310,A:A,O:O)</f>
        <v>#NAME?</v>
      </c>
      <c r="AR1310" s="150" t="e">
        <f aca="false">_xlfn.xlookup(AN1310,A:A,AH:AH)</f>
        <v>#NAME?</v>
      </c>
      <c r="AS1310" s="150" t="e">
        <f aca="false">_xlfn.xlookup(AN1310,A:A,S:S)</f>
        <v>#NAME?</v>
      </c>
      <c r="AT1310" s="150" t="e">
        <f aca="false">_xlfn.xlookup(AN1310,A:A,AE:AE)</f>
        <v>#NAME?</v>
      </c>
      <c r="AU1310" s="150" t="e">
        <f aca="false">_xlfn.xlookup(AN1310,A:A,AF:AF)</f>
        <v>#NAME?</v>
      </c>
      <c r="AX1310" s="146"/>
      <c r="AY1310" s="150"/>
      <c r="AZ1310" s="150"/>
      <c r="BA1310" s="150"/>
      <c r="BB1310" s="146"/>
      <c r="BC1310" s="146"/>
      <c r="BD1310" s="151"/>
      <c r="BE1310" s="146"/>
      <c r="BF1310" s="146"/>
      <c r="BH1310" s="152" t="e">
        <f aca="false">_xlfn.xlookup(BG1310,A:A,E:E)</f>
        <v>#NAME?</v>
      </c>
      <c r="BI1310" s="153" t="e">
        <f aca="false">_xlfn.xlookup(BG1310,A:A,J:J)</f>
        <v>#NAME?</v>
      </c>
      <c r="BJ1310" s="153" t="e">
        <f aca="false">_xlfn.xlookup(BG1310,A:A,N:N)+_xlfn.xlookup(BG1310,A:A,O:O)</f>
        <v>#NAME?</v>
      </c>
    </row>
  </sheetData>
  <autoFilter ref="A2:AL310"/>
  <conditionalFormatting sqref="B92:B310">
    <cfRule type="containsText" priority="2" operator="containsText" aboveAverage="0" equalAverage="0" bottom="0" percent="0" rank="0" text="Fermé" dxfId="21">
      <formula>NOT(ISERROR(SEARCH("Fermé",B92)))</formula>
    </cfRule>
    <cfRule type="containsText" priority="3" operator="containsText" aboveAverage="0" equalAverage="0" bottom="0" percent="0" rank="0" text="OUVERT" dxfId="22">
      <formula>NOT(ISERROR(SEARCH("OUVERT",B92)))</formula>
    </cfRule>
  </conditionalFormatting>
  <conditionalFormatting sqref="T54:T57">
    <cfRule type="expression" priority="4" aboveAverage="0" equalAverage="0" bottom="0" percent="0" rank="0" text="" dxfId="23">
      <formula>AD54="USD"</formula>
    </cfRule>
  </conditionalFormatting>
  <conditionalFormatting sqref="T58:T10000">
    <cfRule type="expression" priority="5" aboveAverage="0" equalAverage="0" bottom="0" percent="0" rank="0" text="" dxfId="24">
      <formula>AD58="USD"</formula>
    </cfRule>
  </conditionalFormatting>
  <conditionalFormatting sqref="X6:X310">
    <cfRule type="cellIs" priority="6" operator="greaterThan" aboveAverage="0" equalAverage="0" bottom="0" percent="0" rank="0" text="" dxfId="25">
      <formula>0.05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2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" activeCellId="0" sqref="D1"/>
    </sheetView>
  </sheetViews>
  <sheetFormatPr defaultColWidth="8.59765625" defaultRowHeight="15" zeroHeight="false" outlineLevelRow="0" outlineLevelCol="0"/>
  <cols>
    <col collapsed="false" customWidth="true" hidden="false" outlineLevel="0" max="1" min="1" style="0" width="4"/>
    <col collapsed="false" customWidth="true" hidden="false" outlineLevel="0" max="2" min="2" style="0" width="36"/>
    <col collapsed="false" customWidth="true" hidden="false" outlineLevel="0" max="3" min="3" style="0" width="22"/>
  </cols>
  <sheetData>
    <row r="1" customFormat="false" ht="15" hidden="false" customHeight="false" outlineLevel="0" collapsed="false">
      <c r="A1" s="72" t="s">
        <v>0</v>
      </c>
      <c r="B1" s="72" t="s">
        <v>1249</v>
      </c>
      <c r="C1" s="72" t="s">
        <v>1250</v>
      </c>
      <c r="D1" s="72" t="s">
        <v>1251</v>
      </c>
    </row>
    <row r="2" customFormat="false" ht="15" hidden="false" customHeight="false" outlineLevel="0" collapsed="false">
      <c r="A2" s="0" t="n">
        <f aca="false">[1]Clients!$A2</f>
        <v>300</v>
      </c>
      <c r="B2" s="0" t="str">
        <f aca="false">[1]Clients!$B2</f>
        <v>Digi America</v>
      </c>
      <c r="C2" s="0" t="str">
        <f aca="false">[1]Clients!$C2</f>
        <v>Digi</v>
      </c>
    </row>
    <row r="3" customFormat="false" ht="15" hidden="false" customHeight="false" outlineLevel="0" collapsed="false">
      <c r="A3" s="0" t="n">
        <f aca="false">[1]Clients!$A3</f>
        <v>301</v>
      </c>
      <c r="B3" s="0" t="str">
        <f aca="false">[1]Clients!$B3</f>
        <v>Lelys</v>
      </c>
      <c r="C3" s="0" t="str">
        <f aca="false">[1]Clients!$C3</f>
        <v>Lelys</v>
      </c>
    </row>
    <row r="4" customFormat="false" ht="15" hidden="false" customHeight="false" outlineLevel="0" collapsed="false">
      <c r="A4" s="0" t="n">
        <f aca="false">[1]Clients!$A4</f>
        <v>302</v>
      </c>
      <c r="B4" s="0" t="str">
        <f aca="false">[1]Clients!$B4</f>
        <v>Bizerba Labels Solution</v>
      </c>
      <c r="C4" s="0" t="str">
        <f aca="false">[1]Clients!$C4</f>
        <v>BLS</v>
      </c>
    </row>
    <row r="5" customFormat="false" ht="15" hidden="false" customHeight="false" outlineLevel="0" collapsed="false">
      <c r="A5" s="0" t="n">
        <f aca="false">[1]Clients!$A5</f>
        <v>303</v>
      </c>
      <c r="B5" s="0" t="str">
        <f aca="false">[1]Clients!$B5</f>
        <v>ALMEDIF S.A.R.L</v>
      </c>
      <c r="C5" s="0" t="str">
        <f aca="false">[1]Clients!$C5</f>
        <v>ALMEDIF</v>
      </c>
    </row>
    <row r="6" customFormat="false" ht="15" hidden="false" customHeight="false" outlineLevel="0" collapsed="false">
      <c r="A6" s="0" t="n">
        <f aca="false">[1]Clients!$A6</f>
        <v>304</v>
      </c>
      <c r="B6" s="0" t="str">
        <f aca="false">[1]Clients!$B6</f>
        <v>LABELINK</v>
      </c>
      <c r="C6" s="0" t="str">
        <f aca="false">[1]Clients!$C6</f>
        <v>Labelink</v>
      </c>
    </row>
    <row r="7" customFormat="false" ht="15" hidden="false" customHeight="false" outlineLevel="0" collapsed="false">
      <c r="A7" s="0" t="n">
        <f aca="false">[1]Clients!$A7</f>
        <v>305</v>
      </c>
      <c r="B7" s="0" t="str">
        <f aca="false">[1]Clients!$B7</f>
        <v>AKO Technology Anhui Limited</v>
      </c>
      <c r="C7" s="0" t="str">
        <f aca="false">[1]Clients!$C7</f>
        <v>AKO</v>
      </c>
    </row>
    <row r="8" customFormat="false" ht="15" hidden="false" customHeight="false" outlineLevel="0" collapsed="false">
      <c r="A8" s="0" t="n">
        <f aca="false">[1]Clients!$A8</f>
        <v>306</v>
      </c>
      <c r="B8" s="0" t="str">
        <f aca="false">[1]Clients!$B8</f>
        <v>Étiquettes Rive-Sud</v>
      </c>
      <c r="C8" s="0" t="str">
        <f aca="false">[1]Clients!$C8</f>
        <v>Étiquettes Rive-Sud</v>
      </c>
    </row>
    <row r="9" customFormat="false" ht="15" hidden="false" customHeight="false" outlineLevel="0" collapsed="false">
      <c r="A9" s="0" t="n">
        <f aca="false">[1]Clients!$A9</f>
        <v>307</v>
      </c>
      <c r="B9" s="0" t="str">
        <f aca="false">[1]Clients!$B9</f>
        <v>Groupe Produlith Inc.</v>
      </c>
      <c r="C9" s="0" t="str">
        <f aca="false">[1]Clients!$C9</f>
        <v>Produlith</v>
      </c>
    </row>
    <row r="10" customFormat="false" ht="15" hidden="false" customHeight="false" outlineLevel="0" collapsed="false">
      <c r="A10" s="0" t="n">
        <f aca="false">[1]Clients!$A10</f>
        <v>308</v>
      </c>
      <c r="B10" s="0" t="str">
        <f aca="false">[1]Clients!$B10</f>
        <v>Profecta</v>
      </c>
      <c r="C10" s="0" t="str">
        <f aca="false">[1]Clients!$C10</f>
        <v>Profecta</v>
      </c>
    </row>
    <row r="11" customFormat="false" ht="15" hidden="false" customHeight="false" outlineLevel="0" collapsed="false">
      <c r="A11" s="0" t="n">
        <f aca="false">[1]Clients!$A11</f>
        <v>309</v>
      </c>
      <c r="B11" s="0" t="str">
        <f aca="false">[1]Clients!$B11</f>
        <v>Imprimerie Ste-Julie</v>
      </c>
      <c r="C11" s="0" t="str">
        <f aca="false">[1]Clients!$C11</f>
        <v>IMPSJ</v>
      </c>
    </row>
    <row r="12" customFormat="false" ht="15" hidden="false" customHeight="false" outlineLevel="0" collapsed="false">
      <c r="A12" s="0" t="n">
        <f aca="false">[1]Clients!$A12</f>
        <v>310</v>
      </c>
      <c r="B12" s="0" t="str">
        <f aca="false">[1]Clients!$B12</f>
        <v>Étiquettes Luso-Flex</v>
      </c>
      <c r="C12" s="0" t="str">
        <f aca="false">[1]Clients!$C12</f>
        <v>Luso-Flex</v>
      </c>
    </row>
    <row r="13" customFormat="false" ht="15" hidden="false" customHeight="false" outlineLevel="0" collapsed="false">
      <c r="A13" s="0" t="n">
        <f aca="false">[1]Clients!$A13</f>
        <v>311</v>
      </c>
      <c r="B13" s="0" t="str">
        <f aca="false">[1]Clients!$B13</f>
        <v>Étiquettes Multi-Flex</v>
      </c>
      <c r="C13" s="0" t="str">
        <f aca="false">[1]Clients!$C13</f>
        <v>Multi-Flex</v>
      </c>
    </row>
    <row r="14" customFormat="false" ht="15" hidden="false" customHeight="false" outlineLevel="0" collapsed="false">
      <c r="A14" s="0" t="n">
        <f aca="false">[1]Clients!$A14</f>
        <v>312</v>
      </c>
      <c r="B14" s="0" t="str">
        <f aca="false">[1]Clients!$B14</f>
        <v>Visuascan</v>
      </c>
      <c r="C14" s="0" t="str">
        <f aca="false">[1]Clients!$C14</f>
        <v>Visuascan</v>
      </c>
    </row>
    <row r="15" customFormat="false" ht="15" hidden="false" customHeight="false" outlineLevel="0" collapsed="false">
      <c r="A15" s="0" t="n">
        <f aca="false">[1]Clients!$A15</f>
        <v>313</v>
      </c>
      <c r="B15" s="0" t="str">
        <f aca="false">[1]Clients!$B15</f>
        <v>Étiquettes Corsair</v>
      </c>
      <c r="C15" s="0" t="str">
        <f aca="false">[1]Clients!$C15</f>
        <v>Corsair</v>
      </c>
    </row>
    <row r="16" customFormat="false" ht="15" hidden="false" customHeight="false" outlineLevel="0" collapsed="false">
      <c r="A16" s="0" t="n">
        <f aca="false">[1]Clients!$A16</f>
        <v>314</v>
      </c>
      <c r="B16" s="0" t="str">
        <f aca="false">[1]Clients!$B16</f>
        <v>Alliance Étiquettes &amp; Emballages</v>
      </c>
      <c r="C16" s="0" t="str">
        <f aca="false">[1]Clients!$C16</f>
        <v>Alliance</v>
      </c>
    </row>
    <row r="17" customFormat="false" ht="15" hidden="false" customHeight="false" outlineLevel="0" collapsed="false">
      <c r="A17" s="0" t="n">
        <f aca="false">[1]Clients!$A17</f>
        <v>315</v>
      </c>
      <c r="B17" s="0" t="str">
        <f aca="false">[1]Clients!$B17</f>
        <v>Emballages Mijo</v>
      </c>
      <c r="C17" s="0" t="str">
        <f aca="false">[1]Clients!$C17</f>
        <v>Mijo</v>
      </c>
    </row>
    <row r="18" customFormat="false" ht="15" hidden="false" customHeight="false" outlineLevel="0" collapsed="false">
      <c r="A18" s="0" t="n">
        <f aca="false">[1]Clients!$A18</f>
        <v>316</v>
      </c>
      <c r="B18" s="0" t="str">
        <f aca="false">[1]Clients!$B18</f>
        <v>Étiquettes iFlex Inc.</v>
      </c>
      <c r="C18" s="0" t="str">
        <f aca="false">[1]Clients!$C18</f>
        <v>iFlex</v>
      </c>
    </row>
    <row r="19" customFormat="false" ht="15" hidden="false" customHeight="false" outlineLevel="0" collapsed="false">
      <c r="A19" s="0" t="n">
        <f aca="false">[1]Clients!$A19</f>
        <v>317</v>
      </c>
      <c r="B19" s="0" t="str">
        <f aca="false">[1]Clients!$B19</f>
        <v>LabelEdge</v>
      </c>
      <c r="C19" s="0" t="str">
        <f aca="false">[1]Clients!$C19</f>
        <v>LabelEdge</v>
      </c>
    </row>
    <row r="20" customFormat="false" ht="15" hidden="false" customHeight="false" outlineLevel="0" collapsed="false">
      <c r="A20" s="0" t="n">
        <f aca="false">[1]Clients!$A20</f>
        <v>318</v>
      </c>
      <c r="B20" s="0" t="str">
        <f aca="false">[1]Clients!$B20</f>
        <v>Deschamps Impression (livraison)</v>
      </c>
      <c r="C20" s="0" t="str">
        <f aca="false">[1]Clients!$C20</f>
        <v>Deschamps livr.</v>
      </c>
    </row>
    <row r="21" customFormat="false" ht="15" hidden="false" customHeight="false" outlineLevel="0" collapsed="false">
      <c r="A21" s="0" t="n">
        <f aca="false">[1]Clients!$A21</f>
        <v>319</v>
      </c>
      <c r="B21" s="0" t="str">
        <f aca="false">[1]Clients!$B21</f>
        <v>Deschamps Impression (facturation)</v>
      </c>
      <c r="C21" s="0" t="str">
        <f aca="false">[1]Clients!$C21</f>
        <v>Deschamps facturation</v>
      </c>
    </row>
    <row r="22" customFormat="false" ht="15" hidden="false" customHeight="false" outlineLevel="0" collapsed="false">
      <c r="A22" s="0" t="n">
        <f aca="false">[1]Clients!$A22</f>
        <v>320</v>
      </c>
      <c r="B22" s="0" t="str">
        <f aca="false">[1]Clients!$B22</f>
        <v>Amstik</v>
      </c>
      <c r="C22" s="0" t="str">
        <f aca="false">[1]Clients!$C22</f>
        <v>Amstik</v>
      </c>
    </row>
    <row r="23" customFormat="false" ht="15" hidden="false" customHeight="false" outlineLevel="0" collapsed="false">
      <c r="A23" s="0" t="n">
        <f aca="false">[1]Clients!$A23</f>
        <v>321</v>
      </c>
      <c r="B23" s="0" t="str">
        <f aca="false">[1]Clients!$B23</f>
        <v>MCC Label</v>
      </c>
      <c r="C23" s="0" t="str">
        <f aca="false">[1]Clients!$C23</f>
        <v>MCC Label</v>
      </c>
    </row>
    <row r="24" customFormat="false" ht="15" hidden="false" customHeight="false" outlineLevel="0" collapsed="false">
      <c r="A24" s="0" t="n">
        <f aca="false">[1]Clients!$A24</f>
        <v>322</v>
      </c>
      <c r="B24" s="0" t="str">
        <f aca="false">[1]Clients!$B24</f>
        <v>Étiquette Nationale (livraison)</v>
      </c>
      <c r="C24" s="0" t="str">
        <f aca="false">[1]Clients!$C24</f>
        <v>Nationale livraison</v>
      </c>
    </row>
    <row r="25" customFormat="false" ht="15" hidden="false" customHeight="false" outlineLevel="0" collapsed="false">
      <c r="A25" s="0" t="n">
        <f aca="false">[1]Clients!$A25</f>
        <v>323</v>
      </c>
      <c r="B25" s="0" t="str">
        <f aca="false">[1]Clients!$B25</f>
        <v>Damaflex (livraison)</v>
      </c>
      <c r="C25" s="0" t="str">
        <f aca="false">[1]Clients!$C25</f>
        <v>Damaflex livraison</v>
      </c>
    </row>
    <row r="26" customFormat="false" ht="15" hidden="false" customHeight="false" outlineLevel="0" collapsed="false">
      <c r="A26" s="0" t="n">
        <f aca="false">[1]Clients!$A26</f>
        <v>324</v>
      </c>
      <c r="B26" s="0" t="str">
        <f aca="false">[1]Clients!$B26</f>
        <v>Damaflex Imprimerie Multiservices Inc.</v>
      </c>
      <c r="C26" s="0" t="str">
        <f aca="false">[1]Clients!$C26</f>
        <v>Damaflex</v>
      </c>
    </row>
    <row r="27" customFormat="false" ht="15" hidden="false" customHeight="false" outlineLevel="0" collapsed="false">
      <c r="A27" s="0" t="n">
        <f aca="false">[1]Clients!$A27</f>
        <v>325</v>
      </c>
      <c r="B27" s="0" t="str">
        <f aca="false">[1]Clients!$B27</f>
        <v>Crucial Solutions LLC</v>
      </c>
      <c r="C27" s="0" t="str">
        <f aca="false">[1]Clients!$C27</f>
        <v>Crucial</v>
      </c>
    </row>
    <row r="28" customFormat="false" ht="15" hidden="false" customHeight="false" outlineLevel="0" collapsed="false">
      <c r="A28" s="0" t="n">
        <f aca="false">[1]Clients!$A28</f>
        <v>326</v>
      </c>
      <c r="B28" s="0" t="str">
        <f aca="false">[1]Clients!$B28</f>
        <v>IMS</v>
      </c>
      <c r="C28" s="0" t="str">
        <f aca="false">[1]Clients!$C28</f>
        <v>IMS</v>
      </c>
    </row>
    <row r="29" customFormat="false" ht="15" hidden="false" customHeight="false" outlineLevel="0" collapsed="false">
      <c r="A29" s="0" t="n">
        <f aca="false">[1]Clients!$A29</f>
        <v>327</v>
      </c>
      <c r="B29" s="0" t="str">
        <f aca="false">[1]Clients!$B29</f>
        <v>3G Print Group</v>
      </c>
      <c r="C29" s="0" t="str">
        <f aca="false">[1]Clients!$C29</f>
        <v>3G</v>
      </c>
    </row>
    <row r="30" customFormat="false" ht="15" hidden="false" customHeight="false" outlineLevel="0" collapsed="false">
      <c r="A30" s="0" t="n">
        <f aca="false">[1]Clients!$A30</f>
        <v>328</v>
      </c>
      <c r="B30" s="0" t="str">
        <f aca="false">[1]Clients!$B30</f>
        <v>Imprimerie Bas St-Laurent</v>
      </c>
      <c r="C30" s="0" t="str">
        <f aca="false">[1]Clients!$C30</f>
        <v>Bas St-Laurent</v>
      </c>
    </row>
    <row r="31" customFormat="false" ht="15" hidden="false" customHeight="false" outlineLevel="0" collapsed="false">
      <c r="A31" s="0" t="n">
        <f aca="false">[1]Clients!$A31</f>
        <v>329</v>
      </c>
      <c r="B31" s="0" t="str">
        <f aca="false">[1]Clients!$B31</f>
        <v>Gignac + Unik</v>
      </c>
      <c r="C31" s="0" t="str">
        <f aca="false">[1]Clients!$C31</f>
        <v>Unik</v>
      </c>
    </row>
    <row r="32" customFormat="false" ht="15" hidden="false" customHeight="false" outlineLevel="0" collapsed="false">
      <c r="A32" s="0" t="n">
        <f aca="false">[1]Clients!$A32</f>
        <v>330</v>
      </c>
      <c r="B32" s="0" t="str">
        <f aca="false">[1]Clients!$B32</f>
        <v>Interflex</v>
      </c>
      <c r="C32" s="0" t="str">
        <f aca="false">[1]Clients!$C32</f>
        <v>Interflex</v>
      </c>
    </row>
    <row r="33" customFormat="false" ht="15" hidden="false" customHeight="false" outlineLevel="0" collapsed="false">
      <c r="A33" s="0" t="n">
        <f aca="false">[1]Clients!$A33</f>
        <v>331</v>
      </c>
      <c r="B33" s="0" t="str">
        <f aca="false">[1]Clients!$B33</f>
        <v>REDEMAC</v>
      </c>
      <c r="C33" s="0" t="str">
        <f aca="false">[1]Clients!$C33</f>
        <v>REDEMAC</v>
      </c>
    </row>
    <row r="34" customFormat="false" ht="15" hidden="false" customHeight="false" outlineLevel="0" collapsed="false">
      <c r="A34" s="0" t="n">
        <f aca="false">[1]Clients!$A34</f>
        <v>332</v>
      </c>
      <c r="B34" s="0" t="str">
        <f aca="false">[1]Clients!$B34</f>
        <v>Alpha</v>
      </c>
      <c r="C34" s="0" t="str">
        <f aca="false">[1]Clients!$C34</f>
        <v>Alpha</v>
      </c>
    </row>
    <row r="35" customFormat="false" ht="15" hidden="false" customHeight="false" outlineLevel="0" collapsed="false">
      <c r="A35" s="0" t="n">
        <f aca="false">[1]Clients!$A35</f>
        <v>333</v>
      </c>
      <c r="B35" s="0" t="str">
        <f aca="false">[1]Clients!$B35</f>
        <v>Debug</v>
      </c>
      <c r="C35" s="0" t="str">
        <f aca="false">[1]Clients!$C35</f>
        <v>Debug</v>
      </c>
    </row>
    <row r="36" customFormat="false" ht="15" hidden="false" customHeight="false" outlineLevel="0" collapsed="false">
      <c r="A36" s="0" t="n">
        <f aca="false">[1]Clients!$A36</f>
        <v>334</v>
      </c>
      <c r="B36" s="0" t="str">
        <f aca="false">[1]Clients!$B36</f>
        <v>AKO</v>
      </c>
      <c r="C36" s="0" t="str">
        <f aca="false">[1]Clients!$C36</f>
        <v>AKO étiquettes</v>
      </c>
    </row>
    <row r="37" customFormat="false" ht="15" hidden="false" customHeight="false" outlineLevel="0" collapsed="false">
      <c r="A37" s="0" t="n">
        <f aca="false">[1]Clients!$A37</f>
        <v>335</v>
      </c>
      <c r="B37" s="0" t="str">
        <f aca="false">[1]Clients!$B37</f>
        <v>Imprimerie Sélect</v>
      </c>
      <c r="C37" s="0" t="str">
        <f aca="false">[1]Clients!$C37</f>
        <v>Select</v>
      </c>
    </row>
    <row r="38" customFormat="false" ht="15" hidden="false" customHeight="false" outlineLevel="0" collapsed="false">
      <c r="A38" s="0" t="n">
        <f aca="false">[1]Clients!$A38</f>
        <v>336</v>
      </c>
      <c r="B38" s="0" t="str">
        <f aca="false">[1]Clients!$B38</f>
        <v>Labelink Flexibles Inc</v>
      </c>
      <c r="C38" s="0" t="str">
        <f aca="false">[1]Clients!$C38</f>
        <v>Labelink Guelph</v>
      </c>
    </row>
    <row r="39" customFormat="false" ht="15" hidden="false" customHeight="false" outlineLevel="0" collapsed="false">
      <c r="A39" s="0" t="n">
        <f aca="false">[1]Clients!$A39</f>
        <v>337</v>
      </c>
      <c r="B39" s="0" t="str">
        <f aca="false">[1]Clients!$B39</f>
        <v>Étiquette Nationale</v>
      </c>
      <c r="C39" s="0" t="str">
        <f aca="false">[1]Clients!$C39</f>
        <v>Nationale admin</v>
      </c>
    </row>
    <row r="40" customFormat="false" ht="15" hidden="false" customHeight="false" outlineLevel="0" collapsed="false">
      <c r="A40" s="0" t="n">
        <f aca="false">[1]Clients!$A40</f>
        <v>338</v>
      </c>
      <c r="B40" s="0" t="str">
        <f aca="false">[1]Clients!$B40</f>
        <v>SoluCan</v>
      </c>
      <c r="C40" s="0" t="str">
        <f aca="false">[1]Clients!$C40</f>
        <v>SoluCan</v>
      </c>
    </row>
    <row r="41" customFormat="false" ht="15" hidden="false" customHeight="false" outlineLevel="0" collapsed="false">
      <c r="A41" s="0" t="n">
        <f aca="false">[1]Clients!$A41</f>
        <v>339</v>
      </c>
      <c r="B41" s="0" t="str">
        <f aca="false">[1]Clients!$B41</f>
        <v>Impression SYL</v>
      </c>
      <c r="C41" s="0" t="str">
        <f aca="false">[1]Clients!$C41</f>
        <v>SYL</v>
      </c>
    </row>
    <row r="42" customFormat="false" ht="15" hidden="false" customHeight="false" outlineLevel="0" collapsed="false">
      <c r="A42" s="0" t="n">
        <f aca="false">[1]Clients!$A42</f>
        <v>340</v>
      </c>
      <c r="B42" s="0" t="str">
        <f aca="false">[1]Clients!$B42</f>
        <v>Labelink Granby</v>
      </c>
      <c r="C42" s="0" t="str">
        <f aca="false">[1]Clients!$C42</f>
        <v>Labelink Granby</v>
      </c>
    </row>
    <row r="43" customFormat="false" ht="15" hidden="false" customHeight="false" outlineLevel="0" collapsed="false">
      <c r="A43" s="0" t="n">
        <f aca="false">[1]Clients!$A43</f>
        <v>341</v>
      </c>
      <c r="B43" s="0" t="str">
        <f aca="false">[1]Clients!$B43</f>
        <v>Labelink Mississauga</v>
      </c>
      <c r="C43" s="0" t="str">
        <f aca="false">[1]Clients!$C43</f>
        <v>Labelink Mississauga</v>
      </c>
    </row>
    <row r="44" customFormat="false" ht="15" hidden="false" customHeight="false" outlineLevel="0" collapsed="false">
      <c r="A44" s="0" t="n">
        <f aca="false">[1]Clients!$A44</f>
        <v>342</v>
      </c>
      <c r="B44" s="0" t="str">
        <f aca="false">[1]Clients!$B44</f>
        <v>Labelink Products</v>
      </c>
      <c r="C44" s="0" t="str">
        <f aca="false">[1]Clients!$C44</f>
        <v>Labelink Mtrl</v>
      </c>
    </row>
    <row r="45" customFormat="false" ht="15" hidden="false" customHeight="false" outlineLevel="0" collapsed="false">
      <c r="A45" s="0" t="n">
        <f aca="false">[1]Clients!$A45</f>
        <v>343</v>
      </c>
      <c r="B45" s="0" t="str">
        <f aca="false">[1]Clients!$B45</f>
        <v>Labelink Toronto</v>
      </c>
      <c r="C45" s="0" t="str">
        <f aca="false">[1]Clients!$C45</f>
        <v>Labelink Toronto</v>
      </c>
    </row>
    <row r="46" customFormat="false" ht="15" hidden="false" customHeight="false" outlineLevel="0" collapsed="false">
      <c r="A46" s="0" t="n">
        <f aca="false">[1]Clients!$A46</f>
        <v>344</v>
      </c>
      <c r="B46" s="0" t="str">
        <f aca="false">[1]Clients!$B46</f>
        <v>Inter Label Systems</v>
      </c>
      <c r="C46" s="0" t="str">
        <f aca="false">[1]Clients!$C46</f>
        <v>Inter Label</v>
      </c>
    </row>
    <row r="47" customFormat="false" ht="15" hidden="false" customHeight="false" outlineLevel="0" collapsed="false">
      <c r="A47" s="0" t="n">
        <f aca="false">[1]Clients!$A47</f>
        <v>344</v>
      </c>
      <c r="B47" s="0" t="str">
        <f aca="false">[1]Clients!$B47</f>
        <v>Étiquesse</v>
      </c>
      <c r="C47" s="0" t="str">
        <f aca="false">[1]Clients!$C47</f>
        <v>Étiquesse</v>
      </c>
    </row>
    <row r="48" customFormat="false" ht="15" hidden="false" customHeight="false" outlineLevel="0" collapsed="false">
      <c r="A48" s="0" t="n">
        <f aca="false">[1]Clients!$A48</f>
        <v>0</v>
      </c>
      <c r="B48" s="0" t="n">
        <f aca="false">[1]Clients!$B48</f>
        <v>0</v>
      </c>
      <c r="C48" s="0" t="n">
        <f aca="false">[1]Clients!$C48</f>
        <v>0</v>
      </c>
    </row>
    <row r="49" customFormat="false" ht="15" hidden="false" customHeight="false" outlineLevel="0" collapsed="false">
      <c r="A49" s="0" t="n">
        <f aca="false">[1]Clients!$A49</f>
        <v>0</v>
      </c>
      <c r="B49" s="0" t="n">
        <f aca="false">[1]Clients!$B49</f>
        <v>0</v>
      </c>
      <c r="C49" s="0" t="n">
        <f aca="false">[1]Clients!$C49</f>
        <v>0</v>
      </c>
    </row>
    <row r="50" customFormat="false" ht="15" hidden="false" customHeight="false" outlineLevel="0" collapsed="false">
      <c r="A50" s="0" t="n">
        <f aca="false">[1]Clients!$A50</f>
        <v>0</v>
      </c>
      <c r="B50" s="0" t="n">
        <f aca="false">[1]Clients!$B50</f>
        <v>0</v>
      </c>
      <c r="C50" s="0" t="n">
        <f aca="false">[1]Clients!$C50</f>
        <v>0</v>
      </c>
    </row>
    <row r="51" customFormat="false" ht="15" hidden="false" customHeight="false" outlineLevel="0" collapsed="false">
      <c r="A51" s="0" t="n">
        <f aca="false">[1]Clients!$A51</f>
        <v>0</v>
      </c>
      <c r="B51" s="0" t="n">
        <f aca="false">[1]Clients!$B51</f>
        <v>0</v>
      </c>
      <c r="C51" s="0" t="n">
        <f aca="false">[1]Clients!$C51</f>
        <v>0</v>
      </c>
    </row>
    <row r="52" customFormat="false" ht="15" hidden="false" customHeight="false" outlineLevel="0" collapsed="false">
      <c r="A52" s="0" t="n">
        <f aca="false">[1]Clients!$A52</f>
        <v>0</v>
      </c>
      <c r="B52" s="0" t="n">
        <f aca="false">[1]Clients!$B52</f>
        <v>0</v>
      </c>
      <c r="C52" s="0" t="n">
        <f aca="false">[1]Clients!$C52</f>
        <v>0</v>
      </c>
    </row>
    <row r="53" customFormat="false" ht="15" hidden="false" customHeight="false" outlineLevel="0" collapsed="false">
      <c r="A53" s="0" t="n">
        <f aca="false">[1]Clients!$A53</f>
        <v>0</v>
      </c>
      <c r="B53" s="0" t="n">
        <f aca="false">[1]Clients!$B53</f>
        <v>0</v>
      </c>
      <c r="C53" s="0" t="n">
        <f aca="false">[1]Clients!$C53</f>
        <v>0</v>
      </c>
    </row>
    <row r="54" customFormat="false" ht="15" hidden="false" customHeight="false" outlineLevel="0" collapsed="false">
      <c r="A54" s="0" t="n">
        <f aca="false">[1]Clients!$A54</f>
        <v>0</v>
      </c>
      <c r="B54" s="0" t="n">
        <f aca="false">[1]Clients!$B54</f>
        <v>0</v>
      </c>
      <c r="C54" s="0" t="n">
        <f aca="false">[1]Clients!$C54</f>
        <v>0</v>
      </c>
    </row>
    <row r="55" customFormat="false" ht="15" hidden="false" customHeight="false" outlineLevel="0" collapsed="false">
      <c r="A55" s="0" t="n">
        <f aca="false">[1]Clients!$A55</f>
        <v>0</v>
      </c>
      <c r="B55" s="0" t="n">
        <f aca="false">[1]Clients!$B55</f>
        <v>0</v>
      </c>
      <c r="C55" s="0" t="n">
        <f aca="false">[1]Clients!$C55</f>
        <v>0</v>
      </c>
    </row>
    <row r="56" customFormat="false" ht="15" hidden="false" customHeight="false" outlineLevel="0" collapsed="false">
      <c r="A56" s="0" t="n">
        <f aca="false">[1]Clients!$A56</f>
        <v>0</v>
      </c>
      <c r="B56" s="0" t="n">
        <f aca="false">[1]Clients!$B56</f>
        <v>0</v>
      </c>
      <c r="C56" s="0" t="n">
        <f aca="false">[1]Clients!$C56</f>
        <v>0</v>
      </c>
    </row>
    <row r="57" customFormat="false" ht="15" hidden="false" customHeight="false" outlineLevel="0" collapsed="false">
      <c r="A57" s="0" t="n">
        <f aca="false">[1]Clients!$A57</f>
        <v>0</v>
      </c>
      <c r="B57" s="0" t="n">
        <f aca="false">[1]Clients!$B57</f>
        <v>0</v>
      </c>
      <c r="C57" s="0" t="n">
        <f aca="false">[1]Clients!$C57</f>
        <v>0</v>
      </c>
    </row>
    <row r="58" customFormat="false" ht="15" hidden="false" customHeight="false" outlineLevel="0" collapsed="false">
      <c r="A58" s="0" t="n">
        <f aca="false">[1]Clients!$A58</f>
        <v>0</v>
      </c>
      <c r="B58" s="0" t="n">
        <f aca="false">[1]Clients!$B58</f>
        <v>0</v>
      </c>
      <c r="C58" s="0" t="n">
        <f aca="false">[1]Clients!$C58</f>
        <v>0</v>
      </c>
    </row>
    <row r="59" customFormat="false" ht="15" hidden="false" customHeight="false" outlineLevel="0" collapsed="false">
      <c r="A59" s="0" t="n">
        <f aca="false">[1]Clients!$A59</f>
        <v>0</v>
      </c>
      <c r="B59" s="0" t="n">
        <f aca="false">[1]Clients!$B59</f>
        <v>0</v>
      </c>
      <c r="C59" s="0" t="n">
        <f aca="false">[1]Clients!$C59</f>
        <v>0</v>
      </c>
    </row>
    <row r="60" customFormat="false" ht="15" hidden="false" customHeight="false" outlineLevel="0" collapsed="false">
      <c r="A60" s="0" t="n">
        <f aca="false">[1]Clients!$A60</f>
        <v>0</v>
      </c>
      <c r="B60" s="0" t="n">
        <f aca="false">[1]Clients!$B60</f>
        <v>0</v>
      </c>
      <c r="C60" s="0" t="n">
        <f aca="false">[1]Clients!$C60</f>
        <v>0</v>
      </c>
    </row>
    <row r="61" customFormat="false" ht="15" hidden="false" customHeight="false" outlineLevel="0" collapsed="false">
      <c r="A61" s="0" t="n">
        <f aca="false">[1]Clients!$A61</f>
        <v>0</v>
      </c>
      <c r="B61" s="0" t="n">
        <f aca="false">[1]Clients!$B61</f>
        <v>0</v>
      </c>
      <c r="C61" s="0" t="n">
        <f aca="false">[1]Clients!$C61</f>
        <v>0</v>
      </c>
    </row>
    <row r="62" customFormat="false" ht="15" hidden="false" customHeight="false" outlineLevel="0" collapsed="false">
      <c r="A62" s="0" t="n">
        <f aca="false">[1]Clients!$A62</f>
        <v>0</v>
      </c>
      <c r="B62" s="0" t="n">
        <f aca="false">[1]Clients!$B62</f>
        <v>0</v>
      </c>
      <c r="C62" s="0" t="n">
        <f aca="false">[1]Clients!$C62</f>
        <v>0</v>
      </c>
    </row>
    <row r="63" customFormat="false" ht="15" hidden="false" customHeight="false" outlineLevel="0" collapsed="false">
      <c r="A63" s="0" t="n">
        <f aca="false">[1]Clients!$A63</f>
        <v>0</v>
      </c>
      <c r="B63" s="0" t="n">
        <f aca="false">[1]Clients!$B63</f>
        <v>0</v>
      </c>
      <c r="C63" s="0" t="n">
        <f aca="false">[1]Clients!$C63</f>
        <v>0</v>
      </c>
    </row>
    <row r="64" customFormat="false" ht="15" hidden="false" customHeight="false" outlineLevel="0" collapsed="false">
      <c r="A64" s="0" t="n">
        <f aca="false">[1]Clients!$A64</f>
        <v>0</v>
      </c>
      <c r="B64" s="0" t="n">
        <f aca="false">[1]Clients!$B64</f>
        <v>0</v>
      </c>
      <c r="C64" s="0" t="n">
        <f aca="false">[1]Clients!$C64</f>
        <v>0</v>
      </c>
    </row>
    <row r="65" customFormat="false" ht="15" hidden="false" customHeight="false" outlineLevel="0" collapsed="false">
      <c r="A65" s="0" t="n">
        <f aca="false">[1]Clients!$A65</f>
        <v>0</v>
      </c>
      <c r="B65" s="0" t="n">
        <f aca="false">[1]Clients!$B65</f>
        <v>0</v>
      </c>
      <c r="C65" s="0" t="n">
        <f aca="false">[1]Clients!$C65</f>
        <v>0</v>
      </c>
    </row>
    <row r="66" customFormat="false" ht="15" hidden="false" customHeight="false" outlineLevel="0" collapsed="false">
      <c r="A66" s="0" t="n">
        <f aca="false">[1]Clients!$A66</f>
        <v>0</v>
      </c>
      <c r="B66" s="0" t="n">
        <f aca="false">[1]Clients!$B66</f>
        <v>0</v>
      </c>
      <c r="C66" s="0" t="n">
        <f aca="false">[1]Clients!$C66</f>
        <v>0</v>
      </c>
    </row>
    <row r="67" customFormat="false" ht="15" hidden="false" customHeight="false" outlineLevel="0" collapsed="false">
      <c r="A67" s="0" t="n">
        <f aca="false">[1]Clients!$A67</f>
        <v>0</v>
      </c>
      <c r="B67" s="0" t="n">
        <f aca="false">[1]Clients!$B67</f>
        <v>0</v>
      </c>
      <c r="C67" s="0" t="n">
        <f aca="false">[1]Clients!$C67</f>
        <v>0</v>
      </c>
    </row>
    <row r="68" customFormat="false" ht="15" hidden="false" customHeight="false" outlineLevel="0" collapsed="false">
      <c r="A68" s="0" t="n">
        <f aca="false">[1]Clients!$A68</f>
        <v>0</v>
      </c>
      <c r="B68" s="0" t="n">
        <f aca="false">[1]Clients!$B68</f>
        <v>0</v>
      </c>
      <c r="C68" s="0" t="n">
        <f aca="false">[1]Clients!$C68</f>
        <v>0</v>
      </c>
    </row>
    <row r="69" customFormat="false" ht="15" hidden="false" customHeight="false" outlineLevel="0" collapsed="false">
      <c r="A69" s="0" t="n">
        <f aca="false">[1]Clients!$A69</f>
        <v>0</v>
      </c>
      <c r="B69" s="0" t="n">
        <f aca="false">[1]Clients!$B69</f>
        <v>0</v>
      </c>
      <c r="C69" s="0" t="n">
        <f aca="false">[1]Clients!$C69</f>
        <v>0</v>
      </c>
    </row>
    <row r="70" customFormat="false" ht="15" hidden="false" customHeight="false" outlineLevel="0" collapsed="false">
      <c r="A70" s="0" t="n">
        <f aca="false">[1]Clients!$A70</f>
        <v>0</v>
      </c>
      <c r="B70" s="0" t="n">
        <f aca="false">[1]Clients!$B70</f>
        <v>0</v>
      </c>
      <c r="C70" s="0" t="n">
        <f aca="false">[1]Clients!$C70</f>
        <v>0</v>
      </c>
    </row>
    <row r="71" customFormat="false" ht="15" hidden="false" customHeight="false" outlineLevel="0" collapsed="false">
      <c r="A71" s="0" t="n">
        <f aca="false">[1]Clients!$A71</f>
        <v>0</v>
      </c>
      <c r="B71" s="0" t="n">
        <f aca="false">[1]Clients!$B71</f>
        <v>0</v>
      </c>
      <c r="C71" s="0" t="n">
        <f aca="false">[1]Clients!$C71</f>
        <v>0</v>
      </c>
    </row>
    <row r="72" customFormat="false" ht="15" hidden="false" customHeight="false" outlineLevel="0" collapsed="false">
      <c r="A72" s="0" t="n">
        <f aca="false">[1]Clients!$A72</f>
        <v>0</v>
      </c>
      <c r="B72" s="0" t="n">
        <f aca="false">[1]Clients!$B72</f>
        <v>0</v>
      </c>
      <c r="C72" s="0" t="n">
        <f aca="false">[1]Clients!$C72</f>
        <v>0</v>
      </c>
    </row>
    <row r="73" customFormat="false" ht="15" hidden="false" customHeight="false" outlineLevel="0" collapsed="false">
      <c r="A73" s="0" t="n">
        <f aca="false">[1]Clients!$A73</f>
        <v>0</v>
      </c>
      <c r="B73" s="0" t="n">
        <f aca="false">[1]Clients!$B73</f>
        <v>0</v>
      </c>
      <c r="C73" s="0" t="n">
        <f aca="false">[1]Clients!$C73</f>
        <v>0</v>
      </c>
    </row>
    <row r="74" customFormat="false" ht="15" hidden="false" customHeight="false" outlineLevel="0" collapsed="false">
      <c r="A74" s="0" t="n">
        <f aca="false">[1]Clients!$A74</f>
        <v>0</v>
      </c>
      <c r="B74" s="0" t="n">
        <f aca="false">[1]Clients!$B74</f>
        <v>0</v>
      </c>
      <c r="C74" s="0" t="n">
        <f aca="false">[1]Clients!$C74</f>
        <v>0</v>
      </c>
    </row>
    <row r="75" customFormat="false" ht="15" hidden="false" customHeight="false" outlineLevel="0" collapsed="false">
      <c r="A75" s="0" t="n">
        <f aca="false">[1]Clients!$A75</f>
        <v>0</v>
      </c>
      <c r="B75" s="0" t="n">
        <f aca="false">[1]Clients!$B75</f>
        <v>0</v>
      </c>
      <c r="C75" s="0" t="n">
        <f aca="false">[1]Clients!$C75</f>
        <v>0</v>
      </c>
    </row>
    <row r="76" customFormat="false" ht="15" hidden="false" customHeight="false" outlineLevel="0" collapsed="false">
      <c r="A76" s="0" t="n">
        <f aca="false">[1]Clients!$A76</f>
        <v>0</v>
      </c>
      <c r="B76" s="0" t="n">
        <f aca="false">[1]Clients!$B76</f>
        <v>0</v>
      </c>
      <c r="C76" s="0" t="n">
        <f aca="false">[1]Clients!$C76</f>
        <v>0</v>
      </c>
    </row>
    <row r="77" customFormat="false" ht="15" hidden="false" customHeight="false" outlineLevel="0" collapsed="false">
      <c r="A77" s="0" t="n">
        <f aca="false">[1]Clients!$A77</f>
        <v>0</v>
      </c>
      <c r="B77" s="0" t="n">
        <f aca="false">[1]Clients!$B77</f>
        <v>0</v>
      </c>
      <c r="C77" s="0" t="n">
        <f aca="false">[1]Clients!$C77</f>
        <v>0</v>
      </c>
    </row>
    <row r="78" customFormat="false" ht="15" hidden="false" customHeight="false" outlineLevel="0" collapsed="false">
      <c r="A78" s="0" t="n">
        <f aca="false">[1]Clients!$A78</f>
        <v>0</v>
      </c>
      <c r="B78" s="0" t="n">
        <f aca="false">[1]Clients!$B78</f>
        <v>0</v>
      </c>
      <c r="C78" s="0" t="n">
        <f aca="false">[1]Clients!$C78</f>
        <v>0</v>
      </c>
    </row>
    <row r="79" customFormat="false" ht="15" hidden="false" customHeight="false" outlineLevel="0" collapsed="false">
      <c r="A79" s="0" t="n">
        <f aca="false">[1]Clients!$A79</f>
        <v>0</v>
      </c>
      <c r="B79" s="0" t="n">
        <f aca="false">[1]Clients!$B79</f>
        <v>0</v>
      </c>
      <c r="C79" s="0" t="n">
        <f aca="false">[1]Clients!$C79</f>
        <v>0</v>
      </c>
    </row>
    <row r="80" customFormat="false" ht="15" hidden="false" customHeight="false" outlineLevel="0" collapsed="false">
      <c r="A80" s="0" t="n">
        <f aca="false">[1]Clients!$A80</f>
        <v>0</v>
      </c>
      <c r="B80" s="0" t="n">
        <f aca="false">[1]Clients!$B80</f>
        <v>0</v>
      </c>
      <c r="C80" s="0" t="n">
        <f aca="false">[1]Clients!$C80</f>
        <v>0</v>
      </c>
    </row>
    <row r="81" customFormat="false" ht="15" hidden="false" customHeight="false" outlineLevel="0" collapsed="false">
      <c r="A81" s="0" t="n">
        <f aca="false">[1]Clients!$A81</f>
        <v>0</v>
      </c>
      <c r="B81" s="0" t="n">
        <f aca="false">[1]Clients!$B81</f>
        <v>0</v>
      </c>
      <c r="C81" s="0" t="n">
        <f aca="false">[1]Clients!$C81</f>
        <v>0</v>
      </c>
    </row>
    <row r="82" customFormat="false" ht="15" hidden="false" customHeight="false" outlineLevel="0" collapsed="false">
      <c r="A82" s="0" t="n">
        <f aca="false">[1]Clients!$A82</f>
        <v>0</v>
      </c>
      <c r="B82" s="0" t="n">
        <f aca="false">[1]Clients!$B82</f>
        <v>0</v>
      </c>
      <c r="C82" s="0" t="n">
        <f aca="false">[1]Clients!$C82</f>
        <v>0</v>
      </c>
    </row>
    <row r="83" customFormat="false" ht="15" hidden="false" customHeight="false" outlineLevel="0" collapsed="false">
      <c r="A83" s="0" t="n">
        <f aca="false">[1]Clients!$A83</f>
        <v>0</v>
      </c>
      <c r="B83" s="0" t="n">
        <f aca="false">[1]Clients!$B83</f>
        <v>0</v>
      </c>
      <c r="C83" s="0" t="n">
        <f aca="false">[1]Clients!$C83</f>
        <v>0</v>
      </c>
    </row>
    <row r="84" customFormat="false" ht="15" hidden="false" customHeight="false" outlineLevel="0" collapsed="false">
      <c r="A84" s="0" t="n">
        <f aca="false">[1]Clients!$A84</f>
        <v>0</v>
      </c>
      <c r="B84" s="0" t="n">
        <f aca="false">[1]Clients!$B84</f>
        <v>0</v>
      </c>
      <c r="C84" s="0" t="n">
        <f aca="false">[1]Clients!$C84</f>
        <v>0</v>
      </c>
    </row>
    <row r="85" customFormat="false" ht="15" hidden="false" customHeight="false" outlineLevel="0" collapsed="false">
      <c r="A85" s="0" t="n">
        <f aca="false">[1]Clients!$A85</f>
        <v>0</v>
      </c>
      <c r="B85" s="0" t="n">
        <f aca="false">[1]Clients!$B85</f>
        <v>0</v>
      </c>
      <c r="C85" s="0" t="n">
        <f aca="false">[1]Clients!$C85</f>
        <v>0</v>
      </c>
    </row>
    <row r="86" customFormat="false" ht="15" hidden="false" customHeight="false" outlineLevel="0" collapsed="false">
      <c r="A86" s="0" t="n">
        <f aca="false">[1]Clients!$A86</f>
        <v>0</v>
      </c>
      <c r="B86" s="0" t="n">
        <f aca="false">[1]Clients!$B86</f>
        <v>0</v>
      </c>
      <c r="C86" s="0" t="n">
        <f aca="false">[1]Clients!$C86</f>
        <v>0</v>
      </c>
    </row>
    <row r="87" customFormat="false" ht="15" hidden="false" customHeight="false" outlineLevel="0" collapsed="false">
      <c r="A87" s="0" t="n">
        <f aca="false">[1]Clients!$A87</f>
        <v>0</v>
      </c>
      <c r="B87" s="0" t="n">
        <f aca="false">[1]Clients!$B87</f>
        <v>0</v>
      </c>
      <c r="C87" s="0" t="n">
        <f aca="false">[1]Clients!$C87</f>
        <v>0</v>
      </c>
    </row>
    <row r="88" customFormat="false" ht="15" hidden="false" customHeight="false" outlineLevel="0" collapsed="false">
      <c r="A88" s="0" t="n">
        <f aca="false">[1]Clients!$A88</f>
        <v>0</v>
      </c>
      <c r="B88" s="0" t="n">
        <f aca="false">[1]Clients!$B88</f>
        <v>0</v>
      </c>
      <c r="C88" s="0" t="n">
        <f aca="false">[1]Clients!$C88</f>
        <v>0</v>
      </c>
    </row>
    <row r="89" customFormat="false" ht="15" hidden="false" customHeight="false" outlineLevel="0" collapsed="false">
      <c r="A89" s="0" t="n">
        <f aca="false">[1]Clients!$A89</f>
        <v>0</v>
      </c>
      <c r="B89" s="0" t="n">
        <f aca="false">[1]Clients!$B89</f>
        <v>0</v>
      </c>
      <c r="C89" s="0" t="n">
        <f aca="false">[1]Clients!$C89</f>
        <v>0</v>
      </c>
    </row>
    <row r="90" customFormat="false" ht="15" hidden="false" customHeight="false" outlineLevel="0" collapsed="false">
      <c r="A90" s="0" t="n">
        <f aca="false">[1]Clients!$A90</f>
        <v>0</v>
      </c>
      <c r="B90" s="0" t="n">
        <f aca="false">[1]Clients!$B90</f>
        <v>0</v>
      </c>
      <c r="C90" s="0" t="n">
        <f aca="false">[1]Clients!$C90</f>
        <v>0</v>
      </c>
    </row>
    <row r="91" customFormat="false" ht="15" hidden="false" customHeight="false" outlineLevel="0" collapsed="false">
      <c r="A91" s="0" t="n">
        <f aca="false">[1]Clients!$A91</f>
        <v>0</v>
      </c>
      <c r="B91" s="0" t="n">
        <f aca="false">[1]Clients!$B91</f>
        <v>0</v>
      </c>
      <c r="C91" s="0" t="n">
        <f aca="false">[1]Clients!$C91</f>
        <v>0</v>
      </c>
    </row>
    <row r="92" customFormat="false" ht="15" hidden="false" customHeight="false" outlineLevel="0" collapsed="false">
      <c r="A92" s="0" t="n">
        <f aca="false">[1]Clients!$A92</f>
        <v>0</v>
      </c>
      <c r="B92" s="0" t="n">
        <f aca="false">[1]Clients!$B92</f>
        <v>0</v>
      </c>
      <c r="C92" s="0" t="n">
        <f aca="false">[1]Clients!$C92</f>
        <v>0</v>
      </c>
    </row>
    <row r="93" customFormat="false" ht="15" hidden="false" customHeight="false" outlineLevel="0" collapsed="false">
      <c r="A93" s="0" t="n">
        <f aca="false">[1]Clients!$A93</f>
        <v>0</v>
      </c>
      <c r="B93" s="0" t="n">
        <f aca="false">[1]Clients!$B93</f>
        <v>0</v>
      </c>
      <c r="C93" s="0" t="n">
        <f aca="false">[1]Clients!$C93</f>
        <v>0</v>
      </c>
    </row>
    <row r="94" customFormat="false" ht="15" hidden="false" customHeight="false" outlineLevel="0" collapsed="false">
      <c r="A94" s="0" t="n">
        <f aca="false">[1]Clients!$A94</f>
        <v>0</v>
      </c>
      <c r="B94" s="0" t="n">
        <f aca="false">[1]Clients!$B94</f>
        <v>0</v>
      </c>
      <c r="C94" s="0" t="n">
        <f aca="false">[1]Clients!$C94</f>
        <v>0</v>
      </c>
    </row>
    <row r="95" customFormat="false" ht="15" hidden="false" customHeight="false" outlineLevel="0" collapsed="false">
      <c r="A95" s="0" t="n">
        <f aca="false">[1]Clients!$A95</f>
        <v>0</v>
      </c>
      <c r="B95" s="0" t="n">
        <f aca="false">[1]Clients!$B95</f>
        <v>0</v>
      </c>
      <c r="C95" s="0" t="n">
        <f aca="false">[1]Clients!$C95</f>
        <v>0</v>
      </c>
    </row>
    <row r="96" customFormat="false" ht="15" hidden="false" customHeight="false" outlineLevel="0" collapsed="false">
      <c r="A96" s="0" t="n">
        <f aca="false">[1]Clients!$A96</f>
        <v>0</v>
      </c>
      <c r="B96" s="0" t="n">
        <f aca="false">[1]Clients!$B96</f>
        <v>0</v>
      </c>
      <c r="C96" s="0" t="n">
        <f aca="false">[1]Clients!$C96</f>
        <v>0</v>
      </c>
    </row>
    <row r="97" customFormat="false" ht="15" hidden="false" customHeight="false" outlineLevel="0" collapsed="false">
      <c r="A97" s="0" t="n">
        <f aca="false">[1]Clients!$A97</f>
        <v>0</v>
      </c>
      <c r="B97" s="0" t="n">
        <f aca="false">[1]Clients!$B97</f>
        <v>0</v>
      </c>
      <c r="C97" s="0" t="n">
        <f aca="false">[1]Clients!$C97</f>
        <v>0</v>
      </c>
    </row>
    <row r="98" customFormat="false" ht="15" hidden="false" customHeight="false" outlineLevel="0" collapsed="false">
      <c r="A98" s="0" t="n">
        <f aca="false">[1]Clients!$A98</f>
        <v>0</v>
      </c>
      <c r="B98" s="0" t="n">
        <f aca="false">[1]Clients!$B98</f>
        <v>0</v>
      </c>
      <c r="C98" s="0" t="n">
        <f aca="false">[1]Clients!$C98</f>
        <v>0</v>
      </c>
    </row>
    <row r="99" customFormat="false" ht="15" hidden="false" customHeight="false" outlineLevel="0" collapsed="false">
      <c r="A99" s="0" t="n">
        <f aca="false">[1]Clients!$A99</f>
        <v>0</v>
      </c>
      <c r="B99" s="0" t="n">
        <f aca="false">[1]Clients!$B99</f>
        <v>0</v>
      </c>
      <c r="C99" s="0" t="n">
        <f aca="false">[1]Clients!$C99</f>
        <v>0</v>
      </c>
    </row>
    <row r="100" customFormat="false" ht="15" hidden="false" customHeight="false" outlineLevel="0" collapsed="false">
      <c r="A100" s="0" t="n">
        <f aca="false">[1]Clients!$A100</f>
        <v>0</v>
      </c>
      <c r="B100" s="0" t="n">
        <f aca="false">[1]Clients!$B100</f>
        <v>0</v>
      </c>
      <c r="C100" s="0" t="n">
        <f aca="false">[1]Clients!$C100</f>
        <v>0</v>
      </c>
    </row>
    <row r="101" customFormat="false" ht="15" hidden="false" customHeight="false" outlineLevel="0" collapsed="false">
      <c r="A101" s="0" t="n">
        <f aca="false">[1]Clients!$A101</f>
        <v>0</v>
      </c>
      <c r="B101" s="0" t="n">
        <f aca="false">[1]Clients!$B101</f>
        <v>0</v>
      </c>
      <c r="C101" s="0" t="n">
        <f aca="false">[1]Clients!$C101</f>
        <v>0</v>
      </c>
    </row>
    <row r="102" customFormat="false" ht="15" hidden="false" customHeight="false" outlineLevel="0" collapsed="false">
      <c r="A102" s="0" t="n">
        <f aca="false">[1]Clients!$A102</f>
        <v>0</v>
      </c>
      <c r="B102" s="0" t="n">
        <f aca="false">[1]Clients!$B102</f>
        <v>0</v>
      </c>
      <c r="C102" s="0" t="n">
        <f aca="false">[1]Clients!$C102</f>
        <v>0</v>
      </c>
    </row>
    <row r="103" customFormat="false" ht="15" hidden="false" customHeight="false" outlineLevel="0" collapsed="false">
      <c r="A103" s="0" t="n">
        <f aca="false">[1]Clients!$A103</f>
        <v>0</v>
      </c>
      <c r="B103" s="0" t="n">
        <f aca="false">[1]Clients!$B103</f>
        <v>0</v>
      </c>
      <c r="C103" s="0" t="n">
        <f aca="false">[1]Clients!$C103</f>
        <v>0</v>
      </c>
    </row>
    <row r="104" customFormat="false" ht="15" hidden="false" customHeight="false" outlineLevel="0" collapsed="false">
      <c r="A104" s="0" t="n">
        <f aca="false">[1]Clients!$A104</f>
        <v>0</v>
      </c>
      <c r="B104" s="0" t="n">
        <f aca="false">[1]Clients!$B104</f>
        <v>0</v>
      </c>
      <c r="C104" s="0" t="n">
        <f aca="false">[1]Clients!$C104</f>
        <v>0</v>
      </c>
    </row>
    <row r="105" customFormat="false" ht="15" hidden="false" customHeight="false" outlineLevel="0" collapsed="false">
      <c r="A105" s="0" t="n">
        <f aca="false">[1]Clients!$A105</f>
        <v>0</v>
      </c>
      <c r="B105" s="0" t="n">
        <f aca="false">[1]Clients!$B105</f>
        <v>0</v>
      </c>
      <c r="C105" s="0" t="n">
        <f aca="false">[1]Clients!$C105</f>
        <v>0</v>
      </c>
    </row>
    <row r="106" customFormat="false" ht="15" hidden="false" customHeight="false" outlineLevel="0" collapsed="false">
      <c r="A106" s="0" t="n">
        <f aca="false">[1]Clients!$A106</f>
        <v>0</v>
      </c>
      <c r="B106" s="0" t="n">
        <f aca="false">[1]Clients!$B106</f>
        <v>0</v>
      </c>
      <c r="C106" s="0" t="n">
        <f aca="false">[1]Clients!$C106</f>
        <v>0</v>
      </c>
    </row>
    <row r="107" customFormat="false" ht="15" hidden="false" customHeight="false" outlineLevel="0" collapsed="false">
      <c r="A107" s="0" t="n">
        <f aca="false">[1]Clients!$A107</f>
        <v>0</v>
      </c>
      <c r="B107" s="0" t="n">
        <f aca="false">[1]Clients!$B107</f>
        <v>0</v>
      </c>
      <c r="C107" s="0" t="n">
        <f aca="false">[1]Clients!$C107</f>
        <v>0</v>
      </c>
    </row>
    <row r="108" customFormat="false" ht="15" hidden="false" customHeight="false" outlineLevel="0" collapsed="false">
      <c r="A108" s="0" t="n">
        <f aca="false">[1]Clients!$A108</f>
        <v>0</v>
      </c>
      <c r="B108" s="0" t="n">
        <f aca="false">[1]Clients!$B108</f>
        <v>0</v>
      </c>
      <c r="C108" s="0" t="n">
        <f aca="false">[1]Clients!$C108</f>
        <v>0</v>
      </c>
    </row>
    <row r="109" customFormat="false" ht="15" hidden="false" customHeight="false" outlineLevel="0" collapsed="false">
      <c r="A109" s="0" t="n">
        <f aca="false">[1]Clients!$A109</f>
        <v>0</v>
      </c>
      <c r="B109" s="0" t="n">
        <f aca="false">[1]Clients!$B109</f>
        <v>0</v>
      </c>
      <c r="C109" s="0" t="n">
        <f aca="false">[1]Clients!$C109</f>
        <v>0</v>
      </c>
    </row>
    <row r="110" customFormat="false" ht="15" hidden="false" customHeight="false" outlineLevel="0" collapsed="false">
      <c r="A110" s="0" t="n">
        <f aca="false">[1]Clients!$A110</f>
        <v>0</v>
      </c>
      <c r="B110" s="0" t="n">
        <f aca="false">[1]Clients!$B110</f>
        <v>0</v>
      </c>
      <c r="C110" s="0" t="n">
        <f aca="false">[1]Clients!$C110</f>
        <v>0</v>
      </c>
    </row>
    <row r="111" customFormat="false" ht="15" hidden="false" customHeight="false" outlineLevel="0" collapsed="false">
      <c r="A111" s="0" t="n">
        <f aca="false">[1]Clients!$A111</f>
        <v>0</v>
      </c>
      <c r="B111" s="0" t="n">
        <f aca="false">[1]Clients!$B111</f>
        <v>0</v>
      </c>
      <c r="C111" s="0" t="n">
        <f aca="false">[1]Clients!$C111</f>
        <v>0</v>
      </c>
    </row>
    <row r="112" customFormat="false" ht="15" hidden="false" customHeight="false" outlineLevel="0" collapsed="false">
      <c r="A112" s="0" t="n">
        <f aca="false">[1]Clients!$A112</f>
        <v>0</v>
      </c>
      <c r="B112" s="0" t="n">
        <f aca="false">[1]Clients!$B112</f>
        <v>0</v>
      </c>
      <c r="C112" s="0" t="n">
        <f aca="false">[1]Clients!$C112</f>
        <v>0</v>
      </c>
    </row>
    <row r="113" customFormat="false" ht="15" hidden="false" customHeight="false" outlineLevel="0" collapsed="false">
      <c r="A113" s="0" t="n">
        <f aca="false">[1]Clients!$A113</f>
        <v>0</v>
      </c>
      <c r="B113" s="0" t="n">
        <f aca="false">[1]Clients!$B113</f>
        <v>0</v>
      </c>
      <c r="C113" s="0" t="n">
        <f aca="false">[1]Clients!$C113</f>
        <v>0</v>
      </c>
    </row>
    <row r="114" customFormat="false" ht="15" hidden="false" customHeight="false" outlineLevel="0" collapsed="false">
      <c r="A114" s="0" t="n">
        <f aca="false">[1]Clients!$A114</f>
        <v>0</v>
      </c>
      <c r="B114" s="0" t="n">
        <f aca="false">[1]Clients!$B114</f>
        <v>0</v>
      </c>
      <c r="C114" s="0" t="n">
        <f aca="false">[1]Clients!$C114</f>
        <v>0</v>
      </c>
    </row>
    <row r="115" customFormat="false" ht="15" hidden="false" customHeight="false" outlineLevel="0" collapsed="false">
      <c r="A115" s="0" t="n">
        <f aca="false">[1]Clients!$A115</f>
        <v>0</v>
      </c>
      <c r="B115" s="0" t="n">
        <f aca="false">[1]Clients!$B115</f>
        <v>0</v>
      </c>
      <c r="C115" s="0" t="n">
        <f aca="false">[1]Clients!$C115</f>
        <v>0</v>
      </c>
    </row>
    <row r="116" customFormat="false" ht="15" hidden="false" customHeight="false" outlineLevel="0" collapsed="false">
      <c r="A116" s="0" t="n">
        <f aca="false">[1]Clients!$A116</f>
        <v>0</v>
      </c>
      <c r="B116" s="0" t="n">
        <f aca="false">[1]Clients!$B116</f>
        <v>0</v>
      </c>
      <c r="C116" s="0" t="n">
        <f aca="false">[1]Clients!$C116</f>
        <v>0</v>
      </c>
    </row>
    <row r="117" customFormat="false" ht="15" hidden="false" customHeight="false" outlineLevel="0" collapsed="false">
      <c r="A117" s="0" t="n">
        <f aca="false">[1]Clients!$A117</f>
        <v>0</v>
      </c>
      <c r="B117" s="0" t="n">
        <f aca="false">[1]Clients!$B117</f>
        <v>0</v>
      </c>
      <c r="C117" s="0" t="n">
        <f aca="false">[1]Clients!$C117</f>
        <v>0</v>
      </c>
    </row>
    <row r="118" customFormat="false" ht="15" hidden="false" customHeight="false" outlineLevel="0" collapsed="false">
      <c r="A118" s="0" t="n">
        <f aca="false">[1]Clients!$A118</f>
        <v>0</v>
      </c>
      <c r="B118" s="0" t="n">
        <f aca="false">[1]Clients!$B118</f>
        <v>0</v>
      </c>
      <c r="C118" s="0" t="n">
        <f aca="false">[1]Clients!$C118</f>
        <v>0</v>
      </c>
    </row>
    <row r="119" customFormat="false" ht="15" hidden="false" customHeight="false" outlineLevel="0" collapsed="false">
      <c r="A119" s="0" t="n">
        <f aca="false">[1]Clients!$A119</f>
        <v>0</v>
      </c>
      <c r="B119" s="0" t="n">
        <f aca="false">[1]Clients!$B119</f>
        <v>0</v>
      </c>
      <c r="C119" s="0" t="n">
        <f aca="false">[1]Clients!$C119</f>
        <v>0</v>
      </c>
    </row>
    <row r="120" customFormat="false" ht="15" hidden="false" customHeight="false" outlineLevel="0" collapsed="false">
      <c r="A120" s="0" t="n">
        <f aca="false">[1]Clients!$A120</f>
        <v>0</v>
      </c>
      <c r="B120" s="0" t="n">
        <f aca="false">[1]Clients!$B120</f>
        <v>0</v>
      </c>
      <c r="C120" s="0" t="n">
        <f aca="false">[1]Clients!$C120</f>
        <v>0</v>
      </c>
    </row>
    <row r="121" customFormat="false" ht="15" hidden="false" customHeight="false" outlineLevel="0" collapsed="false">
      <c r="A121" s="0" t="n">
        <f aca="false">[1]Clients!$A121</f>
        <v>0</v>
      </c>
      <c r="B121" s="0" t="n">
        <f aca="false">[1]Clients!$B121</f>
        <v>0</v>
      </c>
      <c r="C121" s="0" t="n">
        <f aca="false">[1]Clients!$C121</f>
        <v>0</v>
      </c>
    </row>
    <row r="122" customFormat="false" ht="15" hidden="false" customHeight="false" outlineLevel="0" collapsed="false">
      <c r="A122" s="0" t="n">
        <f aca="false">[1]Clients!$A122</f>
        <v>0</v>
      </c>
      <c r="B122" s="0" t="n">
        <f aca="false">[1]Clients!$B122</f>
        <v>0</v>
      </c>
      <c r="C122" s="0" t="n">
        <f aca="false">[1]Clients!$C122</f>
        <v>0</v>
      </c>
    </row>
    <row r="123" customFormat="false" ht="15" hidden="false" customHeight="false" outlineLevel="0" collapsed="false">
      <c r="A123" s="0" t="n">
        <f aca="false">[1]Clients!$A123</f>
        <v>0</v>
      </c>
      <c r="B123" s="0" t="n">
        <f aca="false">[1]Clients!$B123</f>
        <v>0</v>
      </c>
      <c r="C123" s="0" t="n">
        <f aca="false">[1]Clients!$C123</f>
        <v>0</v>
      </c>
    </row>
    <row r="124" customFormat="false" ht="15" hidden="false" customHeight="false" outlineLevel="0" collapsed="false">
      <c r="A124" s="0" t="n">
        <f aca="false">[1]Clients!$A124</f>
        <v>0</v>
      </c>
      <c r="B124" s="0" t="n">
        <f aca="false">[1]Clients!$B124</f>
        <v>0</v>
      </c>
      <c r="C124" s="0" t="n">
        <f aca="false">[1]Clients!$C124</f>
        <v>0</v>
      </c>
    </row>
    <row r="125" customFormat="false" ht="15" hidden="false" customHeight="false" outlineLevel="0" collapsed="false">
      <c r="A125" s="0" t="n">
        <f aca="false">[1]Clients!$A125</f>
        <v>0</v>
      </c>
      <c r="B125" s="0" t="n">
        <f aca="false">[1]Clients!$B125</f>
        <v>0</v>
      </c>
      <c r="C125" s="0" t="n">
        <f aca="false">[1]Clients!$C125</f>
        <v>0</v>
      </c>
    </row>
    <row r="126" customFormat="false" ht="15" hidden="false" customHeight="false" outlineLevel="0" collapsed="false">
      <c r="A126" s="0" t="n">
        <f aca="false">[1]Clients!$A126</f>
        <v>0</v>
      </c>
      <c r="B126" s="0" t="n">
        <f aca="false">[1]Clients!$B126</f>
        <v>0</v>
      </c>
      <c r="C126" s="0" t="n">
        <f aca="false">[1]Clients!$C126</f>
        <v>0</v>
      </c>
    </row>
    <row r="127" customFormat="false" ht="15" hidden="false" customHeight="false" outlineLevel="0" collapsed="false">
      <c r="A127" s="0" t="n">
        <f aca="false">[1]Clients!$A127</f>
        <v>0</v>
      </c>
      <c r="B127" s="0" t="n">
        <f aca="false">[1]Clients!$B127</f>
        <v>0</v>
      </c>
      <c r="C127" s="0" t="n">
        <f aca="false">[1]Clients!$C127</f>
        <v>0</v>
      </c>
    </row>
    <row r="128" customFormat="false" ht="15" hidden="false" customHeight="false" outlineLevel="0" collapsed="false">
      <c r="A128" s="0" t="n">
        <f aca="false">[1]Clients!$A128</f>
        <v>0</v>
      </c>
      <c r="B128" s="0" t="n">
        <f aca="false">[1]Clients!$B128</f>
        <v>0</v>
      </c>
      <c r="C128" s="0" t="n">
        <f aca="false">[1]Clients!$C128</f>
        <v>0</v>
      </c>
    </row>
    <row r="129" customFormat="false" ht="15" hidden="false" customHeight="false" outlineLevel="0" collapsed="false">
      <c r="A129" s="0" t="n">
        <f aca="false">[1]Clients!$A129</f>
        <v>0</v>
      </c>
      <c r="B129" s="0" t="n">
        <f aca="false">[1]Clients!$B129</f>
        <v>0</v>
      </c>
      <c r="C129" s="0" t="n">
        <f aca="false">[1]Clients!$C129</f>
        <v>0</v>
      </c>
    </row>
    <row r="130" customFormat="false" ht="15" hidden="false" customHeight="false" outlineLevel="0" collapsed="false">
      <c r="A130" s="0" t="n">
        <f aca="false">[1]Clients!$A130</f>
        <v>0</v>
      </c>
      <c r="B130" s="0" t="n">
        <f aca="false">[1]Clients!$B130</f>
        <v>0</v>
      </c>
      <c r="C130" s="0" t="n">
        <f aca="false">[1]Clients!$C130</f>
        <v>0</v>
      </c>
    </row>
    <row r="131" customFormat="false" ht="15" hidden="false" customHeight="false" outlineLevel="0" collapsed="false">
      <c r="A131" s="0" t="n">
        <f aca="false">[1]Clients!$A131</f>
        <v>0</v>
      </c>
      <c r="B131" s="0" t="n">
        <f aca="false">[1]Clients!$B131</f>
        <v>0</v>
      </c>
      <c r="C131" s="0" t="n">
        <f aca="false">[1]Clients!$C131</f>
        <v>0</v>
      </c>
    </row>
    <row r="132" customFormat="false" ht="15" hidden="false" customHeight="false" outlineLevel="0" collapsed="false">
      <c r="A132" s="0" t="n">
        <f aca="false">[1]Clients!$A132</f>
        <v>0</v>
      </c>
      <c r="B132" s="0" t="n">
        <f aca="false">[1]Clients!$B132</f>
        <v>0</v>
      </c>
      <c r="C132" s="0" t="n">
        <f aca="false">[1]Clients!$C132</f>
        <v>0</v>
      </c>
    </row>
    <row r="133" customFormat="false" ht="15" hidden="false" customHeight="false" outlineLevel="0" collapsed="false">
      <c r="A133" s="0" t="n">
        <f aca="false">[1]Clients!$A133</f>
        <v>0</v>
      </c>
      <c r="B133" s="0" t="n">
        <f aca="false">[1]Clients!$B133</f>
        <v>0</v>
      </c>
      <c r="C133" s="0" t="n">
        <f aca="false">[1]Clients!$C133</f>
        <v>0</v>
      </c>
    </row>
    <row r="134" customFormat="false" ht="15" hidden="false" customHeight="false" outlineLevel="0" collapsed="false">
      <c r="A134" s="0" t="n">
        <f aca="false">[1]Clients!$A134</f>
        <v>0</v>
      </c>
      <c r="B134" s="0" t="n">
        <f aca="false">[1]Clients!$B134</f>
        <v>0</v>
      </c>
      <c r="C134" s="0" t="n">
        <f aca="false">[1]Clients!$C134</f>
        <v>0</v>
      </c>
    </row>
    <row r="135" customFormat="false" ht="15" hidden="false" customHeight="false" outlineLevel="0" collapsed="false">
      <c r="A135" s="0" t="n">
        <f aca="false">[1]Clients!$A135</f>
        <v>0</v>
      </c>
      <c r="B135" s="0" t="n">
        <f aca="false">[1]Clients!$B135</f>
        <v>0</v>
      </c>
      <c r="C135" s="0" t="n">
        <f aca="false">[1]Clients!$C135</f>
        <v>0</v>
      </c>
    </row>
    <row r="136" customFormat="false" ht="15" hidden="false" customHeight="false" outlineLevel="0" collapsed="false">
      <c r="A136" s="0" t="n">
        <f aca="false">[1]Clients!$A136</f>
        <v>0</v>
      </c>
      <c r="B136" s="0" t="n">
        <f aca="false">[1]Clients!$B136</f>
        <v>0</v>
      </c>
      <c r="C136" s="0" t="n">
        <f aca="false">[1]Clients!$C136</f>
        <v>0</v>
      </c>
    </row>
    <row r="137" customFormat="false" ht="15" hidden="false" customHeight="false" outlineLevel="0" collapsed="false">
      <c r="A137" s="0" t="n">
        <f aca="false">[1]Clients!$A137</f>
        <v>0</v>
      </c>
      <c r="B137" s="0" t="n">
        <f aca="false">[1]Clients!$B137</f>
        <v>0</v>
      </c>
      <c r="C137" s="0" t="n">
        <f aca="false">[1]Clients!$C137</f>
        <v>0</v>
      </c>
    </row>
    <row r="138" customFormat="false" ht="15" hidden="false" customHeight="false" outlineLevel="0" collapsed="false">
      <c r="A138" s="0" t="n">
        <f aca="false">[1]Clients!$A138</f>
        <v>0</v>
      </c>
      <c r="B138" s="0" t="n">
        <f aca="false">[1]Clients!$B138</f>
        <v>0</v>
      </c>
      <c r="C138" s="0" t="n">
        <f aca="false">[1]Clients!$C138</f>
        <v>0</v>
      </c>
    </row>
    <row r="139" customFormat="false" ht="15" hidden="false" customHeight="false" outlineLevel="0" collapsed="false">
      <c r="A139" s="0" t="n">
        <f aca="false">[1]Clients!$A139</f>
        <v>0</v>
      </c>
      <c r="B139" s="0" t="n">
        <f aca="false">[1]Clients!$B139</f>
        <v>0</v>
      </c>
      <c r="C139" s="0" t="n">
        <f aca="false">[1]Clients!$C139</f>
        <v>0</v>
      </c>
    </row>
    <row r="140" customFormat="false" ht="15" hidden="false" customHeight="false" outlineLevel="0" collapsed="false">
      <c r="A140" s="0" t="n">
        <f aca="false">[1]Clients!$A140</f>
        <v>0</v>
      </c>
      <c r="B140" s="0" t="n">
        <f aca="false">[1]Clients!$B140</f>
        <v>0</v>
      </c>
      <c r="C140" s="0" t="n">
        <f aca="false">[1]Clients!$C140</f>
        <v>0</v>
      </c>
    </row>
    <row r="141" customFormat="false" ht="15" hidden="false" customHeight="false" outlineLevel="0" collapsed="false">
      <c r="A141" s="0" t="n">
        <f aca="false">[1]Clients!$A141</f>
        <v>0</v>
      </c>
      <c r="B141" s="0" t="n">
        <f aca="false">[1]Clients!$B141</f>
        <v>0</v>
      </c>
      <c r="C141" s="0" t="n">
        <f aca="false">[1]Clients!$C141</f>
        <v>0</v>
      </c>
    </row>
    <row r="142" customFormat="false" ht="15" hidden="false" customHeight="false" outlineLevel="0" collapsed="false">
      <c r="A142" s="0" t="n">
        <f aca="false">[1]Clients!$A142</f>
        <v>0</v>
      </c>
      <c r="B142" s="0" t="n">
        <f aca="false">[1]Clients!$B142</f>
        <v>0</v>
      </c>
      <c r="C142" s="0" t="n">
        <f aca="false">[1]Clients!$C142</f>
        <v>0</v>
      </c>
    </row>
    <row r="143" customFormat="false" ht="15" hidden="false" customHeight="false" outlineLevel="0" collapsed="false">
      <c r="A143" s="0" t="n">
        <f aca="false">[1]Clients!$A143</f>
        <v>0</v>
      </c>
      <c r="B143" s="0" t="n">
        <f aca="false">[1]Clients!$B143</f>
        <v>0</v>
      </c>
      <c r="C143" s="0" t="n">
        <f aca="false">[1]Clients!$C143</f>
        <v>0</v>
      </c>
    </row>
    <row r="144" customFormat="false" ht="15" hidden="false" customHeight="false" outlineLevel="0" collapsed="false">
      <c r="A144" s="0" t="n">
        <f aca="false">[1]Clients!$A144</f>
        <v>0</v>
      </c>
      <c r="B144" s="0" t="n">
        <f aca="false">[1]Clients!$B144</f>
        <v>0</v>
      </c>
      <c r="C144" s="0" t="n">
        <f aca="false">[1]Clients!$C144</f>
        <v>0</v>
      </c>
    </row>
    <row r="145" customFormat="false" ht="15" hidden="false" customHeight="false" outlineLevel="0" collapsed="false">
      <c r="A145" s="0" t="n">
        <f aca="false">[1]Clients!$A145</f>
        <v>0</v>
      </c>
      <c r="B145" s="0" t="n">
        <f aca="false">[1]Clients!$B145</f>
        <v>0</v>
      </c>
      <c r="C145" s="0" t="n">
        <f aca="false">[1]Clients!$C145</f>
        <v>0</v>
      </c>
    </row>
    <row r="146" customFormat="false" ht="15" hidden="false" customHeight="false" outlineLevel="0" collapsed="false">
      <c r="A146" s="0" t="n">
        <f aca="false">[1]Clients!$A146</f>
        <v>0</v>
      </c>
      <c r="B146" s="0" t="n">
        <f aca="false">[1]Clients!$B146</f>
        <v>0</v>
      </c>
      <c r="C146" s="0" t="n">
        <f aca="false">[1]Clients!$C146</f>
        <v>0</v>
      </c>
    </row>
    <row r="147" customFormat="false" ht="15" hidden="false" customHeight="false" outlineLevel="0" collapsed="false">
      <c r="A147" s="0" t="n">
        <f aca="false">[1]Clients!$A147</f>
        <v>0</v>
      </c>
      <c r="B147" s="0" t="n">
        <f aca="false">[1]Clients!$B147</f>
        <v>0</v>
      </c>
      <c r="C147" s="0" t="n">
        <f aca="false">[1]Clients!$C147</f>
        <v>0</v>
      </c>
    </row>
    <row r="148" customFormat="false" ht="15" hidden="false" customHeight="false" outlineLevel="0" collapsed="false">
      <c r="A148" s="0" t="n">
        <f aca="false">[1]Clients!$A148</f>
        <v>0</v>
      </c>
      <c r="B148" s="0" t="n">
        <f aca="false">[1]Clients!$B148</f>
        <v>0</v>
      </c>
      <c r="C148" s="0" t="n">
        <f aca="false">[1]Clients!$C148</f>
        <v>0</v>
      </c>
    </row>
    <row r="149" customFormat="false" ht="15" hidden="false" customHeight="false" outlineLevel="0" collapsed="false">
      <c r="A149" s="0" t="n">
        <f aca="false">[1]Clients!$A149</f>
        <v>0</v>
      </c>
      <c r="B149" s="0" t="n">
        <f aca="false">[1]Clients!$B149</f>
        <v>0</v>
      </c>
      <c r="C149" s="0" t="n">
        <f aca="false">[1]Clients!$C149</f>
        <v>0</v>
      </c>
    </row>
    <row r="150" customFormat="false" ht="15" hidden="false" customHeight="false" outlineLevel="0" collapsed="false">
      <c r="A150" s="0" t="n">
        <f aca="false">[1]Clients!$A150</f>
        <v>0</v>
      </c>
      <c r="B150" s="0" t="n">
        <f aca="false">[1]Clients!$B150</f>
        <v>0</v>
      </c>
      <c r="C150" s="0" t="n">
        <f aca="false">[1]Clients!$C150</f>
        <v>0</v>
      </c>
    </row>
    <row r="151" customFormat="false" ht="15" hidden="false" customHeight="false" outlineLevel="0" collapsed="false">
      <c r="A151" s="0" t="n">
        <f aca="false">[1]Clients!$A151</f>
        <v>0</v>
      </c>
      <c r="B151" s="0" t="n">
        <f aca="false">[1]Clients!$B151</f>
        <v>0</v>
      </c>
      <c r="C151" s="0" t="n">
        <f aca="false">[1]Clients!$C151</f>
        <v>0</v>
      </c>
    </row>
    <row r="152" customFormat="false" ht="15" hidden="false" customHeight="false" outlineLevel="0" collapsed="false">
      <c r="A152" s="0" t="n">
        <f aca="false">[1]Clients!$A152</f>
        <v>0</v>
      </c>
      <c r="B152" s="0" t="n">
        <f aca="false">[1]Clients!$B152</f>
        <v>0</v>
      </c>
      <c r="C152" s="0" t="n">
        <f aca="false">[1]Clients!$C152</f>
        <v>0</v>
      </c>
    </row>
    <row r="153" customFormat="false" ht="15" hidden="false" customHeight="false" outlineLevel="0" collapsed="false">
      <c r="A153" s="0" t="n">
        <f aca="false">[1]Clients!$A153</f>
        <v>0</v>
      </c>
      <c r="B153" s="0" t="n">
        <f aca="false">[1]Clients!$B153</f>
        <v>0</v>
      </c>
      <c r="C153" s="0" t="n">
        <f aca="false">[1]Clients!$C153</f>
        <v>0</v>
      </c>
    </row>
    <row r="154" customFormat="false" ht="15" hidden="false" customHeight="false" outlineLevel="0" collapsed="false">
      <c r="A154" s="0" t="n">
        <f aca="false">[1]Clients!$A154</f>
        <v>0</v>
      </c>
      <c r="B154" s="0" t="n">
        <f aca="false">[1]Clients!$B154</f>
        <v>0</v>
      </c>
      <c r="C154" s="0" t="n">
        <f aca="false">[1]Clients!$C154</f>
        <v>0</v>
      </c>
    </row>
    <row r="155" customFormat="false" ht="15" hidden="false" customHeight="false" outlineLevel="0" collapsed="false">
      <c r="A155" s="0" t="n">
        <f aca="false">[1]Clients!$A155</f>
        <v>0</v>
      </c>
      <c r="B155" s="0" t="n">
        <f aca="false">[1]Clients!$B155</f>
        <v>0</v>
      </c>
      <c r="C155" s="0" t="n">
        <f aca="false">[1]Clients!$C155</f>
        <v>0</v>
      </c>
    </row>
    <row r="156" customFormat="false" ht="15" hidden="false" customHeight="false" outlineLevel="0" collapsed="false">
      <c r="A156" s="0" t="n">
        <f aca="false">[1]Clients!$A156</f>
        <v>0</v>
      </c>
      <c r="B156" s="0" t="n">
        <f aca="false">[1]Clients!$B156</f>
        <v>0</v>
      </c>
      <c r="C156" s="0" t="n">
        <f aca="false">[1]Clients!$C156</f>
        <v>0</v>
      </c>
    </row>
    <row r="157" customFormat="false" ht="15" hidden="false" customHeight="false" outlineLevel="0" collapsed="false">
      <c r="A157" s="0" t="n">
        <f aca="false">[1]Clients!$A157</f>
        <v>0</v>
      </c>
      <c r="B157" s="0" t="n">
        <f aca="false">[1]Clients!$B157</f>
        <v>0</v>
      </c>
      <c r="C157" s="0" t="n">
        <f aca="false">[1]Clients!$C157</f>
        <v>0</v>
      </c>
    </row>
    <row r="158" customFormat="false" ht="15" hidden="false" customHeight="false" outlineLevel="0" collapsed="false">
      <c r="A158" s="0" t="n">
        <f aca="false">[1]Clients!$A158</f>
        <v>0</v>
      </c>
      <c r="B158" s="0" t="n">
        <f aca="false">[1]Clients!$B158</f>
        <v>0</v>
      </c>
      <c r="C158" s="0" t="n">
        <f aca="false">[1]Clients!$C158</f>
        <v>0</v>
      </c>
    </row>
    <row r="159" customFormat="false" ht="15" hidden="false" customHeight="false" outlineLevel="0" collapsed="false">
      <c r="A159" s="0" t="n">
        <f aca="false">[1]Clients!$A159</f>
        <v>0</v>
      </c>
      <c r="B159" s="0" t="n">
        <f aca="false">[1]Clients!$B159</f>
        <v>0</v>
      </c>
      <c r="C159" s="0" t="n">
        <f aca="false">[1]Clients!$C159</f>
        <v>0</v>
      </c>
    </row>
    <row r="160" customFormat="false" ht="15" hidden="false" customHeight="false" outlineLevel="0" collapsed="false">
      <c r="A160" s="0" t="n">
        <f aca="false">[1]Clients!$A160</f>
        <v>0</v>
      </c>
      <c r="B160" s="0" t="n">
        <f aca="false">[1]Clients!$B160</f>
        <v>0</v>
      </c>
      <c r="C160" s="0" t="n">
        <f aca="false">[1]Clients!$C160</f>
        <v>0</v>
      </c>
    </row>
    <row r="161" customFormat="false" ht="15" hidden="false" customHeight="false" outlineLevel="0" collapsed="false">
      <c r="A161" s="0" t="n">
        <f aca="false">[1]Clients!$A161</f>
        <v>0</v>
      </c>
      <c r="B161" s="0" t="n">
        <f aca="false">[1]Clients!$B161</f>
        <v>0</v>
      </c>
      <c r="C161" s="0" t="n">
        <f aca="false">[1]Clients!$C161</f>
        <v>0</v>
      </c>
    </row>
    <row r="162" customFormat="false" ht="15" hidden="false" customHeight="false" outlineLevel="0" collapsed="false">
      <c r="A162" s="0" t="n">
        <f aca="false">[1]Clients!$A162</f>
        <v>0</v>
      </c>
      <c r="B162" s="0" t="n">
        <f aca="false">[1]Clients!$B162</f>
        <v>0</v>
      </c>
      <c r="C162" s="0" t="n">
        <f aca="false">[1]Clients!$C162</f>
        <v>0</v>
      </c>
    </row>
    <row r="163" customFormat="false" ht="15" hidden="false" customHeight="false" outlineLevel="0" collapsed="false">
      <c r="A163" s="0" t="n">
        <f aca="false">[1]Clients!$A163</f>
        <v>0</v>
      </c>
      <c r="B163" s="0" t="n">
        <f aca="false">[1]Clients!$B163</f>
        <v>0</v>
      </c>
      <c r="C163" s="0" t="n">
        <f aca="false">[1]Clients!$C163</f>
        <v>0</v>
      </c>
    </row>
    <row r="164" customFormat="false" ht="15" hidden="false" customHeight="false" outlineLevel="0" collapsed="false">
      <c r="A164" s="0" t="n">
        <f aca="false">[1]Clients!$A164</f>
        <v>0</v>
      </c>
      <c r="B164" s="0" t="n">
        <f aca="false">[1]Clients!$B164</f>
        <v>0</v>
      </c>
      <c r="C164" s="0" t="n">
        <f aca="false">[1]Clients!$C164</f>
        <v>0</v>
      </c>
    </row>
    <row r="165" customFormat="false" ht="15" hidden="false" customHeight="false" outlineLevel="0" collapsed="false">
      <c r="A165" s="0" t="n">
        <f aca="false">[1]Clients!$A165</f>
        <v>0</v>
      </c>
      <c r="B165" s="0" t="n">
        <f aca="false">[1]Clients!$B165</f>
        <v>0</v>
      </c>
      <c r="C165" s="0" t="n">
        <f aca="false">[1]Clients!$C165</f>
        <v>0</v>
      </c>
    </row>
    <row r="166" customFormat="false" ht="15" hidden="false" customHeight="false" outlineLevel="0" collapsed="false">
      <c r="A166" s="0" t="n">
        <f aca="false">[1]Clients!$A166</f>
        <v>0</v>
      </c>
      <c r="B166" s="0" t="n">
        <f aca="false">[1]Clients!$B166</f>
        <v>0</v>
      </c>
      <c r="C166" s="0" t="n">
        <f aca="false">[1]Clients!$C166</f>
        <v>0</v>
      </c>
    </row>
    <row r="167" customFormat="false" ht="15" hidden="false" customHeight="false" outlineLevel="0" collapsed="false">
      <c r="A167" s="0" t="n">
        <f aca="false">[1]Clients!$A167</f>
        <v>0</v>
      </c>
      <c r="B167" s="0" t="n">
        <f aca="false">[1]Clients!$B167</f>
        <v>0</v>
      </c>
      <c r="C167" s="0" t="n">
        <f aca="false">[1]Clients!$C167</f>
        <v>0</v>
      </c>
    </row>
    <row r="168" customFormat="false" ht="15" hidden="false" customHeight="false" outlineLevel="0" collapsed="false">
      <c r="A168" s="0" t="n">
        <f aca="false">[1]Clients!$A168</f>
        <v>0</v>
      </c>
      <c r="B168" s="0" t="n">
        <f aca="false">[1]Clients!$B168</f>
        <v>0</v>
      </c>
      <c r="C168" s="0" t="n">
        <f aca="false">[1]Clients!$C168</f>
        <v>0</v>
      </c>
    </row>
    <row r="169" customFormat="false" ht="15" hidden="false" customHeight="false" outlineLevel="0" collapsed="false">
      <c r="A169" s="0" t="n">
        <f aca="false">[1]Clients!$A169</f>
        <v>0</v>
      </c>
      <c r="B169" s="0" t="n">
        <f aca="false">[1]Clients!$B169</f>
        <v>0</v>
      </c>
      <c r="C169" s="0" t="n">
        <f aca="false">[1]Clients!$C169</f>
        <v>0</v>
      </c>
    </row>
    <row r="170" customFormat="false" ht="15" hidden="false" customHeight="false" outlineLevel="0" collapsed="false">
      <c r="A170" s="0" t="n">
        <f aca="false">[1]Clients!$A170</f>
        <v>0</v>
      </c>
      <c r="B170" s="0" t="n">
        <f aca="false">[1]Clients!$B170</f>
        <v>0</v>
      </c>
      <c r="C170" s="0" t="n">
        <f aca="false">[1]Clients!$C170</f>
        <v>0</v>
      </c>
    </row>
    <row r="171" customFormat="false" ht="15" hidden="false" customHeight="false" outlineLevel="0" collapsed="false">
      <c r="A171" s="0" t="n">
        <f aca="false">[1]Clients!$A171</f>
        <v>0</v>
      </c>
      <c r="B171" s="0" t="n">
        <f aca="false">[1]Clients!$B171</f>
        <v>0</v>
      </c>
      <c r="C171" s="0" t="n">
        <f aca="false">[1]Clients!$C171</f>
        <v>0</v>
      </c>
    </row>
    <row r="172" customFormat="false" ht="15" hidden="false" customHeight="false" outlineLevel="0" collapsed="false">
      <c r="A172" s="0" t="n">
        <f aca="false">[1]Clients!$A172</f>
        <v>0</v>
      </c>
      <c r="B172" s="0" t="n">
        <f aca="false">[1]Clients!$B172</f>
        <v>0</v>
      </c>
      <c r="C172" s="0" t="n">
        <f aca="false">[1]Clients!$C172</f>
        <v>0</v>
      </c>
    </row>
    <row r="173" customFormat="false" ht="15" hidden="false" customHeight="false" outlineLevel="0" collapsed="false">
      <c r="A173" s="0" t="n">
        <f aca="false">[1]Clients!$A173</f>
        <v>0</v>
      </c>
      <c r="B173" s="0" t="n">
        <f aca="false">[1]Clients!$B173</f>
        <v>0</v>
      </c>
      <c r="C173" s="0" t="n">
        <f aca="false">[1]Clients!$C173</f>
        <v>0</v>
      </c>
    </row>
    <row r="174" customFormat="false" ht="15" hidden="false" customHeight="false" outlineLevel="0" collapsed="false">
      <c r="A174" s="0" t="n">
        <f aca="false">[1]Clients!$A174</f>
        <v>0</v>
      </c>
      <c r="B174" s="0" t="n">
        <f aca="false">[1]Clients!$B174</f>
        <v>0</v>
      </c>
      <c r="C174" s="0" t="n">
        <f aca="false">[1]Clients!$C174</f>
        <v>0</v>
      </c>
    </row>
    <row r="175" customFormat="false" ht="15" hidden="false" customHeight="false" outlineLevel="0" collapsed="false">
      <c r="A175" s="0" t="n">
        <f aca="false">[1]Clients!$A175</f>
        <v>0</v>
      </c>
      <c r="B175" s="0" t="n">
        <f aca="false">[1]Clients!$B175</f>
        <v>0</v>
      </c>
      <c r="C175" s="0" t="n">
        <f aca="false">[1]Clients!$C175</f>
        <v>0</v>
      </c>
    </row>
    <row r="176" customFormat="false" ht="15" hidden="false" customHeight="false" outlineLevel="0" collapsed="false">
      <c r="A176" s="0" t="n">
        <f aca="false">[1]Clients!$A176</f>
        <v>0</v>
      </c>
      <c r="B176" s="0" t="n">
        <f aca="false">[1]Clients!$B176</f>
        <v>0</v>
      </c>
      <c r="C176" s="0" t="n">
        <f aca="false">[1]Clients!$C176</f>
        <v>0</v>
      </c>
    </row>
    <row r="177" customFormat="false" ht="15" hidden="false" customHeight="false" outlineLevel="0" collapsed="false">
      <c r="A177" s="0" t="n">
        <f aca="false">[1]Clients!$A177</f>
        <v>0</v>
      </c>
      <c r="B177" s="0" t="n">
        <f aca="false">[1]Clients!$B177</f>
        <v>0</v>
      </c>
      <c r="C177" s="0" t="n">
        <f aca="false">[1]Clients!$C177</f>
        <v>0</v>
      </c>
    </row>
    <row r="178" customFormat="false" ht="15" hidden="false" customHeight="false" outlineLevel="0" collapsed="false">
      <c r="A178" s="0" t="n">
        <f aca="false">[1]Clients!$A178</f>
        <v>0</v>
      </c>
      <c r="B178" s="0" t="n">
        <f aca="false">[1]Clients!$B178</f>
        <v>0</v>
      </c>
      <c r="C178" s="0" t="n">
        <f aca="false">[1]Clients!$C178</f>
        <v>0</v>
      </c>
    </row>
    <row r="179" customFormat="false" ht="15" hidden="false" customHeight="false" outlineLevel="0" collapsed="false">
      <c r="A179" s="0" t="n">
        <f aca="false">[1]Clients!$A179</f>
        <v>0</v>
      </c>
      <c r="B179" s="0" t="n">
        <f aca="false">[1]Clients!$B179</f>
        <v>0</v>
      </c>
      <c r="C179" s="0" t="n">
        <f aca="false">[1]Clients!$C179</f>
        <v>0</v>
      </c>
    </row>
    <row r="180" customFormat="false" ht="15" hidden="false" customHeight="false" outlineLevel="0" collapsed="false">
      <c r="A180" s="0" t="n">
        <f aca="false">[1]Clients!$A180</f>
        <v>0</v>
      </c>
      <c r="B180" s="0" t="n">
        <f aca="false">[1]Clients!$B180</f>
        <v>0</v>
      </c>
      <c r="C180" s="0" t="n">
        <f aca="false">[1]Clients!$C180</f>
        <v>0</v>
      </c>
    </row>
    <row r="181" customFormat="false" ht="15" hidden="false" customHeight="false" outlineLevel="0" collapsed="false">
      <c r="A181" s="0" t="n">
        <f aca="false">[1]Clients!$A181</f>
        <v>0</v>
      </c>
      <c r="B181" s="0" t="n">
        <f aca="false">[1]Clients!$B181</f>
        <v>0</v>
      </c>
      <c r="C181" s="0" t="n">
        <f aca="false">[1]Clients!$C181</f>
        <v>0</v>
      </c>
    </row>
    <row r="182" customFormat="false" ht="15" hidden="false" customHeight="false" outlineLevel="0" collapsed="false">
      <c r="A182" s="0" t="n">
        <f aca="false">[1]Clients!$A182</f>
        <v>0</v>
      </c>
      <c r="B182" s="0" t="n">
        <f aca="false">[1]Clients!$B182</f>
        <v>0</v>
      </c>
      <c r="C182" s="0" t="n">
        <f aca="false">[1]Clients!$C182</f>
        <v>0</v>
      </c>
    </row>
    <row r="183" customFormat="false" ht="15" hidden="false" customHeight="false" outlineLevel="0" collapsed="false">
      <c r="A183" s="0" t="n">
        <f aca="false">[1]Clients!$A183</f>
        <v>0</v>
      </c>
      <c r="B183" s="0" t="n">
        <f aca="false">[1]Clients!$B183</f>
        <v>0</v>
      </c>
      <c r="C183" s="0" t="n">
        <f aca="false">[1]Clients!$C183</f>
        <v>0</v>
      </c>
    </row>
    <row r="184" customFormat="false" ht="15" hidden="false" customHeight="false" outlineLevel="0" collapsed="false">
      <c r="A184" s="0" t="n">
        <f aca="false">[1]Clients!$A184</f>
        <v>0</v>
      </c>
      <c r="B184" s="0" t="n">
        <f aca="false">[1]Clients!$B184</f>
        <v>0</v>
      </c>
      <c r="C184" s="0" t="n">
        <f aca="false">[1]Clients!$C184</f>
        <v>0</v>
      </c>
    </row>
    <row r="185" customFormat="false" ht="15" hidden="false" customHeight="false" outlineLevel="0" collapsed="false">
      <c r="A185" s="0" t="n">
        <f aca="false">[1]Clients!$A185</f>
        <v>0</v>
      </c>
      <c r="B185" s="0" t="n">
        <f aca="false">[1]Clients!$B185</f>
        <v>0</v>
      </c>
      <c r="C185" s="0" t="n">
        <f aca="false">[1]Clients!$C185</f>
        <v>0</v>
      </c>
    </row>
    <row r="186" customFormat="false" ht="15" hidden="false" customHeight="false" outlineLevel="0" collapsed="false">
      <c r="A186" s="0" t="n">
        <f aca="false">[1]Clients!$A186</f>
        <v>0</v>
      </c>
      <c r="B186" s="0" t="n">
        <f aca="false">[1]Clients!$B186</f>
        <v>0</v>
      </c>
      <c r="C186" s="0" t="n">
        <f aca="false">[1]Clients!$C186</f>
        <v>0</v>
      </c>
    </row>
    <row r="187" customFormat="false" ht="15" hidden="false" customHeight="false" outlineLevel="0" collapsed="false">
      <c r="A187" s="0" t="n">
        <f aca="false">[1]Clients!$A187</f>
        <v>0</v>
      </c>
      <c r="B187" s="0" t="n">
        <f aca="false">[1]Clients!$B187</f>
        <v>0</v>
      </c>
      <c r="C187" s="0" t="n">
        <f aca="false">[1]Clients!$C187</f>
        <v>0</v>
      </c>
    </row>
    <row r="188" customFormat="false" ht="15" hidden="false" customHeight="false" outlineLevel="0" collapsed="false">
      <c r="A188" s="0" t="n">
        <f aca="false">[1]Clients!$A188</f>
        <v>0</v>
      </c>
      <c r="B188" s="0" t="n">
        <f aca="false">[1]Clients!$B188</f>
        <v>0</v>
      </c>
      <c r="C188" s="0" t="n">
        <f aca="false">[1]Clients!$C188</f>
        <v>0</v>
      </c>
    </row>
    <row r="189" customFormat="false" ht="15" hidden="false" customHeight="false" outlineLevel="0" collapsed="false">
      <c r="A189" s="0" t="n">
        <f aca="false">[1]Clients!$A189</f>
        <v>0</v>
      </c>
      <c r="B189" s="0" t="n">
        <f aca="false">[1]Clients!$B189</f>
        <v>0</v>
      </c>
      <c r="C189" s="0" t="n">
        <f aca="false">[1]Clients!$C189</f>
        <v>0</v>
      </c>
    </row>
    <row r="190" customFormat="false" ht="15" hidden="false" customHeight="false" outlineLevel="0" collapsed="false">
      <c r="A190" s="0" t="n">
        <f aca="false">[1]Clients!$A190</f>
        <v>0</v>
      </c>
      <c r="B190" s="0" t="n">
        <f aca="false">[1]Clients!$B190</f>
        <v>0</v>
      </c>
      <c r="C190" s="0" t="n">
        <f aca="false">[1]Clients!$C190</f>
        <v>0</v>
      </c>
    </row>
    <row r="191" customFormat="false" ht="15" hidden="false" customHeight="false" outlineLevel="0" collapsed="false">
      <c r="A191" s="0" t="n">
        <f aca="false">[1]Clients!$A191</f>
        <v>0</v>
      </c>
      <c r="B191" s="0" t="n">
        <f aca="false">[1]Clients!$B191</f>
        <v>0</v>
      </c>
      <c r="C191" s="0" t="n">
        <f aca="false">[1]Clients!$C191</f>
        <v>0</v>
      </c>
    </row>
    <row r="192" customFormat="false" ht="15" hidden="false" customHeight="false" outlineLevel="0" collapsed="false">
      <c r="A192" s="0" t="n">
        <f aca="false">[1]Clients!$A192</f>
        <v>0</v>
      </c>
      <c r="B192" s="0" t="n">
        <f aca="false">[1]Clients!$B192</f>
        <v>0</v>
      </c>
      <c r="C192" s="0" t="n">
        <f aca="false">[1]Clients!$C192</f>
        <v>0</v>
      </c>
    </row>
    <row r="193" customFormat="false" ht="15" hidden="false" customHeight="false" outlineLevel="0" collapsed="false">
      <c r="A193" s="0" t="n">
        <f aca="false">[1]Clients!$A193</f>
        <v>0</v>
      </c>
      <c r="B193" s="0" t="n">
        <f aca="false">[1]Clients!$B193</f>
        <v>0</v>
      </c>
      <c r="C193" s="0" t="n">
        <f aca="false">[1]Clients!$C193</f>
        <v>0</v>
      </c>
    </row>
    <row r="194" customFormat="false" ht="15" hidden="false" customHeight="false" outlineLevel="0" collapsed="false">
      <c r="A194" s="0" t="n">
        <f aca="false">[1]Clients!$A194</f>
        <v>0</v>
      </c>
      <c r="B194" s="0" t="n">
        <f aca="false">[1]Clients!$B194</f>
        <v>0</v>
      </c>
      <c r="C194" s="0" t="n">
        <f aca="false">[1]Clients!$C194</f>
        <v>0</v>
      </c>
    </row>
    <row r="195" customFormat="false" ht="15" hidden="false" customHeight="false" outlineLevel="0" collapsed="false">
      <c r="A195" s="0" t="n">
        <f aca="false">[1]Clients!$A195</f>
        <v>0</v>
      </c>
      <c r="B195" s="0" t="n">
        <f aca="false">[1]Clients!$B195</f>
        <v>0</v>
      </c>
      <c r="C195" s="0" t="n">
        <f aca="false">[1]Clients!$C195</f>
        <v>0</v>
      </c>
    </row>
    <row r="196" customFormat="false" ht="15" hidden="false" customHeight="false" outlineLevel="0" collapsed="false">
      <c r="A196" s="0" t="n">
        <f aca="false">[1]Clients!$A196</f>
        <v>0</v>
      </c>
      <c r="B196" s="0" t="n">
        <f aca="false">[1]Clients!$B196</f>
        <v>0</v>
      </c>
      <c r="C196" s="0" t="n">
        <f aca="false">[1]Clients!$C196</f>
        <v>0</v>
      </c>
    </row>
    <row r="197" customFormat="false" ht="15" hidden="false" customHeight="false" outlineLevel="0" collapsed="false">
      <c r="A197" s="0" t="n">
        <f aca="false">[1]Clients!$A197</f>
        <v>0</v>
      </c>
      <c r="B197" s="0" t="n">
        <f aca="false">[1]Clients!$B197</f>
        <v>0</v>
      </c>
      <c r="C197" s="0" t="n">
        <f aca="false">[1]Clients!$C197</f>
        <v>0</v>
      </c>
    </row>
    <row r="198" customFormat="false" ht="15" hidden="false" customHeight="false" outlineLevel="0" collapsed="false">
      <c r="A198" s="0" t="n">
        <f aca="false">[1]Clients!$A198</f>
        <v>0</v>
      </c>
      <c r="B198" s="0" t="n">
        <f aca="false">[1]Clients!$B198</f>
        <v>0</v>
      </c>
      <c r="C198" s="0" t="n">
        <f aca="false">[1]Clients!$C198</f>
        <v>0</v>
      </c>
    </row>
    <row r="199" customFormat="false" ht="15" hidden="false" customHeight="false" outlineLevel="0" collapsed="false">
      <c r="A199" s="0" t="n">
        <f aca="false">[1]Clients!$A199</f>
        <v>0</v>
      </c>
      <c r="B199" s="0" t="n">
        <f aca="false">[1]Clients!$B199</f>
        <v>0</v>
      </c>
      <c r="C199" s="0" t="n">
        <f aca="false">[1]Clients!$C199</f>
        <v>0</v>
      </c>
    </row>
    <row r="200" customFormat="false" ht="15" hidden="false" customHeight="false" outlineLevel="0" collapsed="false">
      <c r="A200" s="0" t="n">
        <f aca="false">[1]Clients!$A200</f>
        <v>0</v>
      </c>
      <c r="B200" s="0" t="n">
        <f aca="false">[1]Clients!$B200</f>
        <v>0</v>
      </c>
      <c r="C200" s="0" t="n">
        <f aca="false">[1]Clients!$C200</f>
        <v>0</v>
      </c>
    </row>
    <row r="201" customFormat="false" ht="15" hidden="false" customHeight="false" outlineLevel="0" collapsed="false">
      <c r="A201" s="0" t="n">
        <f aca="false">[1]Clients!$A201</f>
        <v>0</v>
      </c>
      <c r="B201" s="0" t="n">
        <f aca="false">[1]Clients!$B201</f>
        <v>0</v>
      </c>
      <c r="C201" s="0" t="n">
        <f aca="false">[1]Clients!$C201</f>
        <v>0</v>
      </c>
    </row>
    <row r="202" customFormat="false" ht="15" hidden="false" customHeight="false" outlineLevel="0" collapsed="false">
      <c r="A202" s="0" t="n">
        <f aca="false">[1]Clients!$A202</f>
        <v>0</v>
      </c>
      <c r="B202" s="0" t="n">
        <f aca="false">[1]Clients!$B202</f>
        <v>0</v>
      </c>
      <c r="C202" s="0" t="n">
        <f aca="false">[1]Clients!$C202</f>
        <v>0</v>
      </c>
    </row>
    <row r="203" customFormat="false" ht="15" hidden="false" customHeight="false" outlineLevel="0" collapsed="false">
      <c r="A203" s="0" t="n">
        <f aca="false">[1]Clients!$A203</f>
        <v>0</v>
      </c>
      <c r="B203" s="0" t="n">
        <f aca="false">[1]Clients!$B203</f>
        <v>0</v>
      </c>
      <c r="C203" s="0" t="n">
        <f aca="false">[1]Clients!$C203</f>
        <v>0</v>
      </c>
    </row>
    <row r="204" customFormat="false" ht="15" hidden="false" customHeight="false" outlineLevel="0" collapsed="false">
      <c r="A204" s="0" t="n">
        <f aca="false">[1]Clients!$A204</f>
        <v>0</v>
      </c>
      <c r="B204" s="0" t="n">
        <f aca="false">[1]Clients!$B204</f>
        <v>0</v>
      </c>
      <c r="C204" s="0" t="n">
        <f aca="false">[1]Clients!$C204</f>
        <v>0</v>
      </c>
    </row>
    <row r="205" customFormat="false" ht="15" hidden="false" customHeight="false" outlineLevel="0" collapsed="false">
      <c r="A205" s="0" t="n">
        <f aca="false">[1]Clients!$A205</f>
        <v>0</v>
      </c>
      <c r="B205" s="0" t="n">
        <f aca="false">[1]Clients!$B205</f>
        <v>0</v>
      </c>
      <c r="C205" s="0" t="n">
        <f aca="false">[1]Clients!$C205</f>
        <v>0</v>
      </c>
    </row>
    <row r="206" customFormat="false" ht="15" hidden="false" customHeight="false" outlineLevel="0" collapsed="false">
      <c r="A206" s="0" t="n">
        <f aca="false">[1]Clients!$A206</f>
        <v>0</v>
      </c>
      <c r="B206" s="0" t="n">
        <f aca="false">[1]Clients!$B206</f>
        <v>0</v>
      </c>
      <c r="C206" s="0" t="n">
        <f aca="false">[1]Clients!$C206</f>
        <v>0</v>
      </c>
    </row>
    <row r="207" customFormat="false" ht="15" hidden="false" customHeight="false" outlineLevel="0" collapsed="false">
      <c r="A207" s="0" t="n">
        <f aca="false">[1]Clients!$A207</f>
        <v>0</v>
      </c>
      <c r="B207" s="0" t="n">
        <f aca="false">[1]Clients!$B207</f>
        <v>0</v>
      </c>
      <c r="C207" s="0" t="n">
        <f aca="false">[1]Clients!$C207</f>
        <v>0</v>
      </c>
    </row>
    <row r="208" customFormat="false" ht="15" hidden="false" customHeight="false" outlineLevel="0" collapsed="false">
      <c r="A208" s="0" t="n">
        <f aca="false">[1]Clients!$A208</f>
        <v>0</v>
      </c>
      <c r="B208" s="0" t="n">
        <f aca="false">[1]Clients!$B208</f>
        <v>0</v>
      </c>
      <c r="C208" s="0" t="n">
        <f aca="false">[1]Clients!$C208</f>
        <v>0</v>
      </c>
    </row>
    <row r="209" customFormat="false" ht="15" hidden="false" customHeight="false" outlineLevel="0" collapsed="false">
      <c r="A209" s="0" t="n">
        <f aca="false">[1]Clients!$A209</f>
        <v>0</v>
      </c>
      <c r="B209" s="0" t="n">
        <f aca="false">[1]Clients!$B209</f>
        <v>0</v>
      </c>
      <c r="C209" s="0" t="n">
        <f aca="false">[1]Clients!$C209</f>
        <v>0</v>
      </c>
    </row>
    <row r="210" customFormat="false" ht="15" hidden="false" customHeight="false" outlineLevel="0" collapsed="false">
      <c r="A210" s="0" t="n">
        <f aca="false">[1]Clients!$A210</f>
        <v>0</v>
      </c>
      <c r="B210" s="0" t="n">
        <f aca="false">[1]Clients!$B210</f>
        <v>0</v>
      </c>
      <c r="C210" s="0" t="n">
        <f aca="false">[1]Clients!$C210</f>
        <v>0</v>
      </c>
    </row>
    <row r="211" customFormat="false" ht="15" hidden="false" customHeight="false" outlineLevel="0" collapsed="false">
      <c r="A211" s="0" t="n">
        <f aca="false">[1]Clients!$A211</f>
        <v>0</v>
      </c>
      <c r="B211" s="0" t="n">
        <f aca="false">[1]Clients!$B211</f>
        <v>0</v>
      </c>
      <c r="C211" s="0" t="n">
        <f aca="false">[1]Clients!$C211</f>
        <v>0</v>
      </c>
    </row>
    <row r="212" customFormat="false" ht="15" hidden="false" customHeight="false" outlineLevel="0" collapsed="false">
      <c r="A212" s="0" t="n">
        <f aca="false">[1]Clients!$A212</f>
        <v>0</v>
      </c>
      <c r="B212" s="0" t="n">
        <f aca="false">[1]Clients!$B212</f>
        <v>0</v>
      </c>
      <c r="C212" s="0" t="n">
        <f aca="false">[1]Clients!$C212</f>
        <v>0</v>
      </c>
    </row>
    <row r="213" customFormat="false" ht="15" hidden="false" customHeight="false" outlineLevel="0" collapsed="false">
      <c r="A213" s="0" t="n">
        <f aca="false">[1]Clients!$A213</f>
        <v>0</v>
      </c>
      <c r="B213" s="0" t="n">
        <f aca="false">[1]Clients!$B213</f>
        <v>0</v>
      </c>
      <c r="C213" s="0" t="n">
        <f aca="false">[1]Clients!$C213</f>
        <v>0</v>
      </c>
    </row>
    <row r="214" customFormat="false" ht="15" hidden="false" customHeight="false" outlineLevel="0" collapsed="false">
      <c r="A214" s="0" t="n">
        <f aca="false">[1]Clients!$A214</f>
        <v>0</v>
      </c>
      <c r="B214" s="0" t="n">
        <f aca="false">[1]Clients!$B214</f>
        <v>0</v>
      </c>
      <c r="C214" s="0" t="n">
        <f aca="false">[1]Clients!$C214</f>
        <v>0</v>
      </c>
    </row>
    <row r="215" customFormat="false" ht="15" hidden="false" customHeight="false" outlineLevel="0" collapsed="false">
      <c r="A215" s="0" t="n">
        <f aca="false">[1]Clients!$A215</f>
        <v>0</v>
      </c>
      <c r="B215" s="0" t="n">
        <f aca="false">[1]Clients!$B215</f>
        <v>0</v>
      </c>
      <c r="C215" s="0" t="n">
        <f aca="false">[1]Clients!$C215</f>
        <v>0</v>
      </c>
    </row>
    <row r="216" customFormat="false" ht="15" hidden="false" customHeight="false" outlineLevel="0" collapsed="false">
      <c r="A216" s="0" t="n">
        <f aca="false">[1]Clients!$A216</f>
        <v>0</v>
      </c>
      <c r="B216" s="0" t="n">
        <f aca="false">[1]Clients!$B216</f>
        <v>0</v>
      </c>
      <c r="C216" s="0" t="n">
        <f aca="false">[1]Clients!$C216</f>
        <v>0</v>
      </c>
    </row>
    <row r="217" customFormat="false" ht="15" hidden="false" customHeight="false" outlineLevel="0" collapsed="false">
      <c r="A217" s="0" t="n">
        <f aca="false">[1]Clients!$A217</f>
        <v>0</v>
      </c>
      <c r="B217" s="0" t="n">
        <f aca="false">[1]Clients!$B217</f>
        <v>0</v>
      </c>
      <c r="C217" s="0" t="n">
        <f aca="false">[1]Clients!$C217</f>
        <v>0</v>
      </c>
    </row>
    <row r="218" customFormat="false" ht="15" hidden="false" customHeight="false" outlineLevel="0" collapsed="false">
      <c r="A218" s="0" t="n">
        <f aca="false">[1]Clients!$A218</f>
        <v>0</v>
      </c>
      <c r="B218" s="0" t="n">
        <f aca="false">[1]Clients!$B218</f>
        <v>0</v>
      </c>
      <c r="C218" s="0" t="n">
        <f aca="false">[1]Clients!$C218</f>
        <v>0</v>
      </c>
    </row>
    <row r="219" customFormat="false" ht="15" hidden="false" customHeight="false" outlineLevel="0" collapsed="false">
      <c r="A219" s="0" t="n">
        <f aca="false">[1]Clients!$A219</f>
        <v>0</v>
      </c>
      <c r="B219" s="0" t="n">
        <f aca="false">[1]Clients!$B219</f>
        <v>0</v>
      </c>
      <c r="C219" s="0" t="n">
        <f aca="false">[1]Clients!$C219</f>
        <v>0</v>
      </c>
    </row>
    <row r="220" customFormat="false" ht="15" hidden="false" customHeight="false" outlineLevel="0" collapsed="false">
      <c r="A220" s="0" t="n">
        <f aca="false">[1]Clients!$A220</f>
        <v>0</v>
      </c>
      <c r="B220" s="0" t="n">
        <f aca="false">[1]Clients!$B220</f>
        <v>0</v>
      </c>
      <c r="C220" s="0" t="n">
        <f aca="false">[1]Clients!$C220</f>
        <v>0</v>
      </c>
    </row>
    <row r="221" customFormat="false" ht="15" hidden="false" customHeight="false" outlineLevel="0" collapsed="false">
      <c r="A221" s="0" t="n">
        <f aca="false">[1]Clients!$A221</f>
        <v>0</v>
      </c>
      <c r="B221" s="0" t="n">
        <f aca="false">[1]Clients!$B221</f>
        <v>0</v>
      </c>
      <c r="C221" s="0" t="n">
        <f aca="false">[1]Clients!$C221</f>
        <v>0</v>
      </c>
    </row>
    <row r="222" customFormat="false" ht="15" hidden="false" customHeight="false" outlineLevel="0" collapsed="false">
      <c r="A222" s="0" t="n">
        <f aca="false">[1]Clients!$A222</f>
        <v>0</v>
      </c>
      <c r="B222" s="0" t="n">
        <f aca="false">[1]Clients!$B222</f>
        <v>0</v>
      </c>
      <c r="C222" s="0" t="n">
        <f aca="false">[1]Clients!$C222</f>
        <v>0</v>
      </c>
    </row>
    <row r="223" customFormat="false" ht="15" hidden="false" customHeight="false" outlineLevel="0" collapsed="false">
      <c r="A223" s="0" t="n">
        <f aca="false">[1]Clients!$A223</f>
        <v>0</v>
      </c>
      <c r="B223" s="0" t="n">
        <f aca="false">[1]Clients!$B223</f>
        <v>0</v>
      </c>
      <c r="C223" s="0" t="n">
        <f aca="false">[1]Clients!$C223</f>
        <v>0</v>
      </c>
    </row>
    <row r="224" customFormat="false" ht="15" hidden="false" customHeight="false" outlineLevel="0" collapsed="false">
      <c r="A224" s="0" t="n">
        <f aca="false">[1]Clients!$A224</f>
        <v>0</v>
      </c>
      <c r="B224" s="0" t="n">
        <f aca="false">[1]Clients!$B224</f>
        <v>0</v>
      </c>
      <c r="C224" s="0" t="n">
        <f aca="false">[1]Clients!$C224</f>
        <v>0</v>
      </c>
    </row>
    <row r="225" customFormat="false" ht="15" hidden="false" customHeight="false" outlineLevel="0" collapsed="false">
      <c r="A225" s="0" t="n">
        <f aca="false">[1]Clients!$A225</f>
        <v>0</v>
      </c>
      <c r="B225" s="0" t="n">
        <f aca="false">[1]Clients!$B225</f>
        <v>0</v>
      </c>
      <c r="C225" s="0" t="n">
        <f aca="false">[1]Clients!$C225</f>
        <v>0</v>
      </c>
    </row>
    <row r="226" customFormat="false" ht="15" hidden="false" customHeight="false" outlineLevel="0" collapsed="false">
      <c r="A226" s="0" t="n">
        <f aca="false">[1]Clients!$A226</f>
        <v>0</v>
      </c>
      <c r="B226" s="0" t="n">
        <f aca="false">[1]Clients!$B226</f>
        <v>0</v>
      </c>
      <c r="C226" s="0" t="n">
        <f aca="false">[1]Clients!$C226</f>
        <v>0</v>
      </c>
    </row>
    <row r="227" customFormat="false" ht="15" hidden="false" customHeight="false" outlineLevel="0" collapsed="false">
      <c r="A227" s="0" t="n">
        <f aca="false">[1]Clients!$A227</f>
        <v>0</v>
      </c>
      <c r="B227" s="0" t="n">
        <f aca="false">[1]Clients!$B227</f>
        <v>0</v>
      </c>
      <c r="C227" s="0" t="n">
        <f aca="false">[1]Clients!$C227</f>
        <v>0</v>
      </c>
    </row>
    <row r="228" customFormat="false" ht="15" hidden="false" customHeight="false" outlineLevel="0" collapsed="false">
      <c r="A228" s="0" t="n">
        <f aca="false">[1]Clients!$A228</f>
        <v>0</v>
      </c>
      <c r="B228" s="0" t="n">
        <f aca="false">[1]Clients!$B228</f>
        <v>0</v>
      </c>
      <c r="C228" s="0" t="n">
        <f aca="false">[1]Clients!$C228</f>
        <v>0</v>
      </c>
    </row>
    <row r="229" customFormat="false" ht="15" hidden="false" customHeight="false" outlineLevel="0" collapsed="false">
      <c r="A229" s="0" t="n">
        <f aca="false">[1]Clients!$A229</f>
        <v>0</v>
      </c>
      <c r="B229" s="0" t="n">
        <f aca="false">[1]Clients!$B229</f>
        <v>0</v>
      </c>
      <c r="C229" s="0" t="n">
        <f aca="false">[1]Clients!$C229</f>
        <v>0</v>
      </c>
    </row>
    <row r="230" customFormat="false" ht="15" hidden="false" customHeight="false" outlineLevel="0" collapsed="false">
      <c r="A230" s="0" t="n">
        <f aca="false">[1]Clients!$A230</f>
        <v>0</v>
      </c>
      <c r="B230" s="0" t="n">
        <f aca="false">[1]Clients!$B230</f>
        <v>0</v>
      </c>
      <c r="C230" s="0" t="n">
        <f aca="false">[1]Clients!$C230</f>
        <v>0</v>
      </c>
    </row>
    <row r="231" customFormat="false" ht="15" hidden="false" customHeight="false" outlineLevel="0" collapsed="false">
      <c r="A231" s="0" t="n">
        <f aca="false">[1]Clients!$A231</f>
        <v>0</v>
      </c>
      <c r="B231" s="0" t="n">
        <f aca="false">[1]Clients!$B231</f>
        <v>0</v>
      </c>
      <c r="C231" s="0" t="n">
        <f aca="false">[1]Clients!$C231</f>
        <v>0</v>
      </c>
    </row>
    <row r="232" customFormat="false" ht="15" hidden="false" customHeight="false" outlineLevel="0" collapsed="false">
      <c r="A232" s="0" t="n">
        <f aca="false">[1]Clients!$A232</f>
        <v>0</v>
      </c>
      <c r="B232" s="0" t="n">
        <f aca="false">[1]Clients!$B232</f>
        <v>0</v>
      </c>
      <c r="C232" s="0" t="n">
        <f aca="false">[1]Clients!$C232</f>
        <v>0</v>
      </c>
    </row>
    <row r="233" customFormat="false" ht="15" hidden="false" customHeight="false" outlineLevel="0" collapsed="false">
      <c r="A233" s="0" t="n">
        <f aca="false">[1]Clients!$A233</f>
        <v>0</v>
      </c>
      <c r="B233" s="0" t="n">
        <f aca="false">[1]Clients!$B233</f>
        <v>0</v>
      </c>
      <c r="C233" s="0" t="n">
        <f aca="false">[1]Clients!$C233</f>
        <v>0</v>
      </c>
    </row>
    <row r="234" customFormat="false" ht="15" hidden="false" customHeight="false" outlineLevel="0" collapsed="false">
      <c r="A234" s="0" t="n">
        <f aca="false">[1]Clients!$A234</f>
        <v>0</v>
      </c>
      <c r="B234" s="0" t="n">
        <f aca="false">[1]Clients!$B234</f>
        <v>0</v>
      </c>
      <c r="C234" s="0" t="n">
        <f aca="false">[1]Clients!$C234</f>
        <v>0</v>
      </c>
    </row>
    <row r="235" customFormat="false" ht="15" hidden="false" customHeight="false" outlineLevel="0" collapsed="false">
      <c r="A235" s="0" t="n">
        <f aca="false">[1]Clients!$A235</f>
        <v>0</v>
      </c>
      <c r="B235" s="0" t="n">
        <f aca="false">[1]Clients!$B235</f>
        <v>0</v>
      </c>
      <c r="C235" s="0" t="n">
        <f aca="false">[1]Clients!$C235</f>
        <v>0</v>
      </c>
    </row>
    <row r="236" customFormat="false" ht="15" hidden="false" customHeight="false" outlineLevel="0" collapsed="false">
      <c r="A236" s="0" t="n">
        <f aca="false">[1]Clients!$A236</f>
        <v>0</v>
      </c>
      <c r="B236" s="0" t="n">
        <f aca="false">[1]Clients!$B236</f>
        <v>0</v>
      </c>
      <c r="C236" s="0" t="n">
        <f aca="false">[1]Clients!$C236</f>
        <v>0</v>
      </c>
    </row>
    <row r="237" customFormat="false" ht="15" hidden="false" customHeight="false" outlineLevel="0" collapsed="false">
      <c r="A237" s="0" t="n">
        <f aca="false">[1]Clients!$A237</f>
        <v>0</v>
      </c>
      <c r="B237" s="0" t="n">
        <f aca="false">[1]Clients!$B237</f>
        <v>0</v>
      </c>
      <c r="C237" s="0" t="n">
        <f aca="false">[1]Clients!$C237</f>
        <v>0</v>
      </c>
    </row>
    <row r="238" customFormat="false" ht="15" hidden="false" customHeight="false" outlineLevel="0" collapsed="false">
      <c r="A238" s="0" t="n">
        <f aca="false">[1]Clients!$A238</f>
        <v>0</v>
      </c>
      <c r="B238" s="0" t="n">
        <f aca="false">[1]Clients!$B238</f>
        <v>0</v>
      </c>
      <c r="C238" s="0" t="n">
        <f aca="false">[1]Clients!$C238</f>
        <v>0</v>
      </c>
    </row>
    <row r="239" customFormat="false" ht="15" hidden="false" customHeight="false" outlineLevel="0" collapsed="false">
      <c r="A239" s="0" t="n">
        <f aca="false">[1]Clients!$A239</f>
        <v>0</v>
      </c>
      <c r="B239" s="0" t="n">
        <f aca="false">[1]Clients!$B239</f>
        <v>0</v>
      </c>
      <c r="C239" s="0" t="n">
        <f aca="false">[1]Clients!$C239</f>
        <v>0</v>
      </c>
    </row>
    <row r="240" customFormat="false" ht="15" hidden="false" customHeight="false" outlineLevel="0" collapsed="false">
      <c r="A240" s="0" t="n">
        <f aca="false">[1]Clients!$A240</f>
        <v>0</v>
      </c>
      <c r="B240" s="0" t="n">
        <f aca="false">[1]Clients!$B240</f>
        <v>0</v>
      </c>
      <c r="C240" s="0" t="n">
        <f aca="false">[1]Clients!$C240</f>
        <v>0</v>
      </c>
    </row>
    <row r="241" customFormat="false" ht="15" hidden="false" customHeight="false" outlineLevel="0" collapsed="false">
      <c r="A241" s="0" t="n">
        <f aca="false">[1]Clients!$A241</f>
        <v>0</v>
      </c>
      <c r="B241" s="0" t="n">
        <f aca="false">[1]Clients!$B241</f>
        <v>0</v>
      </c>
      <c r="C241" s="0" t="n">
        <f aca="false">[1]Clients!$C241</f>
        <v>0</v>
      </c>
    </row>
    <row r="242" customFormat="false" ht="15" hidden="false" customHeight="false" outlineLevel="0" collapsed="false">
      <c r="A242" s="0" t="n">
        <f aca="false">[1]Clients!$A242</f>
        <v>0</v>
      </c>
      <c r="B242" s="0" t="n">
        <f aca="false">[1]Clients!$B242</f>
        <v>0</v>
      </c>
      <c r="C242" s="0" t="n">
        <f aca="false">[1]Clients!$C242</f>
        <v>0</v>
      </c>
    </row>
    <row r="243" customFormat="false" ht="15" hidden="false" customHeight="false" outlineLevel="0" collapsed="false">
      <c r="A243" s="0" t="n">
        <f aca="false">[1]Clients!$A243</f>
        <v>0</v>
      </c>
      <c r="B243" s="0" t="n">
        <f aca="false">[1]Clients!$B243</f>
        <v>0</v>
      </c>
      <c r="C243" s="0" t="n">
        <f aca="false">[1]Clients!$C243</f>
        <v>0</v>
      </c>
    </row>
    <row r="244" customFormat="false" ht="15" hidden="false" customHeight="false" outlineLevel="0" collapsed="false">
      <c r="A244" s="0" t="n">
        <f aca="false">[1]Clients!$A244</f>
        <v>0</v>
      </c>
      <c r="B244" s="0" t="n">
        <f aca="false">[1]Clients!$B244</f>
        <v>0</v>
      </c>
      <c r="C244" s="0" t="n">
        <f aca="false">[1]Clients!$C244</f>
        <v>0</v>
      </c>
    </row>
    <row r="245" customFormat="false" ht="15" hidden="false" customHeight="false" outlineLevel="0" collapsed="false">
      <c r="A245" s="0" t="n">
        <f aca="false">[1]Clients!$A245</f>
        <v>0</v>
      </c>
      <c r="B245" s="0" t="n">
        <f aca="false">[1]Clients!$B245</f>
        <v>0</v>
      </c>
      <c r="C245" s="0" t="n">
        <f aca="false">[1]Clients!$C245</f>
        <v>0</v>
      </c>
    </row>
    <row r="246" customFormat="false" ht="15" hidden="false" customHeight="false" outlineLevel="0" collapsed="false">
      <c r="A246" s="0" t="n">
        <f aca="false">[1]Clients!$A246</f>
        <v>0</v>
      </c>
      <c r="B246" s="0" t="n">
        <f aca="false">[1]Clients!$B246</f>
        <v>0</v>
      </c>
      <c r="C246" s="0" t="n">
        <f aca="false">[1]Clients!$C246</f>
        <v>0</v>
      </c>
    </row>
    <row r="247" customFormat="false" ht="15" hidden="false" customHeight="false" outlineLevel="0" collapsed="false">
      <c r="A247" s="0" t="n">
        <f aca="false">[1]Clients!$A247</f>
        <v>0</v>
      </c>
      <c r="B247" s="0" t="n">
        <f aca="false">[1]Clients!$B247</f>
        <v>0</v>
      </c>
      <c r="C247" s="0" t="n">
        <f aca="false">[1]Clients!$C247</f>
        <v>0</v>
      </c>
    </row>
    <row r="248" customFormat="false" ht="15" hidden="false" customHeight="false" outlineLevel="0" collapsed="false">
      <c r="A248" s="0" t="n">
        <f aca="false">[1]Clients!$A248</f>
        <v>0</v>
      </c>
      <c r="B248" s="0" t="n">
        <f aca="false">[1]Clients!$B248</f>
        <v>0</v>
      </c>
      <c r="C248" s="0" t="n">
        <f aca="false">[1]Clients!$C248</f>
        <v>0</v>
      </c>
    </row>
    <row r="249" customFormat="false" ht="15" hidden="false" customHeight="false" outlineLevel="0" collapsed="false">
      <c r="A249" s="0" t="n">
        <f aca="false">[1]Clients!$A249</f>
        <v>0</v>
      </c>
      <c r="B249" s="0" t="n">
        <f aca="false">[1]Clients!$B249</f>
        <v>0</v>
      </c>
      <c r="C249" s="0" t="n">
        <f aca="false">[1]Clients!$C249</f>
        <v>0</v>
      </c>
    </row>
    <row r="250" customFormat="false" ht="15" hidden="false" customHeight="false" outlineLevel="0" collapsed="false">
      <c r="A250" s="0" t="n">
        <f aca="false">[1]Clients!$A250</f>
        <v>0</v>
      </c>
      <c r="B250" s="0" t="n">
        <f aca="false">[1]Clients!$B250</f>
        <v>0</v>
      </c>
      <c r="C250" s="0" t="n">
        <f aca="false">[1]Clients!$C250</f>
        <v>0</v>
      </c>
    </row>
    <row r="251" customFormat="false" ht="15" hidden="false" customHeight="false" outlineLevel="0" collapsed="false">
      <c r="A251" s="0" t="n">
        <f aca="false">[1]Clients!$A251</f>
        <v>0</v>
      </c>
      <c r="B251" s="0" t="n">
        <f aca="false">[1]Clients!$B251</f>
        <v>0</v>
      </c>
      <c r="C251" s="0" t="n">
        <f aca="false">[1]Clients!$C251</f>
        <v>0</v>
      </c>
    </row>
    <row r="252" customFormat="false" ht="15" hidden="false" customHeight="false" outlineLevel="0" collapsed="false">
      <c r="A252" s="0" t="n">
        <f aca="false">[1]Clients!$A252</f>
        <v>0</v>
      </c>
      <c r="B252" s="0" t="n">
        <f aca="false">[1]Clients!$B252</f>
        <v>0</v>
      </c>
      <c r="C252" s="0" t="n">
        <f aca="false">[1]Clients!$C252</f>
        <v>0</v>
      </c>
    </row>
    <row r="253" customFormat="false" ht="15" hidden="false" customHeight="false" outlineLevel="0" collapsed="false">
      <c r="A253" s="0" t="n">
        <f aca="false">[1]Clients!$A253</f>
        <v>0</v>
      </c>
      <c r="B253" s="0" t="n">
        <f aca="false">[1]Clients!$B253</f>
        <v>0</v>
      </c>
      <c r="C253" s="0" t="n">
        <f aca="false">[1]Clients!$C253</f>
        <v>0</v>
      </c>
    </row>
    <row r="254" customFormat="false" ht="15" hidden="false" customHeight="false" outlineLevel="0" collapsed="false">
      <c r="A254" s="0" t="n">
        <f aca="false">[1]Clients!$A254</f>
        <v>0</v>
      </c>
      <c r="B254" s="0" t="n">
        <f aca="false">[1]Clients!$B254</f>
        <v>0</v>
      </c>
      <c r="C254" s="0" t="n">
        <f aca="false">[1]Clients!$C254</f>
        <v>0</v>
      </c>
    </row>
    <row r="255" customFormat="false" ht="15" hidden="false" customHeight="false" outlineLevel="0" collapsed="false">
      <c r="A255" s="0" t="n">
        <f aca="false">[1]Clients!$A255</f>
        <v>0</v>
      </c>
      <c r="B255" s="0" t="n">
        <f aca="false">[1]Clients!$B255</f>
        <v>0</v>
      </c>
      <c r="C255" s="0" t="n">
        <f aca="false">[1]Clients!$C255</f>
        <v>0</v>
      </c>
    </row>
    <row r="256" customFormat="false" ht="15" hidden="false" customHeight="false" outlineLevel="0" collapsed="false">
      <c r="A256" s="0" t="n">
        <f aca="false">[1]Clients!$A256</f>
        <v>0</v>
      </c>
      <c r="B256" s="0" t="n">
        <f aca="false">[1]Clients!$B256</f>
        <v>0</v>
      </c>
      <c r="C256" s="0" t="n">
        <f aca="false">[1]Clients!$C256</f>
        <v>0</v>
      </c>
    </row>
    <row r="257" customFormat="false" ht="15" hidden="false" customHeight="false" outlineLevel="0" collapsed="false">
      <c r="A257" s="0" t="n">
        <f aca="false">[1]Clients!$A257</f>
        <v>0</v>
      </c>
      <c r="B257" s="0" t="n">
        <f aca="false">[1]Clients!$B257</f>
        <v>0</v>
      </c>
      <c r="C257" s="0" t="n">
        <f aca="false">[1]Clients!$C257</f>
        <v>0</v>
      </c>
    </row>
    <row r="258" customFormat="false" ht="15" hidden="false" customHeight="false" outlineLevel="0" collapsed="false">
      <c r="A258" s="0" t="n">
        <f aca="false">[1]Clients!$A258</f>
        <v>0</v>
      </c>
      <c r="B258" s="0" t="n">
        <f aca="false">[1]Clients!$B258</f>
        <v>0</v>
      </c>
      <c r="C258" s="0" t="n">
        <f aca="false">[1]Clients!$C258</f>
        <v>0</v>
      </c>
    </row>
    <row r="259" customFormat="false" ht="15" hidden="false" customHeight="false" outlineLevel="0" collapsed="false">
      <c r="A259" s="0" t="n">
        <f aca="false">[1]Clients!$A259</f>
        <v>0</v>
      </c>
      <c r="B259" s="0" t="n">
        <f aca="false">[1]Clients!$B259</f>
        <v>0</v>
      </c>
      <c r="C259" s="0" t="n">
        <f aca="false">[1]Clients!$C259</f>
        <v>0</v>
      </c>
    </row>
    <row r="260" customFormat="false" ht="15" hidden="false" customHeight="false" outlineLevel="0" collapsed="false">
      <c r="A260" s="0" t="n">
        <f aca="false">[1]Clients!$A260</f>
        <v>0</v>
      </c>
      <c r="B260" s="0" t="n">
        <f aca="false">[1]Clients!$B260</f>
        <v>0</v>
      </c>
      <c r="C260" s="0" t="n">
        <f aca="false">[1]Clients!$C260</f>
        <v>0</v>
      </c>
    </row>
    <row r="261" customFormat="false" ht="15" hidden="false" customHeight="false" outlineLevel="0" collapsed="false">
      <c r="A261" s="0" t="n">
        <f aca="false">[1]Clients!$A261</f>
        <v>0</v>
      </c>
      <c r="B261" s="0" t="n">
        <f aca="false">[1]Clients!$B261</f>
        <v>0</v>
      </c>
      <c r="C261" s="0" t="n">
        <f aca="false">[1]Clients!$C261</f>
        <v>0</v>
      </c>
    </row>
    <row r="262" customFormat="false" ht="15" hidden="false" customHeight="false" outlineLevel="0" collapsed="false">
      <c r="A262" s="0" t="n">
        <f aca="false">[1]Clients!$A262</f>
        <v>0</v>
      </c>
      <c r="B262" s="0" t="n">
        <f aca="false">[1]Clients!$B262</f>
        <v>0</v>
      </c>
      <c r="C262" s="0" t="n">
        <f aca="false">[1]Clients!$C262</f>
        <v>0</v>
      </c>
    </row>
    <row r="263" customFormat="false" ht="15" hidden="false" customHeight="false" outlineLevel="0" collapsed="false">
      <c r="A263" s="0" t="n">
        <f aca="false">[1]Clients!$A263</f>
        <v>0</v>
      </c>
      <c r="B263" s="0" t="n">
        <f aca="false">[1]Clients!$B263</f>
        <v>0</v>
      </c>
      <c r="C263" s="0" t="n">
        <f aca="false">[1]Clients!$C263</f>
        <v>0</v>
      </c>
    </row>
    <row r="264" customFormat="false" ht="15" hidden="false" customHeight="false" outlineLevel="0" collapsed="false">
      <c r="A264" s="0" t="n">
        <f aca="false">[1]Clients!$A264</f>
        <v>0</v>
      </c>
      <c r="B264" s="0" t="n">
        <f aca="false">[1]Clients!$B264</f>
        <v>0</v>
      </c>
      <c r="C264" s="0" t="n">
        <f aca="false">[1]Clients!$C264</f>
        <v>0</v>
      </c>
    </row>
    <row r="265" customFormat="false" ht="15" hidden="false" customHeight="false" outlineLevel="0" collapsed="false">
      <c r="A265" s="0" t="n">
        <f aca="false">[1]Clients!$A265</f>
        <v>0</v>
      </c>
      <c r="B265" s="0" t="n">
        <f aca="false">[1]Clients!$B265</f>
        <v>0</v>
      </c>
      <c r="C265" s="0" t="n">
        <f aca="false">[1]Clients!$C265</f>
        <v>0</v>
      </c>
    </row>
    <row r="266" customFormat="false" ht="15" hidden="false" customHeight="false" outlineLevel="0" collapsed="false">
      <c r="A266" s="0" t="n">
        <f aca="false">[1]Clients!$A266</f>
        <v>0</v>
      </c>
      <c r="B266" s="0" t="n">
        <f aca="false">[1]Clients!$B266</f>
        <v>0</v>
      </c>
      <c r="C266" s="0" t="n">
        <f aca="false">[1]Clients!$C266</f>
        <v>0</v>
      </c>
    </row>
    <row r="267" customFormat="false" ht="15" hidden="false" customHeight="false" outlineLevel="0" collapsed="false">
      <c r="A267" s="0" t="n">
        <f aca="false">[1]Clients!$A267</f>
        <v>0</v>
      </c>
      <c r="B267" s="0" t="n">
        <f aca="false">[1]Clients!$B267</f>
        <v>0</v>
      </c>
      <c r="C267" s="0" t="n">
        <f aca="false">[1]Clients!$C267</f>
        <v>0</v>
      </c>
    </row>
    <row r="268" customFormat="false" ht="15" hidden="false" customHeight="false" outlineLevel="0" collapsed="false">
      <c r="A268" s="0" t="n">
        <f aca="false">[1]Clients!$A268</f>
        <v>0</v>
      </c>
      <c r="B268" s="0" t="n">
        <f aca="false">[1]Clients!$B268</f>
        <v>0</v>
      </c>
      <c r="C268" s="0" t="n">
        <f aca="false">[1]Clients!$C268</f>
        <v>0</v>
      </c>
    </row>
    <row r="269" customFormat="false" ht="15" hidden="false" customHeight="false" outlineLevel="0" collapsed="false">
      <c r="A269" s="0" t="n">
        <f aca="false">[1]Clients!$A269</f>
        <v>0</v>
      </c>
      <c r="B269" s="0" t="n">
        <f aca="false">[1]Clients!$B269</f>
        <v>0</v>
      </c>
      <c r="C269" s="0" t="n">
        <f aca="false">[1]Clients!$C269</f>
        <v>0</v>
      </c>
    </row>
    <row r="270" customFormat="false" ht="15" hidden="false" customHeight="false" outlineLevel="0" collapsed="false">
      <c r="A270" s="0" t="n">
        <f aca="false">[1]Clients!$A270</f>
        <v>0</v>
      </c>
      <c r="B270" s="0" t="n">
        <f aca="false">[1]Clients!$B270</f>
        <v>0</v>
      </c>
      <c r="C270" s="0" t="n">
        <f aca="false">[1]Clients!$C270</f>
        <v>0</v>
      </c>
    </row>
    <row r="271" customFormat="false" ht="15" hidden="false" customHeight="false" outlineLevel="0" collapsed="false">
      <c r="A271" s="0" t="n">
        <f aca="false">[1]Clients!$A271</f>
        <v>0</v>
      </c>
      <c r="B271" s="0" t="n">
        <f aca="false">[1]Clients!$B271</f>
        <v>0</v>
      </c>
      <c r="C271" s="0" t="n">
        <f aca="false">[1]Clients!$C271</f>
        <v>0</v>
      </c>
    </row>
    <row r="272" customFormat="false" ht="15" hidden="false" customHeight="false" outlineLevel="0" collapsed="false">
      <c r="A272" s="0" t="n">
        <f aca="false">[1]Clients!$A272</f>
        <v>0</v>
      </c>
      <c r="B272" s="0" t="n">
        <f aca="false">[1]Clients!$B272</f>
        <v>0</v>
      </c>
      <c r="C272" s="0" t="n">
        <f aca="false">[1]Clients!$C272</f>
        <v>0</v>
      </c>
    </row>
    <row r="273" customFormat="false" ht="15" hidden="false" customHeight="false" outlineLevel="0" collapsed="false">
      <c r="A273" s="0" t="n">
        <f aca="false">[1]Clients!$A273</f>
        <v>0</v>
      </c>
      <c r="B273" s="0" t="n">
        <f aca="false">[1]Clients!$B273</f>
        <v>0</v>
      </c>
      <c r="C273" s="0" t="n">
        <f aca="false">[1]Clients!$C273</f>
        <v>0</v>
      </c>
    </row>
    <row r="274" customFormat="false" ht="15" hidden="false" customHeight="false" outlineLevel="0" collapsed="false">
      <c r="A274" s="0" t="n">
        <f aca="false">[1]Clients!$A274</f>
        <v>0</v>
      </c>
      <c r="B274" s="0" t="n">
        <f aca="false">[1]Clients!$B274</f>
        <v>0</v>
      </c>
      <c r="C274" s="0" t="n">
        <f aca="false">[1]Clients!$C274</f>
        <v>0</v>
      </c>
    </row>
    <row r="275" customFormat="false" ht="15" hidden="false" customHeight="false" outlineLevel="0" collapsed="false">
      <c r="A275" s="0" t="n">
        <f aca="false">[1]Clients!$A275</f>
        <v>0</v>
      </c>
      <c r="B275" s="0" t="n">
        <f aca="false">[1]Clients!$B275</f>
        <v>0</v>
      </c>
      <c r="C275" s="0" t="n">
        <f aca="false">[1]Clients!$C275</f>
        <v>0</v>
      </c>
    </row>
    <row r="276" customFormat="false" ht="15" hidden="false" customHeight="false" outlineLevel="0" collapsed="false">
      <c r="A276" s="0" t="n">
        <f aca="false">[1]Clients!$A276</f>
        <v>0</v>
      </c>
      <c r="B276" s="0" t="n">
        <f aca="false">[1]Clients!$B276</f>
        <v>0</v>
      </c>
      <c r="C276" s="0" t="n">
        <f aca="false">[1]Clients!$C276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b8d5096-1bb7-414f-af5c-2411680bf71e">
      <Terms xmlns="http://schemas.microsoft.com/office/infopath/2007/PartnerControls"/>
    </lcf76f155ced4ddcb4097134ff3c332f>
    <TaxCatchAll xmlns="71131562-680c-40ca-8cdb-dfe716e567b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01B99BE6876C94EACF0B0B797FB34F6" ma:contentTypeVersion="15" ma:contentTypeDescription="Create a new document." ma:contentTypeScope="" ma:versionID="bd5222f56c419b681f5f2ed4ced1d260">
  <xsd:schema xmlns:xsd="http://www.w3.org/2001/XMLSchema" xmlns:xs="http://www.w3.org/2001/XMLSchema" xmlns:p="http://schemas.microsoft.com/office/2006/metadata/properties" xmlns:ns2="4b8d5096-1bb7-414f-af5c-2411680bf71e" xmlns:ns3="71131562-680c-40ca-8cdb-dfe716e567b7" targetNamespace="http://schemas.microsoft.com/office/2006/metadata/properties" ma:root="true" ma:fieldsID="85d1e710a512070d7aaa96fdd7963702" ns2:_="" ns3:_="">
    <xsd:import namespace="4b8d5096-1bb7-414f-af5c-2411680bf71e"/>
    <xsd:import namespace="71131562-680c-40ca-8cdb-dfe716e567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8d5096-1bb7-414f-af5c-2411680bf7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d453ae97-cd49-4d15-b055-69e640f0333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131562-680c-40ca-8cdb-dfe716e567b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06ea3e1-7327-453d-b131-ff203f208197}" ma:internalName="TaxCatchAll" ma:showField="CatchAllData" ma:web="71131562-680c-40ca-8cdb-dfe716e567b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5DDDEB6-23E0-481F-9150-57C83D0EFBD3}">
  <ds:schemaRefs>
    <ds:schemaRef ds:uri="http://schemas.microsoft.com/office/2006/metadata/properties"/>
    <ds:schemaRef ds:uri="http://schemas.microsoft.com/office/infopath/2007/PartnerControls"/>
    <ds:schemaRef ds:uri="4b8d5096-1bb7-414f-af5c-2411680bf71e"/>
    <ds:schemaRef ds:uri="71131562-680c-40ca-8cdb-dfe716e567b7"/>
  </ds:schemaRefs>
</ds:datastoreItem>
</file>

<file path=customXml/itemProps2.xml><?xml version="1.0" encoding="utf-8"?>
<ds:datastoreItem xmlns:ds="http://schemas.openxmlformats.org/officeDocument/2006/customXml" ds:itemID="{1F2C9458-D2EE-4156-AE20-FA048FAC704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18DFB5F-0000-4274-9DD2-C21D25E03D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b8d5096-1bb7-414f-af5c-2411680bf71e"/>
    <ds:schemaRef ds:uri="71131562-680c-40ca-8cdb-dfe716e567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36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2025-03-06T16:11:38Z</dcterms:created>
  <dc:creator>Joanne  Pitre</dc:creator>
  <dc:description/>
  <dc:language>en-CA</dc:language>
  <cp:lastModifiedBy/>
  <cp:lastPrinted>2025-03-17T16:17:18Z</cp:lastPrinted>
  <dcterms:modified xsi:type="dcterms:W3CDTF">2025-04-06T15:42:28Z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0x010100301B99BE6876C94EACF0B0B797FB34F6</vt:lpwstr>
  </property>
  <property fmtid="{D5CDD505-2E9C-101B-9397-08002B2CF9AE}" pid="3" name="MediaServiceImageTags">
    <vt:lpwstr/>
  </property>
</Properties>
</file>